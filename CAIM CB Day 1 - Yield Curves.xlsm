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C80E003A-6C80-AF87-3323-10F97C11A349}"/>
  <workbookPr codeName="ThisWorkbook"/>
  <mc:AlternateContent xmlns:mc="http://schemas.openxmlformats.org/markup-compatibility/2006">
    <mc:Choice Requires="x15">
      <x15ac:absPath xmlns:x15ac="http://schemas.microsoft.com/office/spreadsheetml/2010/11/ac" url="https://d.docs.live.net/760b7d4b03735c98/CAIM/2023/2310 CAIM CB Seminar/Day 1/"/>
    </mc:Choice>
  </mc:AlternateContent>
  <xr:revisionPtr revIDLastSave="0" documentId="10_ncr:18000_{7CCC7A4F-F586-974A-8C15-3085EA67D9F0}" xr6:coauthVersionLast="47" xr6:coauthVersionMax="47" xr10:uidLastSave="{00000000-0000-0000-0000-000000000000}"/>
  <bookViews>
    <workbookView xWindow="0" yWindow="500" windowWidth="28180" windowHeight="16320" activeTab="1" xr2:uid="{00000000-000D-0000-FFFF-FFFF00000000}"/>
  </bookViews>
  <sheets>
    <sheet name="DISCLAIMER" sheetId="5" r:id="rId1"/>
    <sheet name="Bond 101" sheetId="6" r:id="rId2"/>
    <sheet name="NS" sheetId="3"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Room'!$B$17</definedName>
    <definedName name="country_list">'Boiler Room'!$B$19:$B$23</definedName>
    <definedName name="current_forwards">'Boiler Room'!$C$28:$G$36</definedName>
    <definedName name="current_forwards_live">#REF!</definedName>
    <definedName name="current_rates">'Boiler Room'!$C$4:$G$14</definedName>
    <definedName name="current_rates_live">#REF!</definedName>
    <definedName name="horizon_months">Scenarios!$S$10</definedName>
    <definedName name="hump_choices">'Boiler Room'!$C$19:$C$25</definedName>
    <definedName name="hump_ix">'Boiler Room'!$C$17</definedName>
    <definedName name="hump_mat">'Boiler Room'!$C$18</definedName>
    <definedName name="lambda">NS!$I$6</definedName>
    <definedName name="lambdas">'Boiler Room'!$D$19:$D$25</definedName>
    <definedName name="ns_maturities">NS!$B$21:$B$141</definedName>
    <definedName name="ns_yields">NS!$C$21:$C$141</definedName>
    <definedName name="obs_date">#REF!</definedName>
    <definedName name="scen_mat_a">Scenarios!$S$13</definedName>
    <definedName name="scen_mat_b">Scenarios!$S$15</definedName>
    <definedName name="solver_adj" localSheetId="2" hidden="1">NS!$I$3:$I$5</definedName>
    <definedName name="solver_adj" localSheetId="3" hidden="1">Scenarios!$L$4:$L$6</definedName>
    <definedName name="solver_cvg" localSheetId="2" hidden="1">0.0001</definedName>
    <definedName name="solver_cvg" localSheetId="3" hidden="1">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itr" localSheetId="2" hidden="1">2147483647</definedName>
    <definedName name="solver_itr" localSheetId="3" hidden="1">2147483647</definedName>
    <definedName name="solver_lin" localSheetId="2" hidden="1">2</definedName>
    <definedName name="solver_lin" localSheetId="3" hidden="1">2</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2</definedName>
    <definedName name="solver_neg" localSheetId="3" hidden="1">2</definedName>
    <definedName name="solver_nod" localSheetId="2" hidden="1">2147483647</definedName>
    <definedName name="solver_nod" localSheetId="3" hidden="1">2147483647</definedName>
    <definedName name="solver_num" localSheetId="2" hidden="1">0</definedName>
    <definedName name="solver_num" localSheetId="3" hidden="1">0</definedName>
    <definedName name="solver_opt" localSheetId="2" hidden="1">NS!$P$6</definedName>
    <definedName name="solver_opt" localSheetId="3" hidden="1">Scenarios!$S$7</definedName>
    <definedName name="solver_pre" localSheetId="2" hidden="1">0.000001</definedName>
    <definedName name="solver_pre" localSheetId="3" hidden="1">0.000001</definedName>
    <definedName name="solver_rbv" localSheetId="2" hidden="1">1</definedName>
    <definedName name="solver_rbv" localSheetId="3" hidden="1">1</definedName>
    <definedName name="solver_rlx" localSheetId="2" hidden="1">1</definedName>
    <definedName name="solver_rlx" localSheetId="3" hidden="1">2</definedName>
    <definedName name="solver_rsd" localSheetId="2" hidden="1">0</definedName>
    <definedName name="solver_rsd" localSheetId="3" hidden="1">0</definedName>
    <definedName name="solver_scl" localSheetId="2" hidden="1">2</definedName>
    <definedName name="solver_scl" localSheetId="3" hidden="1">1</definedName>
    <definedName name="solver_sho" localSheetId="2" hidden="1">2</definedName>
    <definedName name="solver_sho" localSheetId="3" hidden="1">2</definedName>
    <definedName name="solver_ssz" localSheetId="2" hidden="1">100</definedName>
    <definedName name="solver_ssz" localSheetId="3" hidden="1">100</definedName>
    <definedName name="solver_tim" localSheetId="2" hidden="1">2147483647</definedName>
    <definedName name="solver_tim" localSheetId="3" hidden="1">2147483647</definedName>
    <definedName name="solver_tol" localSheetId="2" hidden="1">0.01</definedName>
    <definedName name="solver_tol" localSheetId="3" hidden="1">0.01</definedName>
    <definedName name="solver_typ" localSheetId="2" hidden="1">2</definedName>
    <definedName name="solver_typ" localSheetId="3" hidden="1">2</definedName>
    <definedName name="solver_val" localSheetId="2" hidden="1">0</definedName>
    <definedName name="solver_val" localSheetId="3" hidden="1">0</definedName>
    <definedName name="solver_ver" localSheetId="2" hidden="1">2</definedName>
    <definedName name="solver_ver" localSheetId="3" hidden="1">2</definedName>
    <definedName name="ss_err_scen">Scenarios!$S$7</definedName>
    <definedName name="sumsq_err_ns">NS!$P$6</definedName>
    <definedName name="yields_used">NS!$F$7:$F$17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5" i="4" l="1" a="1"/>
  <c r="W5" i="4" s="1"/>
  <c r="W6" i="4" a="1"/>
  <c r="W6" i="4" s="1"/>
  <c r="W7" i="4" a="1"/>
  <c r="W7" i="4" s="1"/>
  <c r="W4" i="4" a="1"/>
  <c r="W4" i="4" s="1"/>
  <c r="V5" i="4" a="1"/>
  <c r="V5" i="4" s="1"/>
  <c r="V6" i="4" a="1"/>
  <c r="V6" i="4" s="1"/>
  <c r="V7" i="4" a="1"/>
  <c r="V7" i="4" s="1"/>
  <c r="V4" i="4" a="1"/>
  <c r="V4" i="4" s="1"/>
  <c r="U5" i="4"/>
  <c r="U6" i="4"/>
  <c r="U7" i="4"/>
  <c r="U4" i="4"/>
  <c r="C6" i="6"/>
  <c r="C7" i="6" s="1"/>
  <c r="D9" i="6" l="1"/>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8" i="2" a="1"/>
  <c r="D18" i="2" s="1"/>
  <c r="C18" i="2" a="1"/>
  <c r="C18" i="2" s="1"/>
  <c r="K8" i="4" s="1"/>
  <c r="B18" i="2" a="1"/>
  <c r="B18" i="2" s="1"/>
  <c r="K6" i="4"/>
  <c r="K5" i="4"/>
  <c r="K4" i="4"/>
  <c r="I6" i="3" a="1"/>
  <c r="I6" i="3" s="1"/>
  <c r="I5" i="2"/>
  <c r="I6" i="2"/>
  <c r="I7" i="2"/>
  <c r="I8" i="2"/>
  <c r="I9" i="2"/>
  <c r="I10" i="2"/>
  <c r="I11" i="2"/>
  <c r="I12" i="2"/>
  <c r="I13" i="2"/>
  <c r="I14" i="2"/>
  <c r="I4" i="2"/>
  <c r="C7" i="3" a="1"/>
  <c r="C7" i="3" s="1"/>
  <c r="J4" i="2" s="1"/>
  <c r="K4" i="2" s="1"/>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9" i="2"/>
  <c r="M32" i="4"/>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119" i="2"/>
  <c r="O111" i="2"/>
  <c r="O103" i="2"/>
  <c r="O95" i="2"/>
  <c r="O87" i="2"/>
  <c r="O79" i="2"/>
  <c r="O71" i="2"/>
  <c r="O63" i="2"/>
  <c r="O55" i="2"/>
  <c r="O47" i="2"/>
  <c r="O39" i="2"/>
  <c r="O31" i="2"/>
  <c r="O23" i="2"/>
  <c r="O15" i="2"/>
  <c r="O7" i="2"/>
  <c r="O123" i="2"/>
  <c r="O117" i="2"/>
  <c r="O88" i="2"/>
  <c r="O59" i="2"/>
  <c r="O53" i="2"/>
  <c r="O24" i="2"/>
  <c r="M28" i="4"/>
  <c r="N37" i="4"/>
  <c r="M27" i="4"/>
  <c r="M37" i="4"/>
  <c r="O99" i="2"/>
  <c r="O64" i="2"/>
  <c r="O29" i="2"/>
  <c r="M36" i="4"/>
  <c r="O120" i="2"/>
  <c r="O85" i="2"/>
  <c r="O27" i="2"/>
  <c r="O112" i="2"/>
  <c r="O48" i="2"/>
  <c r="M31" i="4"/>
  <c r="O75" i="2"/>
  <c r="M30" i="4"/>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M34" i="4"/>
  <c r="O19" i="2"/>
  <c r="O104" i="2"/>
  <c r="N27" i="4"/>
  <c r="P5" i="4"/>
  <c r="Q5" i="4" s="1"/>
  <c r="K7" i="4"/>
  <c r="P6" i="4"/>
  <c r="Q6" i="4" s="1"/>
  <c r="P7" i="4"/>
  <c r="Q7" i="4" s="1"/>
  <c r="P4" i="4"/>
  <c r="Q4" i="4" s="1"/>
  <c r="N7" i="4"/>
  <c r="F28" i="3"/>
  <c r="N4" i="4"/>
  <c r="N5" i="4"/>
  <c r="N6" i="4"/>
  <c r="M13" i="4"/>
  <c r="N13" i="4"/>
  <c r="M23" i="4"/>
  <c r="N19" i="4"/>
  <c r="M19" i="4"/>
  <c r="M17" i="4"/>
  <c r="N23" i="4"/>
  <c r="N17" i="4"/>
  <c r="N21" i="4"/>
  <c r="N16" i="4"/>
  <c r="M21" i="4"/>
  <c r="M16" i="4"/>
  <c r="N20" i="4"/>
  <c r="N15" i="4"/>
  <c r="M20" i="4"/>
  <c r="M15" i="4"/>
  <c r="N22" i="4"/>
  <c r="N18" i="4"/>
  <c r="N14" i="4"/>
  <c r="M22" i="4"/>
  <c r="M18" i="4"/>
  <c r="M14" i="4"/>
  <c r="E98" i="3"/>
  <c r="E73" i="3"/>
  <c r="E52" i="3"/>
  <c r="E34" i="3"/>
  <c r="F129" i="3"/>
  <c r="F106" i="3"/>
  <c r="E137" i="3"/>
  <c r="F49" i="3"/>
  <c r="E116" i="3"/>
  <c r="F33" i="3"/>
  <c r="E100" i="3"/>
  <c r="F138" i="3"/>
  <c r="E68" i="3"/>
  <c r="F89" i="3"/>
  <c r="E57" i="3"/>
  <c r="F88" i="3"/>
  <c r="E114" i="3"/>
  <c r="E25" i="3"/>
  <c r="F26" i="3"/>
  <c r="E105" i="3"/>
  <c r="E66" i="3"/>
  <c r="F140" i="3"/>
  <c r="F92" i="3"/>
  <c r="F44" i="3"/>
  <c r="E132" i="3"/>
  <c r="E50" i="3"/>
  <c r="F74" i="3"/>
  <c r="E130" i="3"/>
  <c r="E84" i="3"/>
  <c r="E41" i="3"/>
  <c r="F122" i="3"/>
  <c r="F68" i="3"/>
  <c r="E89" i="3"/>
  <c r="F124" i="3"/>
  <c r="F25" i="3"/>
  <c r="E121" i="3"/>
  <c r="E82" i="3"/>
  <c r="E36" i="3"/>
  <c r="F113" i="3"/>
  <c r="F66" i="3"/>
  <c r="F108" i="3"/>
  <c r="F52" i="3"/>
  <c r="E136" i="3"/>
  <c r="E120" i="3"/>
  <c r="E104" i="3"/>
  <c r="E88" i="3"/>
  <c r="E72" i="3"/>
  <c r="E56" i="3"/>
  <c r="E40" i="3"/>
  <c r="E24" i="3"/>
  <c r="F128" i="3"/>
  <c r="F112" i="3"/>
  <c r="F90" i="3"/>
  <c r="F73" i="3"/>
  <c r="F50" i="3"/>
  <c r="F29" i="3"/>
  <c r="F37" i="3"/>
  <c r="F45" i="3"/>
  <c r="F53" i="3"/>
  <c r="F61" i="3"/>
  <c r="F69" i="3"/>
  <c r="F77" i="3"/>
  <c r="F85" i="3"/>
  <c r="F93" i="3"/>
  <c r="F101" i="3"/>
  <c r="F109" i="3"/>
  <c r="F117" i="3"/>
  <c r="F125" i="3"/>
  <c r="F133" i="3"/>
  <c r="F141" i="3"/>
  <c r="E29" i="3"/>
  <c r="E37" i="3"/>
  <c r="E45" i="3"/>
  <c r="E53" i="3"/>
  <c r="E61" i="3"/>
  <c r="E69" i="3"/>
  <c r="E77" i="3"/>
  <c r="E85" i="3"/>
  <c r="E93" i="3"/>
  <c r="E101" i="3"/>
  <c r="E109" i="3"/>
  <c r="E117" i="3"/>
  <c r="E125" i="3"/>
  <c r="E133" i="3"/>
  <c r="E141" i="3"/>
  <c r="F23" i="3"/>
  <c r="F39" i="3"/>
  <c r="F55" i="3"/>
  <c r="F63" i="3"/>
  <c r="F79" i="3"/>
  <c r="F95" i="3"/>
  <c r="F111" i="3"/>
  <c r="F127" i="3"/>
  <c r="E23" i="3"/>
  <c r="E31" i="3"/>
  <c r="E47" i="3"/>
  <c r="E63" i="3"/>
  <c r="E79" i="3"/>
  <c r="E103" i="3"/>
  <c r="E127" i="3"/>
  <c r="F24" i="3"/>
  <c r="F40" i="3"/>
  <c r="F56" i="3"/>
  <c r="F72" i="3"/>
  <c r="F96" i="3"/>
  <c r="F104" i="3"/>
  <c r="F22" i="3"/>
  <c r="F30" i="3"/>
  <c r="F38" i="3"/>
  <c r="F46" i="3"/>
  <c r="F54" i="3"/>
  <c r="F62" i="3"/>
  <c r="F70" i="3"/>
  <c r="F78" i="3"/>
  <c r="F86" i="3"/>
  <c r="F94" i="3"/>
  <c r="F102" i="3"/>
  <c r="F110" i="3"/>
  <c r="F118" i="3"/>
  <c r="F126" i="3"/>
  <c r="F134" i="3"/>
  <c r="F21" i="3"/>
  <c r="E30" i="3"/>
  <c r="E38" i="3"/>
  <c r="E46" i="3"/>
  <c r="E54" i="3"/>
  <c r="E62" i="3"/>
  <c r="E70" i="3"/>
  <c r="E78" i="3"/>
  <c r="E86" i="3"/>
  <c r="E94" i="3"/>
  <c r="E102" i="3"/>
  <c r="E110" i="3"/>
  <c r="E118" i="3"/>
  <c r="E126" i="3"/>
  <c r="E134" i="3"/>
  <c r="E21" i="3"/>
  <c r="F31" i="3"/>
  <c r="F47" i="3"/>
  <c r="F71" i="3"/>
  <c r="F87" i="3"/>
  <c r="F103" i="3"/>
  <c r="F119" i="3"/>
  <c r="F135" i="3"/>
  <c r="E39" i="3"/>
  <c r="E55" i="3"/>
  <c r="E71" i="3"/>
  <c r="E87" i="3"/>
  <c r="E95" i="3"/>
  <c r="E111" i="3"/>
  <c r="E119" i="3"/>
  <c r="E135" i="3"/>
  <c r="E22" i="3"/>
  <c r="F32" i="3"/>
  <c r="F48" i="3"/>
  <c r="F64" i="3"/>
  <c r="F80"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E113" i="3"/>
  <c r="E97" i="3"/>
  <c r="E81" i="3"/>
  <c r="E65" i="3"/>
  <c r="E33" i="3"/>
  <c r="F137" i="3"/>
  <c r="F121" i="3"/>
  <c r="F105" i="3"/>
  <c r="F84" i="3"/>
  <c r="F65" i="3"/>
  <c r="F42" i="3"/>
  <c r="E128" i="3"/>
  <c r="E96" i="3"/>
  <c r="E64" i="3"/>
  <c r="E32" i="3"/>
  <c r="C32" i="3" s="1"/>
  <c r="F120" i="3"/>
  <c r="F82" i="3"/>
  <c r="E140" i="3"/>
  <c r="E124" i="3"/>
  <c r="E108" i="3"/>
  <c r="E92" i="3"/>
  <c r="E76" i="3"/>
  <c r="E60" i="3"/>
  <c r="E44" i="3"/>
  <c r="E28" i="3"/>
  <c r="F132" i="3"/>
  <c r="F116" i="3"/>
  <c r="F98" i="3"/>
  <c r="F81" i="3"/>
  <c r="F58" i="3"/>
  <c r="F36" i="3"/>
  <c r="E129" i="3"/>
  <c r="E49" i="3"/>
  <c r="E112" i="3"/>
  <c r="E80" i="3"/>
  <c r="E48" i="3"/>
  <c r="F136" i="3"/>
  <c r="F100" i="3"/>
  <c r="F60" i="3"/>
  <c r="F41" i="3"/>
  <c r="E138" i="3"/>
  <c r="C138" i="3" s="1"/>
  <c r="E122" i="3"/>
  <c r="E106" i="3"/>
  <c r="C106" i="3" s="1"/>
  <c r="E90" i="3"/>
  <c r="E74" i="3"/>
  <c r="E58" i="3"/>
  <c r="E42" i="3"/>
  <c r="E26" i="3"/>
  <c r="C26" i="3" s="1"/>
  <c r="F130" i="3"/>
  <c r="F114" i="3"/>
  <c r="F97" i="3"/>
  <c r="F76" i="3"/>
  <c r="F57" i="3"/>
  <c r="F34" i="3"/>
  <c r="C14" i="3"/>
  <c r="J11" i="2" s="1"/>
  <c r="K11" i="2" s="1"/>
  <c r="C13" i="3"/>
  <c r="J10" i="2" s="1"/>
  <c r="K10" i="2" s="1"/>
  <c r="C12" i="3"/>
  <c r="J9" i="2" s="1"/>
  <c r="K9" i="2" s="1"/>
  <c r="C11" i="3"/>
  <c r="J8" i="2" s="1"/>
  <c r="K8" i="2" s="1"/>
  <c r="C10" i="3"/>
  <c r="J7" i="2" s="1"/>
  <c r="K7" i="2" s="1"/>
  <c r="C9" i="3"/>
  <c r="J6" i="2" s="1"/>
  <c r="K6" i="2" s="1"/>
  <c r="C17" i="3"/>
  <c r="J14" i="2" s="1"/>
  <c r="K14" i="2" s="1"/>
  <c r="C16" i="3"/>
  <c r="J13" i="2" s="1"/>
  <c r="K13" i="2" s="1"/>
  <c r="C8" i="3"/>
  <c r="J5" i="2" s="1"/>
  <c r="K5" i="2" s="1"/>
  <c r="C15" i="3"/>
  <c r="C79" i="3" l="1"/>
  <c r="C135" i="3"/>
  <c r="C28" i="3"/>
  <c r="S7" i="4"/>
  <c r="C58" i="3"/>
  <c r="C74" i="3"/>
  <c r="C95" i="3"/>
  <c r="C23" i="3"/>
  <c r="D9" i="3" s="1"/>
  <c r="E9" i="3" s="1"/>
  <c r="C63" i="3"/>
  <c r="C31" i="3"/>
  <c r="C90" i="3"/>
  <c r="C48" i="3"/>
  <c r="C128" i="3"/>
  <c r="C65" i="3"/>
  <c r="C80" i="3"/>
  <c r="C124" i="3"/>
  <c r="C111" i="3"/>
  <c r="C119" i="3"/>
  <c r="C36" i="3"/>
  <c r="C41" i="3"/>
  <c r="D13" i="3" s="1"/>
  <c r="E13" i="3" s="1"/>
  <c r="C112" i="3"/>
  <c r="C22" i="3"/>
  <c r="D8" i="3" s="1"/>
  <c r="E8" i="3" s="1"/>
  <c r="C131" i="3"/>
  <c r="C67" i="3"/>
  <c r="C86" i="3"/>
  <c r="C117" i="3"/>
  <c r="C53" i="3"/>
  <c r="C62" i="3"/>
  <c r="C29" i="3"/>
  <c r="D11" i="3" s="1"/>
  <c r="E11" i="3" s="1"/>
  <c r="C81" i="3"/>
  <c r="C104" i="3"/>
  <c r="C82" i="3"/>
  <c r="C84" i="3"/>
  <c r="C66" i="3"/>
  <c r="C68" i="3"/>
  <c r="C107" i="3"/>
  <c r="C72" i="3"/>
  <c r="C49" i="3"/>
  <c r="D14" i="3" s="1"/>
  <c r="E14" i="3" s="1"/>
  <c r="C120" i="3"/>
  <c r="C105" i="3"/>
  <c r="C34" i="3"/>
  <c r="C108" i="3"/>
  <c r="C43" i="3"/>
  <c r="C126" i="3"/>
  <c r="C44" i="3"/>
  <c r="C96" i="3"/>
  <c r="C93" i="3"/>
  <c r="C57" i="3"/>
  <c r="C137" i="3"/>
  <c r="C88" i="3"/>
  <c r="C55" i="3"/>
  <c r="C25" i="3"/>
  <c r="D10" i="3" s="1"/>
  <c r="E10" i="3" s="1"/>
  <c r="C122" i="3"/>
  <c r="C140" i="3"/>
  <c r="C91" i="3"/>
  <c r="C110" i="3"/>
  <c r="C141" i="3"/>
  <c r="D17" i="3" s="1"/>
  <c r="E17" i="3" s="1"/>
  <c r="C87" i="3"/>
  <c r="C69" i="3"/>
  <c r="C121" i="3"/>
  <c r="C130" i="3"/>
  <c r="C129" i="3"/>
  <c r="C139" i="3"/>
  <c r="C75" i="3"/>
  <c r="C71" i="3"/>
  <c r="C94" i="3"/>
  <c r="C30" i="3"/>
  <c r="C103" i="3"/>
  <c r="C125" i="3"/>
  <c r="C61" i="3"/>
  <c r="D15" i="3" s="1"/>
  <c r="E15" i="3" s="1"/>
  <c r="C136" i="3"/>
  <c r="C100" i="3"/>
  <c r="C52" i="3"/>
  <c r="C35" i="3"/>
  <c r="C99" i="3"/>
  <c r="C54" i="3"/>
  <c r="C85" i="3"/>
  <c r="C97" i="3"/>
  <c r="C77" i="3"/>
  <c r="C113" i="3"/>
  <c r="C38" i="3"/>
  <c r="C127" i="3"/>
  <c r="C42" i="3"/>
  <c r="C24" i="3"/>
  <c r="C73" i="3"/>
  <c r="C76" i="3"/>
  <c r="C64" i="3"/>
  <c r="C123" i="3"/>
  <c r="C59" i="3"/>
  <c r="C39" i="3"/>
  <c r="C21" i="3"/>
  <c r="C78" i="3"/>
  <c r="C109" i="3"/>
  <c r="C45" i="3"/>
  <c r="C40" i="3"/>
  <c r="C89" i="3"/>
  <c r="C132" i="3"/>
  <c r="C114" i="3"/>
  <c r="C116" i="3"/>
  <c r="C98" i="3"/>
  <c r="C118" i="3"/>
  <c r="C27" i="3"/>
  <c r="C46" i="3"/>
  <c r="C83" i="3"/>
  <c r="C102" i="3"/>
  <c r="C133" i="3"/>
  <c r="C60" i="3"/>
  <c r="C50" i="3"/>
  <c r="C92" i="3"/>
  <c r="C33" i="3"/>
  <c r="D12" i="3" s="1"/>
  <c r="E12" i="3" s="1"/>
  <c r="C115" i="3"/>
  <c r="C51" i="3"/>
  <c r="C134" i="3"/>
  <c r="C70" i="3"/>
  <c r="C47" i="3"/>
  <c r="C101" i="3"/>
  <c r="D16" i="3" s="1"/>
  <c r="E16" i="3" s="1"/>
  <c r="C37" i="3"/>
  <c r="C56" i="3"/>
  <c r="J12" i="2"/>
  <c r="K12" i="2" s="1"/>
  <c r="N4" i="2" l="1" a="1"/>
  <c r="D7" i="3"/>
  <c r="E7" i="3" s="1"/>
  <c r="P6" i="3" s="1"/>
  <c r="N119" i="2" l="1"/>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<sst xmlns="http://schemas.openxmlformats.org/spreadsheetml/2006/main" count="117" uniqueCount="69">
  <si>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</si>
  <si>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</si>
  <si>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</si>
  <si>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</si>
  <si>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</si>
  <si>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</si>
  <si>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</si>
  <si>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</si>
  <si>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</si>
  <si>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</si>
  <si>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</si>
  <si>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</si>
  <si>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</si>
  <si>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</si>
  <si>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</si>
  <si>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</si>
  <si>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</si>
  <si>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</si>
  <si>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</si>
  <si>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</si>
  <si>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</si>
  <si>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</si>
  <si>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</si>
  <si>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</si>
  <si>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</si>
  <si>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</si>
  <si>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</si>
  <si>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</si>
  <si>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</si>
  <si>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</si>
  <si>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</si>
  <si>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</si>
  <si>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</si>
  <si>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</si>
  <si>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</si>
  <si>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</si>
  <si>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</si>
  <si>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</si>
  <si>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</si>
  <si>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</si>
  <si>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horizon (months)</t>
  </si>
  <si>
    <t>hump mat</t>
  </si>
  <si>
    <t>IT</t>
  </si>
  <si>
    <t>DE</t>
  </si>
  <si>
    <t>3M</t>
  </si>
  <si>
    <t>1Y</t>
  </si>
  <si>
    <t>Yield</t>
  </si>
  <si>
    <t>Coupon</t>
  </si>
  <si>
    <t>Duration</t>
  </si>
  <si>
    <t>Price</t>
  </si>
  <si>
    <t>Maturity (yrs)</t>
  </si>
  <si>
    <t>Settlement Date</t>
  </si>
  <si>
    <t>Maturity Date</t>
  </si>
  <si>
    <t>Buy</t>
  </si>
  <si>
    <t>Sell</t>
  </si>
  <si>
    <t>Return via PRICE</t>
  </si>
  <si>
    <t>Return via Duration</t>
  </si>
  <si>
    <t>3m implied forward yields</t>
  </si>
  <si>
    <t>mat</t>
  </si>
  <si>
    <t>3m</t>
  </si>
  <si>
    <t>1y</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</si>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</sst>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9" x14ac:knownFonts="1">
    <font>
      <sz val="11"/>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4" fillId="3" borderId="0" xfId="0" applyFont="1" applyFill="1" applyAlignment="1">
      <alignment horizontal="center"/>
    </xf>
    <xf numFmtId="0" fontId="3" fillId="4" borderId="0" xfId="0" applyFont="1" applyFill="1" applyAlignment="1">
      <alignment horizontal="center"/>
    </xf>
    <xf numFmtId="2" fontId="3"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4" fillId="3" borderId="0" xfId="0" applyNumberFormat="1" applyFont="1" applyFill="1" applyAlignment="1">
      <alignment horizontal="center"/>
    </xf>
    <xf numFmtId="0" fontId="3" fillId="6" borderId="0" xfId="0" applyFont="1" applyFill="1" applyAlignment="1">
      <alignment horizontal="left"/>
    </xf>
    <xf numFmtId="0" fontId="3" fillId="6" borderId="0" xfId="0" applyFont="1" applyFill="1" applyAlignment="1">
      <alignment horizontal="center"/>
    </xf>
    <xf numFmtId="0" fontId="3" fillId="7" borderId="0" xfId="0" applyFont="1" applyFill="1" applyAlignment="1">
      <alignment horizontal="center"/>
    </xf>
    <xf numFmtId="164" fontId="0" fillId="8" borderId="0" xfId="0" applyNumberFormat="1" applyFill="1" applyAlignment="1">
      <alignment horizontal="center"/>
    </xf>
    <xf numFmtId="0" fontId="5" fillId="8" borderId="0" xfId="0" applyFont="1" applyFill="1" applyAlignment="1">
      <alignment horizontal="center"/>
    </xf>
    <xf numFmtId="0" fontId="5" fillId="8" borderId="0" xfId="0" applyFont="1" applyFill="1"/>
    <xf numFmtId="0" fontId="0" fillId="8" borderId="0" xfId="0" applyFill="1" applyAlignment="1">
      <alignment horizontal="center"/>
    </xf>
    <xf numFmtId="0" fontId="3" fillId="9" borderId="0" xfId="0" applyFont="1" applyFill="1" applyAlignment="1">
      <alignment horizontal="center"/>
    </xf>
    <xf numFmtId="2" fontId="2" fillId="0" borderId="0" xfId="0" applyNumberFormat="1" applyFont="1" applyAlignment="1">
      <alignment horizontal="center"/>
    </xf>
    <xf numFmtId="0" fontId="7" fillId="2" borderId="0" xfId="0" applyFont="1" applyFill="1" applyAlignment="1">
      <alignment horizontal="left"/>
    </xf>
    <xf numFmtId="10" fontId="0" fillId="3" borderId="0" xfId="1" applyNumberFormat="1" applyFont="1" applyFill="1" applyAlignment="1">
      <alignment horizontal="center"/>
    </xf>
    <xf numFmtId="0" fontId="7" fillId="4" borderId="0" xfId="0" applyFont="1" applyFill="1" applyAlignment="1">
      <alignment horizontal="left"/>
    </xf>
    <xf numFmtId="0" fontId="0" fillId="0" borderId="0" xfId="0" applyAlignment="1">
      <alignment horizontal="right"/>
    </xf>
    <xf numFmtId="0" fontId="4"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7" fillId="11" borderId="0" xfId="0" applyFont="1" applyFill="1" applyAlignment="1">
      <alignment horizontal="left"/>
    </xf>
    <xf numFmtId="0" fontId="3" fillId="11" borderId="0" xfId="0" applyFont="1" applyFill="1" applyAlignment="1">
      <alignment horizontal="center"/>
    </xf>
    <xf numFmtId="0" fontId="3" fillId="11" borderId="0" xfId="0" quotePrefix="1" applyFont="1" applyFill="1" applyAlignment="1">
      <alignment horizontal="center"/>
    </xf>
    <xf numFmtId="0" fontId="7" fillId="6" borderId="0" xfId="0" applyFont="1" applyFill="1" applyAlignment="1">
      <alignment horizontal="left"/>
    </xf>
    <xf numFmtId="0" fontId="3"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4" fillId="3" borderId="0" xfId="1" applyNumberFormat="1" applyFont="1" applyFill="1" applyAlignment="1">
      <alignment horizontal="center"/>
    </xf>
    <xf numFmtId="2" fontId="0" fillId="12" borderId="0" xfId="0" applyNumberFormat="1" applyFill="1" applyAlignment="1">
      <alignment horizontal="center"/>
    </xf>
    <xf numFmtId="166" fontId="0" fillId="3" borderId="0" xfId="0" applyNumberFormat="1" applyFill="1" applyAlignment="1">
      <alignment horizontal="center" vertical="center"/>
    </xf>
    <xf numFmtId="0" fontId="7" fillId="7" borderId="0" xfId="0" applyFont="1" applyFill="1" applyAlignment="1">
      <alignment horizontal="left"/>
    </xf>
    <xf numFmtId="167" fontId="0" fillId="11" borderId="0" xfId="1" applyNumberFormat="1" applyFont="1" applyFill="1" applyAlignment="1">
      <alignment horizontal="center"/>
    </xf>
    <xf numFmtId="167" fontId="0" fillId="6" borderId="0" xfId="1" applyNumberFormat="1" applyFont="1" applyFill="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NS!$B$21:$B$141</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NS!$C$21:$C$141</c:f>
              <c:numCache>
                <c:formatCode>0.00</c:formatCode>
                <c:ptCount val="12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Room'!$I$4:$I$14</c:f>
              <c:numCache>
                <c:formatCode>General</c:formatCode>
                <c:ptCount val="11"/>
                <c:pt idx="0">
                  <c:v>2.7000000000000001E-3</c:v>
                </c:pt>
                <c:pt idx="1">
                  <c:v>0.25</c:v>
                </c:pt>
                <c:pt idx="2">
                  <c:v>0.5</c:v>
                </c:pt>
                <c:pt idx="3">
                  <c:v>1</c:v>
                </c:pt>
                <c:pt idx="4">
                  <c:v>2</c:v>
                </c:pt>
                <c:pt idx="5">
                  <c:v>3</c:v>
                </c:pt>
                <c:pt idx="6">
                  <c:v>5</c:v>
                </c:pt>
                <c:pt idx="7">
                  <c:v>7</c:v>
                </c:pt>
                <c:pt idx="8">
                  <c:v>10</c:v>
                </c:pt>
                <c:pt idx="9">
                  <c:v>20</c:v>
                </c:pt>
                <c:pt idx="10">
                  <c:v>30</c:v>
                </c:pt>
              </c:numCache>
            </c:numRef>
          </c:xVal>
          <c:yVal>
            <c:numRef>
              <c:f>'Boiler Room'!$J$4:$J$14</c:f>
              <c:numCache>
                <c:formatCode>General</c:formatCode>
                <c:ptCount val="11"/>
                <c:pt idx="0">
                  <c:v>-6.3E-2</c:v>
                </c:pt>
                <c:pt idx="1">
                  <c:v>-0.15</c:v>
                </c:pt>
                <c:pt idx="2">
                  <c:v>-0.124</c:v>
                </c:pt>
                <c:pt idx="3">
                  <c:v>-6.4000000000000001E-2</c:v>
                </c:pt>
                <c:pt idx="4">
                  <c:v>0.05</c:v>
                </c:pt>
                <c:pt idx="5">
                  <c:v>8.8999999999999996E-2</c:v>
                </c:pt>
                <c:pt idx="6">
                  <c:v>0.316</c:v>
                </c:pt>
                <c:pt idx="7">
                  <c:v>0.52400000000000002</c:v>
                </c:pt>
                <c:pt idx="8">
                  <c:v>0.76500000000000001</c:v>
                </c:pt>
                <c:pt idx="9">
                  <c:v>1.482</c:v>
                </c:pt>
                <c:pt idx="10">
                  <c:v>1.734</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Room'!$I$4:$I$14</c:f>
              <c:numCache>
                <c:formatCode>General</c:formatCode>
                <c:ptCount val="11"/>
                <c:pt idx="0">
                  <c:v>2.7000000000000001E-3</c:v>
                </c:pt>
                <c:pt idx="1">
                  <c:v>0.25</c:v>
                </c:pt>
                <c:pt idx="2">
                  <c:v>0.5</c:v>
                </c:pt>
                <c:pt idx="3">
                  <c:v>1</c:v>
                </c:pt>
                <c:pt idx="4">
                  <c:v>2</c:v>
                </c:pt>
                <c:pt idx="5">
                  <c:v>3</c:v>
                </c:pt>
                <c:pt idx="6">
                  <c:v>5</c:v>
                </c:pt>
                <c:pt idx="7">
                  <c:v>7</c:v>
                </c:pt>
                <c:pt idx="8">
                  <c:v>10</c:v>
                </c:pt>
                <c:pt idx="9">
                  <c:v>20</c:v>
                </c:pt>
                <c:pt idx="10">
                  <c:v>30</c:v>
                </c:pt>
              </c:numCache>
            </c:numRef>
          </c:xVal>
          <c:yVal>
            <c:numRef>
              <c:f>'Boiler Room'!$K$4:$K$14</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NS!$B$21:$B$141</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NS!$D$21:$D$141</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NS!$B$21:$B$141</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NS!$E$21:$E$141</c:f>
              <c:numCache>
                <c:formatCode>0.0000</c:formatCode>
                <c:ptCount val="121"/>
                <c:pt idx="0">
                  <c:v>0.99975792035616651</c:v>
                </c:pt>
                <c:pt idx="1">
                  <c:v>0.97791293415317737</c:v>
                </c:pt>
                <c:pt idx="2">
                  <c:v>0.95647391094900813</c:v>
                </c:pt>
                <c:pt idx="3">
                  <c:v>0.93566157164125763</c:v>
                </c:pt>
                <c:pt idx="4">
                  <c:v>0.91545530781460194</c:v>
                </c:pt>
                <c:pt idx="5">
                  <c:v>0.89583523393900599</c:v>
                </c:pt>
                <c:pt idx="6">
                  <c:v>0.8767821609564026</c:v>
                </c:pt>
                <c:pt idx="7">
                  <c:v>0.85827757086006173</c:v>
                </c:pt>
                <c:pt idx="8">
                  <c:v>0.84030359222855422</c:v>
                </c:pt>
                <c:pt idx="9">
                  <c:v>0.82284297667771833</c:v>
                </c:pt>
                <c:pt idx="10">
                  <c:v>0.80587907619544608</c:v>
                </c:pt>
                <c:pt idx="11">
                  <c:v>0.78939582132548902</c:v>
                </c:pt>
                <c:pt idx="12">
                  <c:v>0.77337770016779128</c:v>
                </c:pt>
                <c:pt idx="13">
                  <c:v>0.75780973816412722</c:v>
                </c:pt>
                <c:pt idx="14">
                  <c:v>0.74267747863902556</c:v>
                </c:pt>
                <c:pt idx="15">
                  <c:v>0.72796696406713957</c:v>
                </c:pt>
                <c:pt idx="16">
                  <c:v>0.71366471803933496</c:v>
                </c:pt>
                <c:pt idx="17">
                  <c:v>0.69975772790084456</c:v>
                </c:pt>
                <c:pt idx="18">
                  <c:v>0.68623342803587739</c:v>
                </c:pt>
                <c:pt idx="19">
                  <c:v>0.67307968377405458</c:v>
                </c:pt>
                <c:pt idx="20">
                  <c:v>0.66028477589500723</c:v>
                </c:pt>
                <c:pt idx="21">
                  <c:v>0.64783738570838356</c:v>
                </c:pt>
                <c:pt idx="22">
                  <c:v>0.63572658068739152</c:v>
                </c:pt>
                <c:pt idx="23">
                  <c:v>0.62394180063485516</c:v>
                </c:pt>
                <c:pt idx="24">
                  <c:v>0.61247284436157012</c:v>
                </c:pt>
                <c:pt idx="25">
                  <c:v>0.60130985685752769</c:v>
                </c:pt>
                <c:pt idx="26">
                  <c:v>0.59044331693732643</c:v>
                </c:pt>
                <c:pt idx="27">
                  <c:v>0.57986402534181258</c:v>
                </c:pt>
                <c:pt idx="28">
                  <c:v>0.56956309327868104</c:v>
                </c:pt>
                <c:pt idx="29">
                  <c:v>0.55953193138543711</c:v>
                </c:pt>
                <c:pt idx="30">
                  <c:v>0.5497622390987551</c:v>
                </c:pt>
                <c:pt idx="31">
                  <c:v>0.54024599441489107</c:v>
                </c:pt>
                <c:pt idx="32">
                  <c:v>0.53097544402638919</c:v>
                </c:pt>
                <c:pt idx="33">
                  <c:v>0.52194309382089521</c:v>
                </c:pt>
                <c:pt idx="34">
                  <c:v>0.51314169972843471</c:v>
                </c:pt>
                <c:pt idx="35">
                  <c:v>0.50456425890403489</c:v>
                </c:pt>
                <c:pt idx="36">
                  <c:v>0.49620400123307623</c:v>
                </c:pt>
                <c:pt idx="37">
                  <c:v>0.48805438114724164</c:v>
                </c:pt>
                <c:pt idx="38">
                  <c:v>0.48010906973939788</c:v>
                </c:pt>
                <c:pt idx="39">
                  <c:v>0.4723619471661899</c:v>
                </c:pt>
                <c:pt idx="40">
                  <c:v>0.46480709532755815</c:v>
                </c:pt>
                <c:pt idx="41">
                  <c:v>0.45743879081280348</c:v>
                </c:pt>
                <c:pt idx="42">
                  <c:v>0.45025149810321924</c:v>
                </c:pt>
                <c:pt idx="43">
                  <c:v>0.4432398630216936</c:v>
                </c:pt>
                <c:pt idx="44">
                  <c:v>0.43639870642004924</c:v>
                </c:pt>
                <c:pt idx="45">
                  <c:v>0.42972301809524321</c:v>
                </c:pt>
                <c:pt idx="46">
                  <c:v>0.42320795092588537</c:v>
                </c:pt>
                <c:pt idx="47">
                  <c:v>0.41684881522086187</c:v>
                </c:pt>
                <c:pt idx="48">
                  <c:v>0.41064107327216132</c:v>
                </c:pt>
                <c:pt idx="49">
                  <c:v>0.40458033410430316</c:v>
                </c:pt>
                <c:pt idx="50">
                  <c:v>0.39866234841305731</c:v>
                </c:pt>
                <c:pt idx="51">
                  <c:v>0.39288300368642076</c:v>
                </c:pt>
                <c:pt idx="52">
                  <c:v>0.38723831950108506</c:v>
                </c:pt>
                <c:pt idx="53">
                  <c:v>0.38172444298788627</c:v>
                </c:pt>
                <c:pt idx="54">
                  <c:v>0.37633764445997386</c:v>
                </c:pt>
                <c:pt idx="55">
                  <c:v>0.37107431319767453</c:v>
                </c:pt>
                <c:pt idx="56">
                  <c:v>0.36593095338425402</c:v>
                </c:pt>
                <c:pt idx="57">
                  <c:v>0.36090418018700071</c:v>
                </c:pt>
                <c:pt idx="58">
                  <c:v>0.35599071597826343</c:v>
                </c:pt>
                <c:pt idx="59">
                  <c:v>0.35118738669128263</c:v>
                </c:pt>
                <c:pt idx="60">
                  <c:v>0.34649111830584445</c:v>
                </c:pt>
                <c:pt idx="61">
                  <c:v>0.34189893345897937</c:v>
                </c:pt>
                <c:pt idx="62">
                  <c:v>0.3374079481761042</c:v>
                </c:pt>
                <c:pt idx="63">
                  <c:v>0.33301536871818155</c:v>
                </c:pt>
                <c:pt idx="64">
                  <c:v>0.32871848854063557</c:v>
                </c:pt>
                <c:pt idx="65">
                  <c:v>0.32451468535992695</c:v>
                </c:pt>
                <c:pt idx="66">
                  <c:v>0.32040141832383917</c:v>
                </c:pt>
                <c:pt idx="67">
                  <c:v>0.31637622528168086</c:v>
                </c:pt>
                <c:pt idx="68">
                  <c:v>0.31243672015074969</c:v>
                </c:pt>
                <c:pt idx="69">
                  <c:v>0.30858059037553992</c:v>
                </c:pt>
                <c:pt idx="70">
                  <c:v>0.30480559447630856</c:v>
                </c:pt>
                <c:pt idx="71">
                  <c:v>0.3011095596837427</c:v>
                </c:pt>
                <c:pt idx="72">
                  <c:v>0.29749037965659003</c:v>
                </c:pt>
                <c:pt idx="73">
                  <c:v>0.29394601227923473</c:v>
                </c:pt>
                <c:pt idx="74">
                  <c:v>0.290474477536312</c:v>
                </c:pt>
                <c:pt idx="75">
                  <c:v>0.28707385546156322</c:v>
                </c:pt>
                <c:pt idx="76">
                  <c:v>0.28374228415823999</c:v>
                </c:pt>
                <c:pt idx="77">
                  <c:v>0.28047795788846214</c:v>
                </c:pt>
                <c:pt idx="78">
                  <c:v>0.27727912522903553</c:v>
                </c:pt>
                <c:pt idx="79">
                  <c:v>0.27414408729132511</c:v>
                </c:pt>
                <c:pt idx="80">
                  <c:v>0.27107119600286994</c:v>
                </c:pt>
                <c:pt idx="81">
                  <c:v>0.26805885244851257</c:v>
                </c:pt>
                <c:pt idx="82">
                  <c:v>0.26510550526889703</c:v>
                </c:pt>
                <c:pt idx="83">
                  <c:v>0.26220964911427069</c:v>
                </c:pt>
                <c:pt idx="84">
                  <c:v>0.25936982315160084</c:v>
                </c:pt>
                <c:pt idx="85">
                  <c:v>0.25658460962309021</c:v>
                </c:pt>
                <c:pt idx="86">
                  <c:v>0.25385263245424783</c:v>
                </c:pt>
                <c:pt idx="87">
                  <c:v>0.2511725559097393</c:v>
                </c:pt>
                <c:pt idx="88">
                  <c:v>0.24854308329530489</c:v>
                </c:pt>
                <c:pt idx="89">
                  <c:v>0.24596295570409871</c:v>
                </c:pt>
                <c:pt idx="90">
                  <c:v>0.2434309508058628</c:v>
                </c:pt>
                <c:pt idx="91">
                  <c:v>0.24094588167740727</c:v>
                </c:pt>
                <c:pt idx="92">
                  <c:v>0.23850659567292454</c:v>
                </c:pt>
                <c:pt idx="93">
                  <c:v>0.23611197333272088</c:v>
                </c:pt>
                <c:pt idx="94">
                  <c:v>0.2337609273289982</c:v>
                </c:pt>
                <c:pt idx="95">
                  <c:v>0.23145240144737181</c:v>
                </c:pt>
                <c:pt idx="96">
                  <c:v>0.22918536960285615</c:v>
                </c:pt>
                <c:pt idx="97">
                  <c:v>0.22695883488909777</c:v>
                </c:pt>
                <c:pt idx="98">
                  <c:v>0.22477182865967976</c:v>
                </c:pt>
                <c:pt idx="99">
                  <c:v>0.22262340964036378</c:v>
                </c:pt>
                <c:pt idx="100">
                  <c:v>0.22051266307117889</c:v>
                </c:pt>
                <c:pt idx="101">
                  <c:v>0.21843869987730466</c:v>
                </c:pt>
                <c:pt idx="102">
                  <c:v>0.21640065586773491</c:v>
                </c:pt>
                <c:pt idx="103">
                  <c:v>0.21439769096074623</c:v>
                </c:pt>
                <c:pt idx="104">
                  <c:v>0.21242898843522964</c:v>
                </c:pt>
                <c:pt idx="105">
                  <c:v>0.2104937542069785</c:v>
                </c:pt>
                <c:pt idx="106">
                  <c:v>0.20859121612905915</c:v>
                </c:pt>
                <c:pt idx="107">
                  <c:v>0.20672062331542207</c:v>
                </c:pt>
                <c:pt idx="108">
                  <c:v>0.20488124548694125</c:v>
                </c:pt>
                <c:pt idx="109">
                  <c:v>0.20307237233910086</c:v>
                </c:pt>
                <c:pt idx="110">
                  <c:v>0.20129331293057337</c:v>
                </c:pt>
                <c:pt idx="111">
                  <c:v>0.19954339509196428</c:v>
                </c:pt>
                <c:pt idx="112">
                  <c:v>0.19782196485402184</c:v>
                </c:pt>
                <c:pt idx="113">
                  <c:v>0.19612838589463658</c:v>
                </c:pt>
                <c:pt idx="114">
                  <c:v>0.1944620390039804</c:v>
                </c:pt>
                <c:pt idx="115">
                  <c:v>0.19282232156715734</c:v>
                </c:pt>
                <c:pt idx="116">
                  <c:v>0.19120864706376048</c:v>
                </c:pt>
                <c:pt idx="117">
                  <c:v>0.18962044458375335</c:v>
                </c:pt>
                <c:pt idx="118">
                  <c:v>0.18805715835911174</c:v>
                </c:pt>
                <c:pt idx="119">
                  <c:v>0.18651824731068525</c:v>
                </c:pt>
                <c:pt idx="120">
                  <c:v>0.18500318460975504</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NS!$B$21:$B$141</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NS!$F$21:$F$141</c:f>
              <c:numCache>
                <c:formatCode>0.0000</c:formatCode>
                <c:ptCount val="121"/>
                <c:pt idx="0">
                  <c:v>2.4204057213950136E-4</c:v>
                </c:pt>
                <c:pt idx="1">
                  <c:v>2.1759420799216556E-2</c:v>
                </c:pt>
                <c:pt idx="2">
                  <c:v>4.2244369849885111E-2</c:v>
                </c:pt>
                <c:pt idx="3">
                  <c:v>6.1517783907351853E-2</c:v>
                </c:pt>
                <c:pt idx="4">
                  <c:v>7.9639653996288917E-2</c:v>
                </c:pt>
                <c:pt idx="5">
                  <c:v>9.6667160024388132E-2</c:v>
                </c:pt>
                <c:pt idx="6">
                  <c:v>0.11265479932262279</c:v>
                </c:pt>
                <c:pt idx="7">
                  <c:v>0.12765450938403067</c:v>
                </c:pt>
                <c:pt idx="8">
                  <c:v>0.14171578506082017</c:v>
                </c:pt>
                <c:pt idx="9">
                  <c:v>0.15488579046805007</c:v>
                </c:pt>
                <c:pt idx="10">
                  <c:v>0.1672094658310459</c:v>
                </c:pt>
                <c:pt idx="11">
                  <c:v>0.17872962950316262</c:v>
                </c:pt>
                <c:pt idx="12">
                  <c:v>0.18948707537039</c:v>
                </c:pt>
                <c:pt idx="13">
                  <c:v>0.19952066584965267</c:v>
                </c:pt>
                <c:pt idx="14">
                  <c:v>0.20886742067841724</c:v>
                </c:pt>
                <c:pt idx="15">
                  <c:v>0.21756260168442243</c:v>
                </c:pt>
                <c:pt idx="16">
                  <c:v>0.22563979371591175</c:v>
                </c:pt>
                <c:pt idx="17">
                  <c:v>0.23313098190470261</c:v>
                </c:pt>
                <c:pt idx="18">
                  <c:v>0.24006662542673995</c:v>
                </c:pt>
                <c:pt idx="19">
                  <c:v>0.24647572791742467</c:v>
                </c:pt>
                <c:pt idx="20">
                  <c:v>0.25238590469199251</c:v>
                </c:pt>
                <c:pt idx="21">
                  <c:v>0.25782344691450632</c:v>
                </c:pt>
                <c:pt idx="22">
                  <c:v>0.26281338285260913</c:v>
                </c:pt>
                <c:pt idx="23">
                  <c:v>0.2673795363490673</c:v>
                </c:pt>
                <c:pt idx="24">
                  <c:v>0.27154458263527054</c:v>
                </c:pt>
                <c:pt idx="25">
                  <c:v>0.27533010160626764</c:v>
                </c:pt>
                <c:pt idx="26">
                  <c:v>0.27875662867156986</c:v>
                </c:pt>
                <c:pt idx="27">
                  <c:v>0.28184370329084868</c:v>
                </c:pt>
                <c:pt idx="28">
                  <c:v>0.284609915298773</c:v>
                </c:pt>
                <c:pt idx="29">
                  <c:v>0.28707294911857156</c:v>
                </c:pt>
                <c:pt idx="30">
                  <c:v>0.28924962595944703</c:v>
                </c:pt>
                <c:pt idx="31">
                  <c:v>0.29115594408872048</c:v>
                </c:pt>
                <c:pt idx="32">
                  <c:v>0.29280711726550623</c:v>
                </c:pt>
                <c:pt idx="33">
                  <c:v>0.29421761141884278</c:v>
                </c:pt>
                <c:pt idx="34">
                  <c:v>0.29540117964948676</c:v>
                </c:pt>
                <c:pt idx="35">
                  <c:v>0.29637089563103008</c:v>
                </c:pt>
                <c:pt idx="36">
                  <c:v>0.2971391854826152</c:v>
                </c:pt>
                <c:pt idx="37">
                  <c:v>0.29771785818227947</c:v>
                </c:pt>
                <c:pt idx="38">
                  <c:v>0.29811813458687242</c:v>
                </c:pt>
                <c:pt idx="39">
                  <c:v>0.29835067512152985</c:v>
                </c:pt>
                <c:pt idx="40">
                  <c:v>0.2984256061988646</c:v>
                </c:pt>
                <c:pt idx="41">
                  <c:v>0.29835254542533929</c:v>
                </c:pt>
                <c:pt idx="42">
                  <c:v>0.298140625649705</c:v>
                </c:pt>
                <c:pt idx="43">
                  <c:v>0.2977985179059297</c:v>
                </c:pt>
                <c:pt idx="44">
                  <c:v>0.2973344533006857</c:v>
                </c:pt>
                <c:pt idx="45">
                  <c:v>0.2967562438932192</c:v>
                </c:pt>
                <c:pt idx="46">
                  <c:v>0.29607130261327735</c:v>
                </c:pt>
                <c:pt idx="47">
                  <c:v>0.29528666226071482</c:v>
                </c:pt>
                <c:pt idx="48">
                  <c:v>0.29440899362844508</c:v>
                </c:pt>
                <c:pt idx="49">
                  <c:v>0.29344462278852651</c:v>
                </c:pt>
                <c:pt idx="50">
                  <c:v>0.29239954757938591</c:v>
                </c:pt>
                <c:pt idx="51">
                  <c:v>0.29127945333047361</c:v>
                </c:pt>
                <c:pt idx="52">
                  <c:v>0.2900897278590101</c:v>
                </c:pt>
                <c:pt idx="53">
                  <c:v>0.28883547577192709</c:v>
                </c:pt>
                <c:pt idx="54">
                  <c:v>0.28752153210461362</c:v>
                </c:pt>
                <c:pt idx="55">
                  <c:v>0.28615247532665666</c:v>
                </c:pt>
                <c:pt idx="56">
                  <c:v>0.2847326397434049</c:v>
                </c:pt>
                <c:pt idx="57">
                  <c:v>0.28326612732088596</c:v>
                </c:pt>
                <c:pt idx="58">
                  <c:v>0.28175681896036725</c:v>
                </c:pt>
                <c:pt idx="59">
                  <c:v>0.28020838524766506</c:v>
                </c:pt>
                <c:pt idx="60">
                  <c:v>0.27862429670117367</c:v>
                </c:pt>
                <c:pt idx="61">
                  <c:v>0.27700783354150693</c:v>
                </c:pt>
                <c:pt idx="62">
                  <c:v>0.27536209500461001</c:v>
                </c:pt>
                <c:pt idx="63">
                  <c:v>0.27369000821921335</c:v>
                </c:pt>
                <c:pt idx="64">
                  <c:v>0.27199433666855688</c:v>
                </c:pt>
                <c:pt idx="65">
                  <c:v>0.2702776882554152</c:v>
                </c:pt>
                <c:pt idx="66">
                  <c:v>0.26854252298859166</c:v>
                </c:pt>
                <c:pt idx="67">
                  <c:v>0.26679116030822864</c:v>
                </c:pt>
                <c:pt idx="68">
                  <c:v>0.26502578606649896</c:v>
                </c:pt>
                <c:pt idx="69">
                  <c:v>0.26324845917949052</c:v>
                </c:pt>
                <c:pt idx="70">
                  <c:v>0.26146111796538324</c:v>
                </c:pt>
                <c:pt idx="71">
                  <c:v>0.25966558618333319</c:v>
                </c:pt>
                <c:pt idx="72">
                  <c:v>0.25786357878682503</c:v>
                </c:pt>
                <c:pt idx="73">
                  <c:v>0.25605670740463116</c:v>
                </c:pt>
                <c:pt idx="74">
                  <c:v>0.25424648556192042</c:v>
                </c:pt>
                <c:pt idx="75">
                  <c:v>0.25243433365348961</c:v>
                </c:pt>
                <c:pt idx="76">
                  <c:v>0.25062158368054926</c:v>
                </c:pt>
                <c:pt idx="77">
                  <c:v>0.24880948376197395</c:v>
                </c:pt>
                <c:pt idx="78">
                  <c:v>0.24699920243043483</c:v>
                </c:pt>
                <c:pt idx="79">
                  <c:v>0.24519183272335637</c:v>
                </c:pt>
                <c:pt idx="80">
                  <c:v>0.24338839607818835</c:v>
                </c:pt>
                <c:pt idx="81">
                  <c:v>0.24158984604105352</c:v>
                </c:pt>
                <c:pt idx="82">
                  <c:v>0.23979707179741655</c:v>
                </c:pt>
                <c:pt idx="83">
                  <c:v>0.23801090153302965</c:v>
                </c:pt>
                <c:pt idx="84">
                  <c:v>0.23623210563303157</c:v>
                </c:pt>
                <c:pt idx="85">
                  <c:v>0.2344613997267187</c:v>
                </c:pt>
                <c:pt idx="86">
                  <c:v>0.23269944758516509</c:v>
                </c:pt>
                <c:pt idx="87">
                  <c:v>0.23094686387854002</c:v>
                </c:pt>
                <c:pt idx="88">
                  <c:v>0.22920421679965847</c:v>
                </c:pt>
                <c:pt idx="89">
                  <c:v>0.22747203056000317</c:v>
                </c:pt>
                <c:pt idx="90">
                  <c:v>0.22575078776417076</c:v>
                </c:pt>
                <c:pt idx="91">
                  <c:v>0.22404093166842257</c:v>
                </c:pt>
                <c:pt idx="92">
                  <c:v>0.22234286832876077</c:v>
                </c:pt>
                <c:pt idx="93">
                  <c:v>0.22065696864370318</c:v>
                </c:pt>
                <c:pt idx="94">
                  <c:v>0.21898357029669199</c:v>
                </c:pt>
                <c:pt idx="95">
                  <c:v>0.21732297960284638</c:v>
                </c:pt>
                <c:pt idx="96">
                  <c:v>0.21567547326455297</c:v>
                </c:pt>
                <c:pt idx="97">
                  <c:v>0.21404130004018135</c:v>
                </c:pt>
                <c:pt idx="98">
                  <c:v>0.2124206823300161</c:v>
                </c:pt>
                <c:pt idx="99">
                  <c:v>0.21081381768330701</c:v>
                </c:pt>
                <c:pt idx="100">
                  <c:v>0.20922088023016239</c:v>
                </c:pt>
                <c:pt idx="101">
                  <c:v>0.20764202204183674</c:v>
                </c:pt>
                <c:pt idx="102">
                  <c:v>0.20607737442280141</c:v>
                </c:pt>
                <c:pt idx="103">
                  <c:v>0.20452704913783135</c:v>
                </c:pt>
                <c:pt idx="104">
                  <c:v>0.202991139577191</c:v>
                </c:pt>
                <c:pt idx="105">
                  <c:v>0.20146972186286119</c:v>
                </c:pt>
                <c:pt idx="106">
                  <c:v>0.19996285589861162</c:v>
                </c:pt>
                <c:pt idx="107">
                  <c:v>0.19847058636659606</c:v>
                </c:pt>
                <c:pt idx="108">
                  <c:v>0.19699294367302128</c:v>
                </c:pt>
                <c:pt idx="109">
                  <c:v>0.19552994484532485</c:v>
                </c:pt>
                <c:pt idx="110">
                  <c:v>0.19408159438318193</c:v>
                </c:pt>
                <c:pt idx="111">
                  <c:v>0.19264788506555602</c:v>
                </c:pt>
                <c:pt idx="112">
                  <c:v>0.19122879871590415</c:v>
                </c:pt>
                <c:pt idx="113">
                  <c:v>0.18982430692754895</c:v>
                </c:pt>
                <c:pt idx="114">
                  <c:v>0.18843437175113878</c:v>
                </c:pt>
                <c:pt idx="115">
                  <c:v>0.18705894634602419</c:v>
                </c:pt>
                <c:pt idx="116">
                  <c:v>0.18569797559729687</c:v>
                </c:pt>
                <c:pt idx="117">
                  <c:v>0.18435139670015474</c:v>
                </c:pt>
                <c:pt idx="118">
                  <c:v>0.18301913971317868</c:v>
                </c:pt>
                <c:pt idx="119">
                  <c:v>0.18170112808203359</c:v>
                </c:pt>
                <c:pt idx="120">
                  <c:v>0.18039727913503484</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5.0000078964795414</c:v>
                </c:pt>
                <c:pt idx="1">
                  <c:v>5.0000073852720597</c:v>
                </c:pt>
                <c:pt idx="2">
                  <c:v>5.0000068916611191</c:v>
                </c:pt>
                <c:pt idx="3">
                  <c:v>5.0000064203216326</c:v>
                </c:pt>
                <c:pt idx="4">
                  <c:v>5.0000059702633006</c:v>
                </c:pt>
                <c:pt idx="5">
                  <c:v>5.0000055405396049</c:v>
                </c:pt>
                <c:pt idx="6">
                  <c:v>5.0000051302458823</c:v>
                </c:pt>
                <c:pt idx="7">
                  <c:v>5.0000047385174788</c:v>
                </c:pt>
                <c:pt idx="8">
                  <c:v>5.0000043645279799</c:v>
                </c:pt>
                <c:pt idx="9">
                  <c:v>5.000004007487532</c:v>
                </c:pt>
                <c:pt idx="10">
                  <c:v>5.0000036666412262</c:v>
                </c:pt>
                <c:pt idx="11">
                  <c:v>5.0000033412675542</c:v>
                </c:pt>
                <c:pt idx="12">
                  <c:v>5.0000030306769423</c:v>
                </c:pt>
                <c:pt idx="13">
                  <c:v>5.0000027342103355</c:v>
                </c:pt>
                <c:pt idx="14">
                  <c:v>5.0000024512378554</c:v>
                </c:pt>
                <c:pt idx="15">
                  <c:v>5.0000021811575115</c:v>
                </c:pt>
                <c:pt idx="16">
                  <c:v>5.000001923393973</c:v>
                </c:pt>
                <c:pt idx="17">
                  <c:v>5.0000016773973854</c:v>
                </c:pt>
                <c:pt idx="18">
                  <c:v>5.0000014426422554</c:v>
                </c:pt>
                <c:pt idx="19">
                  <c:v>5.0000012186263705</c:v>
                </c:pt>
                <c:pt idx="20">
                  <c:v>5.0000010048697705</c:v>
                </c:pt>
                <c:pt idx="21">
                  <c:v>5.0000008009137691</c:v>
                </c:pt>
                <c:pt idx="22">
                  <c:v>5.000000606320012</c:v>
                </c:pt>
                <c:pt idx="23">
                  <c:v>5.0000004206695792</c:v>
                </c:pt>
                <c:pt idx="24">
                  <c:v>5.0000002435621278</c:v>
                </c:pt>
                <c:pt idx="25">
                  <c:v>5.0000000746150723</c:v>
                </c:pt>
                <c:pt idx="26">
                  <c:v>4.9999999134627959</c:v>
                </c:pt>
                <c:pt idx="27">
                  <c:v>4.9999997597559105</c:v>
                </c:pt>
                <c:pt idx="28">
                  <c:v>4.9999996131605267</c:v>
                </c:pt>
                <c:pt idx="29">
                  <c:v>4.9999994733575814</c:v>
                </c:pt>
                <c:pt idx="30">
                  <c:v>4.9999993400421756</c:v>
                </c:pt>
                <c:pt idx="31">
                  <c:v>4.9999992129229485</c:v>
                </c:pt>
                <c:pt idx="32">
                  <c:v>4.9999990917214845</c:v>
                </c:pt>
                <c:pt idx="33">
                  <c:v>4.9999989761717352</c:v>
                </c:pt>
                <c:pt idx="34">
                  <c:v>4.9999988660194745</c:v>
                </c:pt>
                <c:pt idx="35">
                  <c:v>4.9999987610217778</c:v>
                </c:pt>
                <c:pt idx="36">
                  <c:v>4.9999986609465212</c:v>
                </c:pt>
                <c:pt idx="37">
                  <c:v>4.999998565571901</c:v>
                </c:pt>
                <c:pt idx="38">
                  <c:v>4.9999984746859845</c:v>
                </c:pt>
                <c:pt idx="39">
                  <c:v>4.9999983880862633</c:v>
                </c:pt>
                <c:pt idx="40">
                  <c:v>4.9999983055792452</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0</c:v>
                </c:pt>
                <c:pt idx="12">
                  <c:v>0</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0</c:v>
                </c:pt>
                <c:pt idx="12">
                  <c:v>0</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7"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heetViews>
  <sheetFormatPr baseColWidth="10" defaultColWidth="11.5" defaultRowHeight="15" x14ac:dyDescent="0.2"/>
  <sheetData/>
  <sheetProtection algorithmName="SHA-512" hashValue="sbrC6pyvzazEcYfeoSLNEd/9X68sEsPluhV6zovyGzViTb/V86ERIaV2y+LAKwVTnsvUJwsVDW9+/GJN+wZ6vg==" saltValue="+FkUfe9Vbn/hEXxILQ3GoQ=="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dimension ref="B2:D12"/>
  <sheetViews>
    <sheetView showGridLines="0" tabSelected="1" zoomScale="150" zoomScaleNormal="150" workbookViewId="0"/>
  </sheetViews>
  <sheetFormatPr baseColWidth="10" defaultRowHeight="15" x14ac:dyDescent="0.2"/>
  <cols>
    <col min="1" max="16384" width="10.83203125" style="1"/>
  </cols>
  <sheetData>
    <row r="2" spans="2:4" x14ac:dyDescent="0.2">
      <c r="C2" s="29" t="s">
        <v>53</v>
      </c>
      <c r="D2" s="29" t="s">
        <v>54</v>
      </c>
    </row>
    <row r="3" spans="2:4" x14ac:dyDescent="0.2">
      <c r="B3" s="28" t="s">
        <v>46</v>
      </c>
      <c r="C3" s="30">
        <v>5.04E-2</v>
      </c>
      <c r="D3" s="30">
        <v>5.04E-2</v>
      </c>
    </row>
    <row r="4" spans="2:4" x14ac:dyDescent="0.2">
      <c r="B4" s="28" t="s">
        <v>47</v>
      </c>
      <c r="C4" s="30">
        <v>5.04E-2</v>
      </c>
    </row>
    <row r="5" spans="2:4" x14ac:dyDescent="0.2">
      <c r="B5" s="28" t="s">
        <v>50</v>
      </c>
      <c r="C5" s="31">
        <v>2</v>
      </c>
    </row>
    <row r="6" spans="2:4" x14ac:dyDescent="0.2">
      <c r="B6" s="28" t="s">
        <v>51</v>
      </c>
      <c r="C6" s="32">
        <f ca="1">TODAY()</f>
        <v>45200</v>
      </c>
    </row>
    <row r="7" spans="2:4" x14ac:dyDescent="0.2">
      <c r="B7" s="28" t="s">
        <v>52</v>
      </c>
      <c r="C7" s="32">
        <f ca="1">C6+C5*365.25</f>
        <v>45930.5</v>
      </c>
    </row>
    <row r="8" spans="2:4" x14ac:dyDescent="0.2">
      <c r="B8" s="28" t="s">
        <v>48</v>
      </c>
      <c r="C8" s="7">
        <f ca="1">MDURATION(C6,C7,C4,C3,1)</f>
        <v>1.8557125866081248</v>
      </c>
    </row>
    <row r="9" spans="2:4" x14ac:dyDescent="0.2">
      <c r="B9" s="28" t="s">
        <v>49</v>
      </c>
      <c r="C9" s="7">
        <f ca="1">PRICE(C6,C7,C4,C3,100,1)</f>
        <v>99.999659556167558</v>
      </c>
      <c r="D9" s="7">
        <f ca="1">PRICE(C6,C7,C4,D3,100,1)</f>
        <v>99.999659556167558</v>
      </c>
    </row>
    <row r="11" spans="2:4" x14ac:dyDescent="0.2">
      <c r="C11" s="28" t="s">
        <v>55</v>
      </c>
      <c r="D11" s="26">
        <f ca="1">D9/C9-1</f>
        <v>0</v>
      </c>
    </row>
    <row r="12" spans="2:4" x14ac:dyDescent="0.2">
      <c r="C12" s="28" t="s">
        <v>56</v>
      </c>
      <c r="D12" s="26">
        <f ca="1">(D3-C3)*-C8</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41"/>
  <sheetViews>
    <sheetView showGridLines="0" zoomScale="133" zoomScaleNormal="133" workbookViewId="0">
      <selection activeCell="I6" sqref="I6"/>
    </sheetView>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3">
        <v>45200</v>
      </c>
      <c r="H3" s="9" t="s">
        <v>5</v>
      </c>
      <c r="I3" s="19">
        <v>5</v>
      </c>
      <c r="J3" s="6" t="s">
        <v>13</v>
      </c>
      <c r="K3" s="9" t="s">
        <v>17</v>
      </c>
      <c r="P3" s="22"/>
    </row>
    <row r="4" spans="2:17" x14ac:dyDescent="0.2">
      <c r="B4" s="22"/>
      <c r="C4" s="43"/>
      <c r="H4" s="9" t="s">
        <v>6</v>
      </c>
      <c r="I4" s="19">
        <v>0</v>
      </c>
      <c r="J4" s="6" t="s">
        <v>14</v>
      </c>
      <c r="K4" s="20"/>
      <c r="P4" s="22"/>
    </row>
    <row r="5" spans="2:17" x14ac:dyDescent="0.2">
      <c r="H5" s="9" t="s">
        <v>7</v>
      </c>
      <c r="I5" s="19">
        <v>0</v>
      </c>
      <c r="J5" s="6" t="s">
        <v>15</v>
      </c>
      <c r="K5" s="21"/>
      <c r="P5" s="9" t="s">
        <v>22</v>
      </c>
    </row>
    <row r="6" spans="2:17" x14ac:dyDescent="0.2">
      <c r="B6" s="5" t="s">
        <v>3</v>
      </c>
      <c r="C6" s="5" t="s">
        <v>4</v>
      </c>
      <c r="D6" s="5" t="s">
        <v>9</v>
      </c>
      <c r="E6" s="5" t="s">
        <v>10</v>
      </c>
      <c r="F6" s="5" t="s">
        <v>23</v>
      </c>
      <c r="H6" s="9" t="s">
        <v>8</v>
      </c>
      <c r="I6" s="12" cm="1">
        <f t="array" ref="I6">INDEX(lambdas,hump_ix,1)</f>
        <v>0.17934720000000001</v>
      </c>
      <c r="J6" s="6" t="s">
        <v>8</v>
      </c>
      <c r="K6" s="6"/>
      <c r="P6" s="12">
        <f>SUMSQ(E7:E17)</f>
        <v>235.62909900000002</v>
      </c>
    </row>
    <row r="7" spans="2:17" x14ac:dyDescent="0.2">
      <c r="B7" s="9">
        <v>2.7000000000000001E-3</v>
      </c>
      <c r="C7" s="7">
        <f t="array" ref="C7:C17">INDEX(current_rates, , country_ix)</f>
        <v>-6.3E-2</v>
      </c>
      <c r="D7" s="7">
        <f>C21</f>
        <v>5</v>
      </c>
      <c r="E7" s="8">
        <f t="shared" ref="E7:E17" si="0">IF(ISNA(C7),0,IF(F7,D7-C7,0))</f>
        <v>5.0629999999999997</v>
      </c>
      <c r="F7" s="22">
        <v>1</v>
      </c>
    </row>
    <row r="8" spans="2:17" x14ac:dyDescent="0.2">
      <c r="B8" s="9">
        <v>0.25</v>
      </c>
      <c r="C8" s="7">
        <v>-0.15</v>
      </c>
      <c r="D8" s="7">
        <f>C22</f>
        <v>5</v>
      </c>
      <c r="E8" s="8">
        <f t="shared" si="0"/>
        <v>5.15</v>
      </c>
      <c r="F8" s="22">
        <v>1</v>
      </c>
    </row>
    <row r="9" spans="2:17" x14ac:dyDescent="0.2">
      <c r="B9" s="9">
        <v>0.5</v>
      </c>
      <c r="C9" s="7">
        <v>-0.124</v>
      </c>
      <c r="D9" s="7">
        <f>C23</f>
        <v>5</v>
      </c>
      <c r="E9" s="8">
        <f t="shared" si="0"/>
        <v>5.1239999999999997</v>
      </c>
      <c r="F9" s="22">
        <v>1</v>
      </c>
      <c r="Q9" s="1" t="s">
        <v>11</v>
      </c>
    </row>
    <row r="10" spans="2:17" x14ac:dyDescent="0.2">
      <c r="B10" s="9">
        <v>1</v>
      </c>
      <c r="C10" s="7">
        <v>-6.4000000000000001E-2</v>
      </c>
      <c r="D10" s="7">
        <f>C25</f>
        <v>5</v>
      </c>
      <c r="E10" s="8">
        <f t="shared" si="0"/>
        <v>5.0640000000000001</v>
      </c>
      <c r="F10" s="22">
        <v>1</v>
      </c>
    </row>
    <row r="11" spans="2:17" x14ac:dyDescent="0.2">
      <c r="B11" s="9">
        <v>2</v>
      </c>
      <c r="C11" s="7">
        <v>0.05</v>
      </c>
      <c r="D11" s="7">
        <f>C29</f>
        <v>5</v>
      </c>
      <c r="E11" s="8">
        <f t="shared" si="0"/>
        <v>4.95</v>
      </c>
      <c r="F11" s="22">
        <v>1</v>
      </c>
    </row>
    <row r="12" spans="2:17" x14ac:dyDescent="0.2">
      <c r="B12" s="9">
        <v>3</v>
      </c>
      <c r="C12" s="7">
        <v>8.8999999999999996E-2</v>
      </c>
      <c r="D12" s="7">
        <f>C33</f>
        <v>5</v>
      </c>
      <c r="E12" s="8">
        <f t="shared" si="0"/>
        <v>4.9109999999999996</v>
      </c>
      <c r="F12" s="22">
        <v>1</v>
      </c>
    </row>
    <row r="13" spans="2:17" x14ac:dyDescent="0.2">
      <c r="B13" s="9">
        <v>5</v>
      </c>
      <c r="C13" s="7">
        <v>0.316</v>
      </c>
      <c r="D13" s="7">
        <f>C41</f>
        <v>5</v>
      </c>
      <c r="E13" s="8">
        <f t="shared" si="0"/>
        <v>4.6840000000000002</v>
      </c>
      <c r="F13" s="22">
        <v>1</v>
      </c>
    </row>
    <row r="14" spans="2:17" x14ac:dyDescent="0.2">
      <c r="B14" s="9">
        <v>7</v>
      </c>
      <c r="C14" s="7">
        <v>0.52400000000000002</v>
      </c>
      <c r="D14" s="7">
        <f>C49</f>
        <v>5</v>
      </c>
      <c r="E14" s="8">
        <f t="shared" si="0"/>
        <v>4.476</v>
      </c>
      <c r="F14" s="22">
        <v>1</v>
      </c>
    </row>
    <row r="15" spans="2:17" x14ac:dyDescent="0.2">
      <c r="B15" s="9">
        <v>10</v>
      </c>
      <c r="C15" s="7">
        <v>0.76500000000000001</v>
      </c>
      <c r="D15" s="7">
        <f>C61</f>
        <v>5</v>
      </c>
      <c r="E15" s="8">
        <f t="shared" si="0"/>
        <v>4.2350000000000003</v>
      </c>
      <c r="F15" s="22">
        <v>1</v>
      </c>
    </row>
    <row r="16" spans="2:17" x14ac:dyDescent="0.2">
      <c r="B16" s="9">
        <v>20</v>
      </c>
      <c r="C16" s="7">
        <v>1.482</v>
      </c>
      <c r="D16" s="7">
        <f>C101</f>
        <v>5</v>
      </c>
      <c r="E16" s="8">
        <f t="shared" si="0"/>
        <v>3.5179999999999998</v>
      </c>
      <c r="F16" s="22">
        <v>1</v>
      </c>
    </row>
    <row r="17" spans="2:10" x14ac:dyDescent="0.2">
      <c r="B17" s="9">
        <v>30</v>
      </c>
      <c r="C17" s="7">
        <v>1.734</v>
      </c>
      <c r="D17" s="7">
        <f>C141</f>
        <v>5</v>
      </c>
      <c r="E17" s="8">
        <f t="shared" si="0"/>
        <v>3.266</v>
      </c>
      <c r="F17" s="22">
        <v>1</v>
      </c>
    </row>
    <row r="18" spans="2:10" x14ac:dyDescent="0.2">
      <c r="C18" s="3"/>
    </row>
    <row r="19" spans="2:10" x14ac:dyDescent="0.2">
      <c r="B19" s="10"/>
      <c r="C19" s="11" t="s">
        <v>9</v>
      </c>
      <c r="D19" s="10"/>
      <c r="E19" s="10" t="s">
        <v>20</v>
      </c>
      <c r="F19" s="10"/>
    </row>
    <row r="20" spans="2:10" x14ac:dyDescent="0.2">
      <c r="B20" s="10" t="s">
        <v>3</v>
      </c>
      <c r="C20" s="10" t="s">
        <v>4</v>
      </c>
      <c r="D20" s="10" t="s">
        <v>5</v>
      </c>
      <c r="E20" s="10" t="s">
        <v>6</v>
      </c>
      <c r="F20" s="10" t="s">
        <v>7</v>
      </c>
    </row>
    <row r="21" spans="2:10" x14ac:dyDescent="0.2">
      <c r="B21" s="15">
        <v>2.7000000000000001E-3</v>
      </c>
      <c r="C21" s="7">
        <f t="shared" ref="C21:C52" si="1">beta_0*D21+beta_1*E21+beta_2*F21</f>
        <v>5</v>
      </c>
      <c r="D21" s="13">
        <v>1</v>
      </c>
      <c r="E21" s="14">
        <f t="shared" ref="E21:E52" si="2">((1-EXP(-lambda*$B21))/(lambda*$B21))</f>
        <v>0.99975792035616651</v>
      </c>
      <c r="F21" s="14">
        <f t="shared" ref="F21:F52" si="3">((1-EXP(-lambda*$B21))/(lambda*$B21)-EXP(-lambda*$B21))</f>
        <v>2.4204057213950136E-4</v>
      </c>
    </row>
    <row r="22" spans="2:10" x14ac:dyDescent="0.2">
      <c r="B22" s="15">
        <v>0.25</v>
      </c>
      <c r="C22" s="7">
        <f t="shared" si="1"/>
        <v>5</v>
      </c>
      <c r="D22" s="13">
        <v>1</v>
      </c>
      <c r="E22" s="14">
        <f t="shared" si="2"/>
        <v>0.97791293415317737</v>
      </c>
      <c r="F22" s="14">
        <f t="shared" si="3"/>
        <v>2.1759420799216556E-2</v>
      </c>
      <c r="J22" s="1" t="s">
        <v>11</v>
      </c>
    </row>
    <row r="23" spans="2:10" x14ac:dyDescent="0.2">
      <c r="B23" s="15">
        <v>0.5</v>
      </c>
      <c r="C23" s="7">
        <f t="shared" si="1"/>
        <v>5</v>
      </c>
      <c r="D23" s="13">
        <v>1</v>
      </c>
      <c r="E23" s="14">
        <f t="shared" si="2"/>
        <v>0.95647391094900813</v>
      </c>
      <c r="F23" s="14">
        <f t="shared" si="3"/>
        <v>4.2244369849885111E-2</v>
      </c>
    </row>
    <row r="24" spans="2:10" x14ac:dyDescent="0.2">
      <c r="B24" s="15">
        <v>0.75</v>
      </c>
      <c r="C24" s="7">
        <f t="shared" si="1"/>
        <v>5</v>
      </c>
      <c r="D24" s="13">
        <v>1</v>
      </c>
      <c r="E24" s="14">
        <f t="shared" si="2"/>
        <v>0.93566157164125763</v>
      </c>
      <c r="F24" s="14">
        <f t="shared" si="3"/>
        <v>6.1517783907351853E-2</v>
      </c>
    </row>
    <row r="25" spans="2:10" x14ac:dyDescent="0.2">
      <c r="B25" s="15">
        <v>1</v>
      </c>
      <c r="C25" s="7">
        <f t="shared" si="1"/>
        <v>5</v>
      </c>
      <c r="D25" s="13">
        <v>1</v>
      </c>
      <c r="E25" s="14">
        <f t="shared" si="2"/>
        <v>0.91545530781460194</v>
      </c>
      <c r="F25" s="14">
        <f t="shared" si="3"/>
        <v>7.9639653996288917E-2</v>
      </c>
    </row>
    <row r="26" spans="2:10" x14ac:dyDescent="0.2">
      <c r="B26" s="15">
        <v>1.25</v>
      </c>
      <c r="C26" s="7">
        <f t="shared" si="1"/>
        <v>5</v>
      </c>
      <c r="D26" s="13">
        <v>1</v>
      </c>
      <c r="E26" s="14">
        <f t="shared" si="2"/>
        <v>0.89583523393900599</v>
      </c>
      <c r="F26" s="14">
        <f t="shared" si="3"/>
        <v>9.6667160024388132E-2</v>
      </c>
    </row>
    <row r="27" spans="2:10" x14ac:dyDescent="0.2">
      <c r="B27" s="15">
        <v>1.5</v>
      </c>
      <c r="C27" s="7">
        <f t="shared" si="1"/>
        <v>5</v>
      </c>
      <c r="D27" s="13">
        <v>1</v>
      </c>
      <c r="E27" s="14">
        <f t="shared" si="2"/>
        <v>0.8767821609564026</v>
      </c>
      <c r="F27" s="14">
        <f t="shared" si="3"/>
        <v>0.11265479932262279</v>
      </c>
    </row>
    <row r="28" spans="2:10" x14ac:dyDescent="0.2">
      <c r="B28" s="15">
        <v>1.75</v>
      </c>
      <c r="C28" s="7">
        <f t="shared" si="1"/>
        <v>5</v>
      </c>
      <c r="D28" s="13">
        <v>1</v>
      </c>
      <c r="E28" s="14">
        <f t="shared" si="2"/>
        <v>0.85827757086006173</v>
      </c>
      <c r="F28" s="14">
        <f t="shared" si="3"/>
        <v>0.12765450938403067</v>
      </c>
    </row>
    <row r="29" spans="2:10" x14ac:dyDescent="0.2">
      <c r="B29" s="15">
        <v>2</v>
      </c>
      <c r="C29" s="7">
        <f t="shared" si="1"/>
        <v>5</v>
      </c>
      <c r="D29" s="13">
        <v>1</v>
      </c>
      <c r="E29" s="14">
        <f t="shared" si="2"/>
        <v>0.84030359222855422</v>
      </c>
      <c r="F29" s="14">
        <f t="shared" si="3"/>
        <v>0.14171578506082017</v>
      </c>
    </row>
    <row r="30" spans="2:10" x14ac:dyDescent="0.2">
      <c r="B30" s="15">
        <v>2.25</v>
      </c>
      <c r="C30" s="7">
        <f t="shared" si="1"/>
        <v>5</v>
      </c>
      <c r="D30" s="13">
        <v>1</v>
      </c>
      <c r="E30" s="14">
        <f t="shared" si="2"/>
        <v>0.82284297667771833</v>
      </c>
      <c r="F30" s="14">
        <f t="shared" si="3"/>
        <v>0.15488579046805007</v>
      </c>
    </row>
    <row r="31" spans="2:10" x14ac:dyDescent="0.2">
      <c r="B31" s="15">
        <v>2.5</v>
      </c>
      <c r="C31" s="7">
        <f t="shared" si="1"/>
        <v>5</v>
      </c>
      <c r="D31" s="13">
        <v>1</v>
      </c>
      <c r="E31" s="14">
        <f t="shared" si="2"/>
        <v>0.80587907619544608</v>
      </c>
      <c r="F31" s="14">
        <f t="shared" si="3"/>
        <v>0.1672094658310459</v>
      </c>
    </row>
    <row r="32" spans="2:10" x14ac:dyDescent="0.2">
      <c r="B32" s="15">
        <v>2.75</v>
      </c>
      <c r="C32" s="7">
        <f t="shared" si="1"/>
        <v>5</v>
      </c>
      <c r="D32" s="13">
        <v>1</v>
      </c>
      <c r="E32" s="14">
        <f t="shared" si="2"/>
        <v>0.78939582132548902</v>
      </c>
      <c r="F32" s="14">
        <f t="shared" si="3"/>
        <v>0.17872962950316262</v>
      </c>
    </row>
    <row r="33" spans="2:6" x14ac:dyDescent="0.2">
      <c r="B33" s="15">
        <v>3</v>
      </c>
      <c r="C33" s="7">
        <f t="shared" si="1"/>
        <v>5</v>
      </c>
      <c r="D33" s="13">
        <v>1</v>
      </c>
      <c r="E33" s="14">
        <f t="shared" si="2"/>
        <v>0.77337770016779128</v>
      </c>
      <c r="F33" s="14">
        <f t="shared" si="3"/>
        <v>0.18948707537039</v>
      </c>
    </row>
    <row r="34" spans="2:6" x14ac:dyDescent="0.2">
      <c r="B34" s="15">
        <v>3.25</v>
      </c>
      <c r="C34" s="7">
        <f t="shared" si="1"/>
        <v>5</v>
      </c>
      <c r="D34" s="13">
        <v>1</v>
      </c>
      <c r="E34" s="14">
        <f t="shared" si="2"/>
        <v>0.75780973816412722</v>
      </c>
      <c r="F34" s="14">
        <f t="shared" si="3"/>
        <v>0.19952066584965267</v>
      </c>
    </row>
    <row r="35" spans="2:6" x14ac:dyDescent="0.2">
      <c r="B35" s="15">
        <v>3.5</v>
      </c>
      <c r="C35" s="7">
        <f t="shared" si="1"/>
        <v>5</v>
      </c>
      <c r="D35" s="13">
        <v>1</v>
      </c>
      <c r="E35" s="14">
        <f t="shared" si="2"/>
        <v>0.74267747863902556</v>
      </c>
      <c r="F35" s="14">
        <f t="shared" si="3"/>
        <v>0.20886742067841724</v>
      </c>
    </row>
    <row r="36" spans="2:6" x14ac:dyDescent="0.2">
      <c r="B36" s="15">
        <v>3.75</v>
      </c>
      <c r="C36" s="7">
        <f t="shared" si="1"/>
        <v>5</v>
      </c>
      <c r="D36" s="13">
        <v>1</v>
      </c>
      <c r="E36" s="14">
        <f t="shared" si="2"/>
        <v>0.72796696406713957</v>
      </c>
      <c r="F36" s="14">
        <f t="shared" si="3"/>
        <v>0.21756260168442243</v>
      </c>
    </row>
    <row r="37" spans="2:6" x14ac:dyDescent="0.2">
      <c r="B37" s="15">
        <v>4</v>
      </c>
      <c r="C37" s="7">
        <f t="shared" si="1"/>
        <v>5</v>
      </c>
      <c r="D37" s="13">
        <v>1</v>
      </c>
      <c r="E37" s="14">
        <f t="shared" si="2"/>
        <v>0.71366471803933496</v>
      </c>
      <c r="F37" s="14">
        <f t="shared" si="3"/>
        <v>0.22563979371591175</v>
      </c>
    </row>
    <row r="38" spans="2:6" x14ac:dyDescent="0.2">
      <c r="B38" s="15">
        <v>4.25</v>
      </c>
      <c r="C38" s="7">
        <f t="shared" si="1"/>
        <v>5</v>
      </c>
      <c r="D38" s="13">
        <v>1</v>
      </c>
      <c r="E38" s="14">
        <f t="shared" si="2"/>
        <v>0.69975772790084456</v>
      </c>
      <c r="F38" s="14">
        <f t="shared" si="3"/>
        <v>0.23313098190470261</v>
      </c>
    </row>
    <row r="39" spans="2:6" x14ac:dyDescent="0.2">
      <c r="B39" s="15">
        <v>4.5</v>
      </c>
      <c r="C39" s="7">
        <f t="shared" si="1"/>
        <v>5</v>
      </c>
      <c r="D39" s="13">
        <v>1</v>
      </c>
      <c r="E39" s="14">
        <f t="shared" si="2"/>
        <v>0.68623342803587739</v>
      </c>
      <c r="F39" s="14">
        <f t="shared" si="3"/>
        <v>0.24006662542673995</v>
      </c>
    </row>
    <row r="40" spans="2:6" x14ac:dyDescent="0.2">
      <c r="B40" s="15">
        <v>4.75</v>
      </c>
      <c r="C40" s="7">
        <f t="shared" si="1"/>
        <v>5</v>
      </c>
      <c r="D40" s="13">
        <v>1</v>
      </c>
      <c r="E40" s="14">
        <f t="shared" si="2"/>
        <v>0.67307968377405458</v>
      </c>
      <c r="F40" s="14">
        <f t="shared" si="3"/>
        <v>0.24647572791742467</v>
      </c>
    </row>
    <row r="41" spans="2:6" x14ac:dyDescent="0.2">
      <c r="B41" s="15">
        <v>5</v>
      </c>
      <c r="C41" s="7">
        <f t="shared" si="1"/>
        <v>5</v>
      </c>
      <c r="D41" s="13">
        <v>1</v>
      </c>
      <c r="E41" s="14">
        <f t="shared" si="2"/>
        <v>0.66028477589500723</v>
      </c>
      <c r="F41" s="14">
        <f t="shared" si="3"/>
        <v>0.25238590469199251</v>
      </c>
    </row>
    <row r="42" spans="2:6" x14ac:dyDescent="0.2">
      <c r="B42" s="15">
        <v>5.25</v>
      </c>
      <c r="C42" s="7">
        <f t="shared" si="1"/>
        <v>5</v>
      </c>
      <c r="D42" s="13">
        <v>1</v>
      </c>
      <c r="E42" s="14">
        <f t="shared" si="2"/>
        <v>0.64783738570838356</v>
      </c>
      <c r="F42" s="14">
        <f t="shared" si="3"/>
        <v>0.25782344691450632</v>
      </c>
    </row>
    <row r="43" spans="2:6" x14ac:dyDescent="0.2">
      <c r="B43" s="15">
        <v>5.5</v>
      </c>
      <c r="C43" s="7">
        <f t="shared" si="1"/>
        <v>5</v>
      </c>
      <c r="D43" s="13">
        <v>1</v>
      </c>
      <c r="E43" s="14">
        <f t="shared" si="2"/>
        <v>0.63572658068739152</v>
      </c>
      <c r="F43" s="14">
        <f t="shared" si="3"/>
        <v>0.26281338285260913</v>
      </c>
    </row>
    <row r="44" spans="2:6" x14ac:dyDescent="0.2">
      <c r="B44" s="15">
        <v>5.75</v>
      </c>
      <c r="C44" s="7">
        <f t="shared" si="1"/>
        <v>5</v>
      </c>
      <c r="D44" s="13">
        <v>1</v>
      </c>
      <c r="E44" s="14">
        <f t="shared" si="2"/>
        <v>0.62394180063485516</v>
      </c>
      <c r="F44" s="14">
        <f t="shared" si="3"/>
        <v>0.2673795363490673</v>
      </c>
    </row>
    <row r="45" spans="2:6" x14ac:dyDescent="0.2">
      <c r="B45" s="15">
        <v>6</v>
      </c>
      <c r="C45" s="7">
        <f t="shared" si="1"/>
        <v>5</v>
      </c>
      <c r="D45" s="13">
        <v>1</v>
      </c>
      <c r="E45" s="14">
        <f t="shared" si="2"/>
        <v>0.61247284436157012</v>
      </c>
      <c r="F45" s="14">
        <f t="shared" si="3"/>
        <v>0.27154458263527054</v>
      </c>
    </row>
    <row r="46" spans="2:6" x14ac:dyDescent="0.2">
      <c r="B46" s="15">
        <v>6.25</v>
      </c>
      <c r="C46" s="7">
        <f t="shared" si="1"/>
        <v>5</v>
      </c>
      <c r="D46" s="13">
        <v>1</v>
      </c>
      <c r="E46" s="14">
        <f t="shared" si="2"/>
        <v>0.60130985685752769</v>
      </c>
      <c r="F46" s="14">
        <f t="shared" si="3"/>
        <v>0.27533010160626764</v>
      </c>
    </row>
    <row r="47" spans="2:6" x14ac:dyDescent="0.2">
      <c r="B47" s="15">
        <v>6.5</v>
      </c>
      <c r="C47" s="7">
        <f t="shared" si="1"/>
        <v>5</v>
      </c>
      <c r="D47" s="13">
        <v>1</v>
      </c>
      <c r="E47" s="14">
        <f t="shared" si="2"/>
        <v>0.59044331693732643</v>
      </c>
      <c r="F47" s="14">
        <f t="shared" si="3"/>
        <v>0.27875662867156986</v>
      </c>
    </row>
    <row r="48" spans="2:6" x14ac:dyDescent="0.2">
      <c r="B48" s="15">
        <v>6.75</v>
      </c>
      <c r="C48" s="7">
        <f t="shared" si="1"/>
        <v>5</v>
      </c>
      <c r="D48" s="13">
        <v>1</v>
      </c>
      <c r="E48" s="14">
        <f t="shared" si="2"/>
        <v>0.57986402534181258</v>
      </c>
      <c r="F48" s="14">
        <f t="shared" si="3"/>
        <v>0.28184370329084868</v>
      </c>
    </row>
    <row r="49" spans="2:6" x14ac:dyDescent="0.2">
      <c r="B49" s="15">
        <v>7</v>
      </c>
      <c r="C49" s="7">
        <f t="shared" si="1"/>
        <v>5</v>
      </c>
      <c r="D49" s="13">
        <v>1</v>
      </c>
      <c r="E49" s="14">
        <f t="shared" si="2"/>
        <v>0.56956309327868104</v>
      </c>
      <c r="F49" s="14">
        <f t="shared" si="3"/>
        <v>0.284609915298773</v>
      </c>
    </row>
    <row r="50" spans="2:6" x14ac:dyDescent="0.2">
      <c r="B50" s="15">
        <v>7.25</v>
      </c>
      <c r="C50" s="7">
        <f t="shared" si="1"/>
        <v>5</v>
      </c>
      <c r="D50" s="13">
        <v>1</v>
      </c>
      <c r="E50" s="14">
        <f t="shared" si="2"/>
        <v>0.55953193138543711</v>
      </c>
      <c r="F50" s="14">
        <f t="shared" si="3"/>
        <v>0.28707294911857156</v>
      </c>
    </row>
    <row r="51" spans="2:6" x14ac:dyDescent="0.2">
      <c r="B51" s="15">
        <v>7.5</v>
      </c>
      <c r="C51" s="7">
        <f t="shared" si="1"/>
        <v>5</v>
      </c>
      <c r="D51" s="13">
        <v>1</v>
      </c>
      <c r="E51" s="14">
        <f t="shared" si="2"/>
        <v>0.5497622390987551</v>
      </c>
      <c r="F51" s="14">
        <f t="shared" si="3"/>
        <v>0.28924962595944703</v>
      </c>
    </row>
    <row r="52" spans="2:6" x14ac:dyDescent="0.2">
      <c r="B52" s="15">
        <v>7.75</v>
      </c>
      <c r="C52" s="7">
        <f t="shared" si="1"/>
        <v>5</v>
      </c>
      <c r="D52" s="13">
        <v>1</v>
      </c>
      <c r="E52" s="14">
        <f t="shared" si="2"/>
        <v>0.54024599441489107</v>
      </c>
      <c r="F52" s="14">
        <f t="shared" si="3"/>
        <v>0.29115594408872048</v>
      </c>
    </row>
    <row r="53" spans="2:6" x14ac:dyDescent="0.2">
      <c r="B53" s="15">
        <v>8</v>
      </c>
      <c r="C53" s="7">
        <f t="shared" ref="C53:C84" si="4">beta_0*D53+beta_1*E53+beta_2*F53</f>
        <v>5</v>
      </c>
      <c r="D53" s="13">
        <v>1</v>
      </c>
      <c r="E53" s="14">
        <f t="shared" ref="E53:E84" si="5">((1-EXP(-lambda*$B53))/(lambda*$B53))</f>
        <v>0.53097544402638919</v>
      </c>
      <c r="F53" s="14">
        <f t="shared" ref="F53:F84" si="6">((1-EXP(-lambda*$B53))/(lambda*$B53)-EXP(-lambda*$B53))</f>
        <v>0.29280711726550623</v>
      </c>
    </row>
    <row r="54" spans="2:6" x14ac:dyDescent="0.2">
      <c r="B54" s="15">
        <v>8.25</v>
      </c>
      <c r="C54" s="7">
        <f t="shared" si="4"/>
        <v>5</v>
      </c>
      <c r="D54" s="13">
        <v>1</v>
      </c>
      <c r="E54" s="14">
        <f t="shared" si="5"/>
        <v>0.52194309382089521</v>
      </c>
      <c r="F54" s="14">
        <f t="shared" si="6"/>
        <v>0.29421761141884278</v>
      </c>
    </row>
    <row r="55" spans="2:6" x14ac:dyDescent="0.2">
      <c r="B55" s="15">
        <v>8.5</v>
      </c>
      <c r="C55" s="7">
        <f t="shared" si="4"/>
        <v>5</v>
      </c>
      <c r="D55" s="13">
        <v>1</v>
      </c>
      <c r="E55" s="14">
        <f t="shared" si="5"/>
        <v>0.51314169972843471</v>
      </c>
      <c r="F55" s="14">
        <f t="shared" si="6"/>
        <v>0.29540117964948676</v>
      </c>
    </row>
    <row r="56" spans="2:6" x14ac:dyDescent="0.2">
      <c r="B56" s="15">
        <v>8.75</v>
      </c>
      <c r="C56" s="7">
        <f t="shared" si="4"/>
        <v>5</v>
      </c>
      <c r="D56" s="13">
        <v>1</v>
      </c>
      <c r="E56" s="14">
        <f t="shared" si="5"/>
        <v>0.50456425890403489</v>
      </c>
      <c r="F56" s="14">
        <f t="shared" si="6"/>
        <v>0.29637089563103008</v>
      </c>
    </row>
    <row r="57" spans="2:6" x14ac:dyDescent="0.2">
      <c r="B57" s="15">
        <v>9</v>
      </c>
      <c r="C57" s="7">
        <f t="shared" si="4"/>
        <v>5</v>
      </c>
      <c r="D57" s="13">
        <v>1</v>
      </c>
      <c r="E57" s="14">
        <f t="shared" si="5"/>
        <v>0.49620400123307623</v>
      </c>
      <c r="F57" s="14">
        <f t="shared" si="6"/>
        <v>0.2971391854826152</v>
      </c>
    </row>
    <row r="58" spans="2:6" x14ac:dyDescent="0.2">
      <c r="B58" s="15">
        <v>9.25</v>
      </c>
      <c r="C58" s="7">
        <f t="shared" si="4"/>
        <v>5</v>
      </c>
      <c r="D58" s="13">
        <v>1</v>
      </c>
      <c r="E58" s="14">
        <f t="shared" si="5"/>
        <v>0.48805438114724164</v>
      </c>
      <c r="F58" s="14">
        <f t="shared" si="6"/>
        <v>0.29771785818227947</v>
      </c>
    </row>
    <row r="59" spans="2:6" x14ac:dyDescent="0.2">
      <c r="B59" s="15">
        <v>9.5</v>
      </c>
      <c r="C59" s="7">
        <f t="shared" si="4"/>
        <v>5</v>
      </c>
      <c r="D59" s="13">
        <v>1</v>
      </c>
      <c r="E59" s="14">
        <f t="shared" si="5"/>
        <v>0.48010906973939788</v>
      </c>
      <c r="F59" s="14">
        <f t="shared" si="6"/>
        <v>0.29811813458687242</v>
      </c>
    </row>
    <row r="60" spans="2:6" x14ac:dyDescent="0.2">
      <c r="B60" s="15">
        <v>9.75</v>
      </c>
      <c r="C60" s="7">
        <f t="shared" si="4"/>
        <v>5</v>
      </c>
      <c r="D60" s="13">
        <v>1</v>
      </c>
      <c r="E60" s="14">
        <f t="shared" si="5"/>
        <v>0.4723619471661899</v>
      </c>
      <c r="F60" s="14">
        <f t="shared" si="6"/>
        <v>0.29835067512152985</v>
      </c>
    </row>
    <row r="61" spans="2:6" x14ac:dyDescent="0.2">
      <c r="B61" s="15">
        <v>10</v>
      </c>
      <c r="C61" s="7">
        <f t="shared" si="4"/>
        <v>5</v>
      </c>
      <c r="D61" s="13">
        <v>1</v>
      </c>
      <c r="E61" s="14">
        <f t="shared" si="5"/>
        <v>0.46480709532755815</v>
      </c>
      <c r="F61" s="14">
        <f t="shared" si="6"/>
        <v>0.2984256061988646</v>
      </c>
    </row>
    <row r="62" spans="2:6" x14ac:dyDescent="0.2">
      <c r="B62" s="15">
        <v>10.25</v>
      </c>
      <c r="C62" s="7">
        <f t="shared" si="4"/>
        <v>5</v>
      </c>
      <c r="D62" s="13">
        <v>1</v>
      </c>
      <c r="E62" s="14">
        <f t="shared" si="5"/>
        <v>0.45743879081280348</v>
      </c>
      <c r="F62" s="14">
        <f t="shared" si="6"/>
        <v>0.29835254542533929</v>
      </c>
    </row>
    <row r="63" spans="2:6" x14ac:dyDescent="0.2">
      <c r="B63" s="15">
        <v>10.5</v>
      </c>
      <c r="C63" s="7">
        <f t="shared" si="4"/>
        <v>5</v>
      </c>
      <c r="D63" s="13">
        <v>1</v>
      </c>
      <c r="E63" s="14">
        <f t="shared" si="5"/>
        <v>0.45025149810321924</v>
      </c>
      <c r="F63" s="14">
        <f t="shared" si="6"/>
        <v>0.298140625649705</v>
      </c>
    </row>
    <row r="64" spans="2:6" x14ac:dyDescent="0.2">
      <c r="B64" s="15">
        <v>10.75</v>
      </c>
      <c r="C64" s="7">
        <f t="shared" si="4"/>
        <v>5</v>
      </c>
      <c r="D64" s="13">
        <v>1</v>
      </c>
      <c r="E64" s="14">
        <f t="shared" si="5"/>
        <v>0.4432398630216936</v>
      </c>
      <c r="F64" s="14">
        <f t="shared" si="6"/>
        <v>0.2977985179059297</v>
      </c>
    </row>
    <row r="65" spans="2:6" x14ac:dyDescent="0.2">
      <c r="B65" s="15">
        <v>11</v>
      </c>
      <c r="C65" s="7">
        <f t="shared" si="4"/>
        <v>5</v>
      </c>
      <c r="D65" s="13">
        <v>1</v>
      </c>
      <c r="E65" s="14">
        <f t="shared" si="5"/>
        <v>0.43639870642004924</v>
      </c>
      <c r="F65" s="14">
        <f t="shared" si="6"/>
        <v>0.2973344533006857</v>
      </c>
    </row>
    <row r="66" spans="2:6" x14ac:dyDescent="0.2">
      <c r="B66" s="15">
        <v>11.25</v>
      </c>
      <c r="C66" s="7">
        <f t="shared" si="4"/>
        <v>5</v>
      </c>
      <c r="D66" s="13">
        <v>1</v>
      </c>
      <c r="E66" s="14">
        <f t="shared" si="5"/>
        <v>0.42972301809524321</v>
      </c>
      <c r="F66" s="14">
        <f t="shared" si="6"/>
        <v>0.2967562438932192</v>
      </c>
    </row>
    <row r="67" spans="2:6" x14ac:dyDescent="0.2">
      <c r="B67" s="15">
        <v>11.5</v>
      </c>
      <c r="C67" s="7">
        <f t="shared" si="4"/>
        <v>5</v>
      </c>
      <c r="D67" s="13">
        <v>1</v>
      </c>
      <c r="E67" s="14">
        <f t="shared" si="5"/>
        <v>0.42320795092588537</v>
      </c>
      <c r="F67" s="14">
        <f t="shared" si="6"/>
        <v>0.29607130261327735</v>
      </c>
    </row>
    <row r="68" spans="2:6" x14ac:dyDescent="0.2">
      <c r="B68" s="15">
        <v>11.75</v>
      </c>
      <c r="C68" s="7">
        <f t="shared" si="4"/>
        <v>5</v>
      </c>
      <c r="D68" s="13">
        <v>1</v>
      </c>
      <c r="E68" s="14">
        <f t="shared" si="5"/>
        <v>0.41684881522086187</v>
      </c>
      <c r="F68" s="14">
        <f t="shared" si="6"/>
        <v>0.29528666226071482</v>
      </c>
    </row>
    <row r="69" spans="2:6" x14ac:dyDescent="0.2">
      <c r="B69" s="15">
        <v>12</v>
      </c>
      <c r="C69" s="7">
        <f t="shared" si="4"/>
        <v>5</v>
      </c>
      <c r="D69" s="13">
        <v>1</v>
      </c>
      <c r="E69" s="14">
        <f t="shared" si="5"/>
        <v>0.41064107327216132</v>
      </c>
      <c r="F69" s="14">
        <f t="shared" si="6"/>
        <v>0.29440899362844508</v>
      </c>
    </row>
    <row r="70" spans="2:6" x14ac:dyDescent="0.2">
      <c r="B70" s="15">
        <v>12.25</v>
      </c>
      <c r="C70" s="7">
        <f t="shared" si="4"/>
        <v>5</v>
      </c>
      <c r="D70" s="13">
        <v>1</v>
      </c>
      <c r="E70" s="14">
        <f t="shared" si="5"/>
        <v>0.40458033410430316</v>
      </c>
      <c r="F70" s="14">
        <f t="shared" si="6"/>
        <v>0.29344462278852651</v>
      </c>
    </row>
    <row r="71" spans="2:6" x14ac:dyDescent="0.2">
      <c r="B71" s="15">
        <v>12.5</v>
      </c>
      <c r="C71" s="7">
        <f t="shared" si="4"/>
        <v>5</v>
      </c>
      <c r="D71" s="13">
        <v>1</v>
      </c>
      <c r="E71" s="14">
        <f t="shared" si="5"/>
        <v>0.39866234841305731</v>
      </c>
      <c r="F71" s="14">
        <f t="shared" si="6"/>
        <v>0.29239954757938591</v>
      </c>
    </row>
    <row r="72" spans="2:6" x14ac:dyDescent="0.2">
      <c r="B72" s="15">
        <v>12.75</v>
      </c>
      <c r="C72" s="7">
        <f t="shared" si="4"/>
        <v>5</v>
      </c>
      <c r="D72" s="13">
        <v>1</v>
      </c>
      <c r="E72" s="14">
        <f t="shared" si="5"/>
        <v>0.39288300368642076</v>
      </c>
      <c r="F72" s="14">
        <f t="shared" si="6"/>
        <v>0.29127945333047361</v>
      </c>
    </row>
    <row r="73" spans="2:6" x14ac:dyDescent="0.2">
      <c r="B73" s="15">
        <v>13</v>
      </c>
      <c r="C73" s="7">
        <f t="shared" si="4"/>
        <v>5</v>
      </c>
      <c r="D73" s="13">
        <v>1</v>
      </c>
      <c r="E73" s="14">
        <f t="shared" si="5"/>
        <v>0.38723831950108506</v>
      </c>
      <c r="F73" s="14">
        <f t="shared" si="6"/>
        <v>0.2900897278590101</v>
      </c>
    </row>
    <row r="74" spans="2:6" x14ac:dyDescent="0.2">
      <c r="B74" s="15">
        <v>13.25</v>
      </c>
      <c r="C74" s="7">
        <f t="shared" si="4"/>
        <v>5</v>
      </c>
      <c r="D74" s="13">
        <v>1</v>
      </c>
      <c r="E74" s="14">
        <f t="shared" si="5"/>
        <v>0.38172444298788627</v>
      </c>
      <c r="F74" s="14">
        <f t="shared" si="6"/>
        <v>0.28883547577192709</v>
      </c>
    </row>
    <row r="75" spans="2:6" x14ac:dyDescent="0.2">
      <c r="B75" s="15">
        <v>13.5</v>
      </c>
      <c r="C75" s="7">
        <f t="shared" si="4"/>
        <v>5</v>
      </c>
      <c r="D75" s="13">
        <v>1</v>
      </c>
      <c r="E75" s="14">
        <f t="shared" si="5"/>
        <v>0.37633764445997386</v>
      </c>
      <c r="F75" s="14">
        <f t="shared" si="6"/>
        <v>0.28752153210461362</v>
      </c>
    </row>
    <row r="76" spans="2:6" x14ac:dyDescent="0.2">
      <c r="B76" s="15">
        <v>13.75</v>
      </c>
      <c r="C76" s="7">
        <f t="shared" si="4"/>
        <v>5</v>
      </c>
      <c r="D76" s="13">
        <v>1</v>
      </c>
      <c r="E76" s="14">
        <f t="shared" si="5"/>
        <v>0.37107431319767453</v>
      </c>
      <c r="F76" s="14">
        <f t="shared" si="6"/>
        <v>0.28615247532665666</v>
      </c>
    </row>
    <row r="77" spans="2:6" x14ac:dyDescent="0.2">
      <c r="B77" s="15">
        <v>14</v>
      </c>
      <c r="C77" s="7">
        <f t="shared" si="4"/>
        <v>5</v>
      </c>
      <c r="D77" s="13">
        <v>1</v>
      </c>
      <c r="E77" s="14">
        <f t="shared" si="5"/>
        <v>0.36593095338425402</v>
      </c>
      <c r="F77" s="14">
        <f t="shared" si="6"/>
        <v>0.2847326397434049</v>
      </c>
    </row>
    <row r="78" spans="2:6" x14ac:dyDescent="0.2">
      <c r="B78" s="15">
        <v>14.25</v>
      </c>
      <c r="C78" s="7">
        <f t="shared" si="4"/>
        <v>5</v>
      </c>
      <c r="D78" s="13">
        <v>1</v>
      </c>
      <c r="E78" s="14">
        <f t="shared" si="5"/>
        <v>0.36090418018700071</v>
      </c>
      <c r="F78" s="14">
        <f t="shared" si="6"/>
        <v>0.28326612732088596</v>
      </c>
    </row>
    <row r="79" spans="2:6" x14ac:dyDescent="0.2">
      <c r="B79" s="15">
        <v>14.5</v>
      </c>
      <c r="C79" s="7">
        <f t="shared" si="4"/>
        <v>5</v>
      </c>
      <c r="D79" s="13">
        <v>1</v>
      </c>
      <c r="E79" s="14">
        <f t="shared" si="5"/>
        <v>0.35599071597826343</v>
      </c>
      <c r="F79" s="14">
        <f t="shared" si="6"/>
        <v>0.28175681896036725</v>
      </c>
    </row>
    <row r="80" spans="2:6" x14ac:dyDescent="0.2">
      <c r="B80" s="15">
        <v>14.75</v>
      </c>
      <c r="C80" s="7">
        <f t="shared" si="4"/>
        <v>5</v>
      </c>
      <c r="D80" s="13">
        <v>1</v>
      </c>
      <c r="E80" s="14">
        <f t="shared" si="5"/>
        <v>0.35118738669128263</v>
      </c>
      <c r="F80" s="14">
        <f t="shared" si="6"/>
        <v>0.28020838524766506</v>
      </c>
    </row>
    <row r="81" spans="2:6" x14ac:dyDescent="0.2">
      <c r="B81" s="15">
        <v>15</v>
      </c>
      <c r="C81" s="7">
        <f t="shared" si="4"/>
        <v>5</v>
      </c>
      <c r="D81" s="13">
        <v>1</v>
      </c>
      <c r="E81" s="14">
        <f t="shared" si="5"/>
        <v>0.34649111830584445</v>
      </c>
      <c r="F81" s="14">
        <f t="shared" si="6"/>
        <v>0.27862429670117367</v>
      </c>
    </row>
    <row r="82" spans="2:6" x14ac:dyDescent="0.2">
      <c r="B82" s="15">
        <v>15.25</v>
      </c>
      <c r="C82" s="7">
        <f t="shared" si="4"/>
        <v>5</v>
      </c>
      <c r="D82" s="13">
        <v>1</v>
      </c>
      <c r="E82" s="14">
        <f t="shared" si="5"/>
        <v>0.34189893345897937</v>
      </c>
      <c r="F82" s="14">
        <f t="shared" si="6"/>
        <v>0.27700783354150693</v>
      </c>
    </row>
    <row r="83" spans="2:6" x14ac:dyDescent="0.2">
      <c r="B83" s="15">
        <v>15.5</v>
      </c>
      <c r="C83" s="7">
        <f t="shared" si="4"/>
        <v>5</v>
      </c>
      <c r="D83" s="13">
        <v>1</v>
      </c>
      <c r="E83" s="14">
        <f t="shared" si="5"/>
        <v>0.3374079481761042</v>
      </c>
      <c r="F83" s="14">
        <f t="shared" si="6"/>
        <v>0.27536209500461001</v>
      </c>
    </row>
    <row r="84" spans="2:6" x14ac:dyDescent="0.2">
      <c r="B84" s="15">
        <v>15.75</v>
      </c>
      <c r="C84" s="7">
        <f t="shared" si="4"/>
        <v>5</v>
      </c>
      <c r="D84" s="13">
        <v>1</v>
      </c>
      <c r="E84" s="14">
        <f t="shared" si="5"/>
        <v>0.33301536871818155</v>
      </c>
      <c r="F84" s="14">
        <f t="shared" si="6"/>
        <v>0.27369000821921335</v>
      </c>
    </row>
    <row r="85" spans="2:6" x14ac:dyDescent="0.2">
      <c r="B85" s="15">
        <v>16</v>
      </c>
      <c r="C85" s="7">
        <f t="shared" ref="C85:C116" si="7">beta_0*D85+beta_1*E85+beta_2*F85</f>
        <v>5</v>
      </c>
      <c r="D85" s="13">
        <v>1</v>
      </c>
      <c r="E85" s="14">
        <f t="shared" ref="E85:E116" si="8">((1-EXP(-lambda*$B85))/(lambda*$B85))</f>
        <v>0.32871848854063557</v>
      </c>
      <c r="F85" s="14">
        <f t="shared" ref="F85:F116" si="9">((1-EXP(-lambda*$B85))/(lambda*$B85)-EXP(-lambda*$B85))</f>
        <v>0.27199433666855688</v>
      </c>
    </row>
    <row r="86" spans="2:6" x14ac:dyDescent="0.2">
      <c r="B86" s="15">
        <v>16.25</v>
      </c>
      <c r="C86" s="7">
        <f t="shared" si="7"/>
        <v>5</v>
      </c>
      <c r="D86" s="13">
        <v>1</v>
      </c>
      <c r="E86" s="14">
        <f t="shared" si="8"/>
        <v>0.32451468535992695</v>
      </c>
      <c r="F86" s="14">
        <f t="shared" si="9"/>
        <v>0.2702776882554152</v>
      </c>
    </row>
    <row r="87" spans="2:6" x14ac:dyDescent="0.2">
      <c r="B87" s="15">
        <v>16.5</v>
      </c>
      <c r="C87" s="7">
        <f t="shared" si="7"/>
        <v>5</v>
      </c>
      <c r="D87" s="13">
        <v>1</v>
      </c>
      <c r="E87" s="14">
        <f t="shared" si="8"/>
        <v>0.32040141832383917</v>
      </c>
      <c r="F87" s="14">
        <f t="shared" si="9"/>
        <v>0.26854252298859166</v>
      </c>
    </row>
    <row r="88" spans="2:6" x14ac:dyDescent="0.2">
      <c r="B88" s="15">
        <v>16.75</v>
      </c>
      <c r="C88" s="7">
        <f t="shared" si="7"/>
        <v>5</v>
      </c>
      <c r="D88" s="13">
        <v>1</v>
      </c>
      <c r="E88" s="14">
        <f t="shared" si="8"/>
        <v>0.31637622528168086</v>
      </c>
      <c r="F88" s="14">
        <f t="shared" si="9"/>
        <v>0.26679116030822864</v>
      </c>
    </row>
    <row r="89" spans="2:6" x14ac:dyDescent="0.2">
      <c r="B89" s="15">
        <v>17</v>
      </c>
      <c r="C89" s="7">
        <f t="shared" si="7"/>
        <v>5</v>
      </c>
      <c r="D89" s="13">
        <v>1</v>
      </c>
      <c r="E89" s="14">
        <f t="shared" si="8"/>
        <v>0.31243672015074969</v>
      </c>
      <c r="F89" s="14">
        <f t="shared" si="9"/>
        <v>0.26502578606649896</v>
      </c>
    </row>
    <row r="90" spans="2:6" x14ac:dyDescent="0.2">
      <c r="B90" s="15">
        <v>17.25</v>
      </c>
      <c r="C90" s="7">
        <f t="shared" si="7"/>
        <v>5</v>
      </c>
      <c r="D90" s="13">
        <v>1</v>
      </c>
      <c r="E90" s="14">
        <f t="shared" si="8"/>
        <v>0.30858059037553992</v>
      </c>
      <c r="F90" s="14">
        <f t="shared" si="9"/>
        <v>0.26324845917949052</v>
      </c>
    </row>
    <row r="91" spans="2:6" x14ac:dyDescent="0.2">
      <c r="B91" s="15">
        <v>17.5</v>
      </c>
      <c r="C91" s="7">
        <f t="shared" si="7"/>
        <v>5</v>
      </c>
      <c r="D91" s="13">
        <v>1</v>
      </c>
      <c r="E91" s="14">
        <f t="shared" si="8"/>
        <v>0.30480559447630856</v>
      </c>
      <c r="F91" s="14">
        <f t="shared" si="9"/>
        <v>0.26146111796538324</v>
      </c>
    </row>
    <row r="92" spans="2:6" x14ac:dyDescent="0.2">
      <c r="B92" s="15">
        <v>17.75</v>
      </c>
      <c r="C92" s="7">
        <f t="shared" si="7"/>
        <v>5</v>
      </c>
      <c r="D92" s="13">
        <v>1</v>
      </c>
      <c r="E92" s="14">
        <f t="shared" si="8"/>
        <v>0.3011095596837427</v>
      </c>
      <c r="F92" s="14">
        <f t="shared" si="9"/>
        <v>0.25966558618333319</v>
      </c>
    </row>
    <row r="93" spans="2:6" x14ac:dyDescent="0.2">
      <c r="B93" s="15">
        <v>18</v>
      </c>
      <c r="C93" s="7">
        <f t="shared" si="7"/>
        <v>5</v>
      </c>
      <c r="D93" s="13">
        <v>1</v>
      </c>
      <c r="E93" s="14">
        <f t="shared" si="8"/>
        <v>0.29749037965659003</v>
      </c>
      <c r="F93" s="14">
        <f t="shared" si="9"/>
        <v>0.25786357878682503</v>
      </c>
    </row>
    <row r="94" spans="2:6" x14ac:dyDescent="0.2">
      <c r="B94" s="15">
        <v>18.25</v>
      </c>
      <c r="C94" s="7">
        <f t="shared" si="7"/>
        <v>5</v>
      </c>
      <c r="D94" s="13">
        <v>1</v>
      </c>
      <c r="E94" s="14">
        <f t="shared" si="8"/>
        <v>0.29394601227923473</v>
      </c>
      <c r="F94" s="14">
        <f t="shared" si="9"/>
        <v>0.25605670740463116</v>
      </c>
    </row>
    <row r="95" spans="2:6" x14ac:dyDescent="0.2">
      <c r="B95" s="15">
        <v>18.5</v>
      </c>
      <c r="C95" s="7">
        <f t="shared" si="7"/>
        <v>5</v>
      </c>
      <c r="D95" s="13">
        <v>1</v>
      </c>
      <c r="E95" s="14">
        <f t="shared" si="8"/>
        <v>0.290474477536312</v>
      </c>
      <c r="F95" s="14">
        <f t="shared" si="9"/>
        <v>0.25424648556192042</v>
      </c>
    </row>
    <row r="96" spans="2:6" x14ac:dyDescent="0.2">
      <c r="B96" s="15">
        <v>18.75</v>
      </c>
      <c r="C96" s="7">
        <f t="shared" si="7"/>
        <v>5</v>
      </c>
      <c r="D96" s="13">
        <v>1</v>
      </c>
      <c r="E96" s="14">
        <f t="shared" si="8"/>
        <v>0.28707385546156322</v>
      </c>
      <c r="F96" s="14">
        <f t="shared" si="9"/>
        <v>0.25243433365348961</v>
      </c>
    </row>
    <row r="97" spans="2:6" x14ac:dyDescent="0.2">
      <c r="B97" s="15">
        <v>19</v>
      </c>
      <c r="C97" s="7">
        <f t="shared" si="7"/>
        <v>5</v>
      </c>
      <c r="D97" s="13">
        <v>1</v>
      </c>
      <c r="E97" s="14">
        <f t="shared" si="8"/>
        <v>0.28374228415823999</v>
      </c>
      <c r="F97" s="14">
        <f t="shared" si="9"/>
        <v>0.25062158368054926</v>
      </c>
    </row>
    <row r="98" spans="2:6" x14ac:dyDescent="0.2">
      <c r="B98" s="15">
        <v>19.25</v>
      </c>
      <c r="C98" s="7">
        <f t="shared" si="7"/>
        <v>5</v>
      </c>
      <c r="D98" s="13">
        <v>1</v>
      </c>
      <c r="E98" s="14">
        <f t="shared" si="8"/>
        <v>0.28047795788846214</v>
      </c>
      <c r="F98" s="14">
        <f t="shared" si="9"/>
        <v>0.24880948376197395</v>
      </c>
    </row>
    <row r="99" spans="2:6" x14ac:dyDescent="0.2">
      <c r="B99" s="15">
        <v>19.5</v>
      </c>
      <c r="C99" s="7">
        <f t="shared" si="7"/>
        <v>5</v>
      </c>
      <c r="D99" s="13">
        <v>1</v>
      </c>
      <c r="E99" s="14">
        <f t="shared" si="8"/>
        <v>0.27727912522903553</v>
      </c>
      <c r="F99" s="14">
        <f t="shared" si="9"/>
        <v>0.24699920243043483</v>
      </c>
    </row>
    <row r="100" spans="2:6" x14ac:dyDescent="0.2">
      <c r="B100" s="15">
        <v>19.75</v>
      </c>
      <c r="C100" s="7">
        <f t="shared" si="7"/>
        <v>5</v>
      </c>
      <c r="D100" s="13">
        <v>1</v>
      </c>
      <c r="E100" s="14">
        <f t="shared" si="8"/>
        <v>0.27414408729132511</v>
      </c>
      <c r="F100" s="14">
        <f t="shared" si="9"/>
        <v>0.24519183272335637</v>
      </c>
    </row>
    <row r="101" spans="2:6" x14ac:dyDescent="0.2">
      <c r="B101" s="15">
        <v>20</v>
      </c>
      <c r="C101" s="7">
        <f t="shared" si="7"/>
        <v>5</v>
      </c>
      <c r="D101" s="13">
        <v>1</v>
      </c>
      <c r="E101" s="14">
        <f t="shared" si="8"/>
        <v>0.27107119600286994</v>
      </c>
      <c r="F101" s="14">
        <f t="shared" si="9"/>
        <v>0.24338839607818835</v>
      </c>
    </row>
    <row r="102" spans="2:6" x14ac:dyDescent="0.2">
      <c r="B102" s="15">
        <v>20.25</v>
      </c>
      <c r="C102" s="7">
        <f t="shared" si="7"/>
        <v>5</v>
      </c>
      <c r="D102" s="13">
        <v>1</v>
      </c>
      <c r="E102" s="14">
        <f t="shared" si="8"/>
        <v>0.26805885244851257</v>
      </c>
      <c r="F102" s="14">
        <f t="shared" si="9"/>
        <v>0.24158984604105352</v>
      </c>
    </row>
    <row r="103" spans="2:6" x14ac:dyDescent="0.2">
      <c r="B103" s="15">
        <v>20.5</v>
      </c>
      <c r="C103" s="7">
        <f t="shared" si="7"/>
        <v>5</v>
      </c>
      <c r="D103" s="13">
        <v>1</v>
      </c>
      <c r="E103" s="14">
        <f t="shared" si="8"/>
        <v>0.26510550526889703</v>
      </c>
      <c r="F103" s="14">
        <f t="shared" si="9"/>
        <v>0.23979707179741655</v>
      </c>
    </row>
    <row r="104" spans="2:6" x14ac:dyDescent="0.2">
      <c r="B104" s="15">
        <v>20.75</v>
      </c>
      <c r="C104" s="7">
        <f t="shared" si="7"/>
        <v>5</v>
      </c>
      <c r="D104" s="13">
        <v>1</v>
      </c>
      <c r="E104" s="14">
        <f t="shared" si="8"/>
        <v>0.26220964911427069</v>
      </c>
      <c r="F104" s="14">
        <f t="shared" si="9"/>
        <v>0.23801090153302965</v>
      </c>
    </row>
    <row r="105" spans="2:6" x14ac:dyDescent="0.2">
      <c r="B105" s="15">
        <v>21</v>
      </c>
      <c r="C105" s="7">
        <f t="shared" si="7"/>
        <v>5</v>
      </c>
      <c r="D105" s="13">
        <v>1</v>
      </c>
      <c r="E105" s="14">
        <f t="shared" si="8"/>
        <v>0.25936982315160084</v>
      </c>
      <c r="F105" s="14">
        <f t="shared" si="9"/>
        <v>0.23623210563303157</v>
      </c>
    </row>
    <row r="106" spans="2:6" x14ac:dyDescent="0.2">
      <c r="B106" s="15">
        <v>21.25</v>
      </c>
      <c r="C106" s="7">
        <f t="shared" si="7"/>
        <v>5</v>
      </c>
      <c r="D106" s="13">
        <v>1</v>
      </c>
      <c r="E106" s="14">
        <f t="shared" si="8"/>
        <v>0.25658460962309021</v>
      </c>
      <c r="F106" s="14">
        <f t="shared" si="9"/>
        <v>0.2344613997267187</v>
      </c>
    </row>
    <row r="107" spans="2:6" x14ac:dyDescent="0.2">
      <c r="B107" s="15">
        <v>21.5</v>
      </c>
      <c r="C107" s="7">
        <f t="shared" si="7"/>
        <v>5</v>
      </c>
      <c r="D107" s="13">
        <v>1</v>
      </c>
      <c r="E107" s="14">
        <f t="shared" si="8"/>
        <v>0.25385263245424783</v>
      </c>
      <c r="F107" s="14">
        <f t="shared" si="9"/>
        <v>0.23269944758516509</v>
      </c>
    </row>
    <row r="108" spans="2:6" x14ac:dyDescent="0.2">
      <c r="B108" s="15">
        <v>21.75</v>
      </c>
      <c r="C108" s="7">
        <f t="shared" si="7"/>
        <v>5</v>
      </c>
      <c r="D108" s="13">
        <v>1</v>
      </c>
      <c r="E108" s="14">
        <f t="shared" si="8"/>
        <v>0.2511725559097393</v>
      </c>
      <c r="F108" s="14">
        <f t="shared" si="9"/>
        <v>0.23094686387854002</v>
      </c>
    </row>
    <row r="109" spans="2:6" x14ac:dyDescent="0.2">
      <c r="B109" s="15">
        <v>22</v>
      </c>
      <c r="C109" s="7">
        <f t="shared" si="7"/>
        <v>5</v>
      </c>
      <c r="D109" s="13">
        <v>1</v>
      </c>
      <c r="E109" s="14">
        <f t="shared" si="8"/>
        <v>0.24854308329530489</v>
      </c>
      <c r="F109" s="14">
        <f t="shared" si="9"/>
        <v>0.22920421679965847</v>
      </c>
    </row>
    <row r="110" spans="2:6" x14ac:dyDescent="0.2">
      <c r="B110" s="15">
        <v>22.25</v>
      </c>
      <c r="C110" s="7">
        <f t="shared" si="7"/>
        <v>5</v>
      </c>
      <c r="D110" s="13">
        <v>1</v>
      </c>
      <c r="E110" s="14">
        <f t="shared" si="8"/>
        <v>0.24596295570409871</v>
      </c>
      <c r="F110" s="14">
        <f t="shared" si="9"/>
        <v>0.22747203056000317</v>
      </c>
    </row>
    <row r="111" spans="2:6" x14ac:dyDescent="0.2">
      <c r="B111" s="15">
        <v>22.5</v>
      </c>
      <c r="C111" s="7">
        <f t="shared" si="7"/>
        <v>5</v>
      </c>
      <c r="D111" s="13">
        <v>1</v>
      </c>
      <c r="E111" s="14">
        <f t="shared" si="8"/>
        <v>0.2434309508058628</v>
      </c>
      <c r="F111" s="14">
        <f t="shared" si="9"/>
        <v>0.22575078776417076</v>
      </c>
    </row>
    <row r="112" spans="2:6" x14ac:dyDescent="0.2">
      <c r="B112" s="15">
        <v>22.75</v>
      </c>
      <c r="C112" s="7">
        <f t="shared" si="7"/>
        <v>5</v>
      </c>
      <c r="D112" s="13">
        <v>1</v>
      </c>
      <c r="E112" s="14">
        <f t="shared" si="8"/>
        <v>0.24094588167740727</v>
      </c>
      <c r="F112" s="14">
        <f t="shared" si="9"/>
        <v>0.22404093166842257</v>
      </c>
    </row>
    <row r="113" spans="2:6" x14ac:dyDescent="0.2">
      <c r="B113" s="15">
        <v>23</v>
      </c>
      <c r="C113" s="7">
        <f t="shared" si="7"/>
        <v>5</v>
      </c>
      <c r="D113" s="13">
        <v>1</v>
      </c>
      <c r="E113" s="14">
        <f t="shared" si="8"/>
        <v>0.23850659567292454</v>
      </c>
      <c r="F113" s="14">
        <f t="shared" si="9"/>
        <v>0.22234286832876077</v>
      </c>
    </row>
    <row r="114" spans="2:6" x14ac:dyDescent="0.2">
      <c r="B114" s="15">
        <v>23.25</v>
      </c>
      <c r="C114" s="7">
        <f t="shared" si="7"/>
        <v>5</v>
      </c>
      <c r="D114" s="13">
        <v>1</v>
      </c>
      <c r="E114" s="14">
        <f t="shared" si="8"/>
        <v>0.23611197333272088</v>
      </c>
      <c r="F114" s="14">
        <f t="shared" si="9"/>
        <v>0.22065696864370318</v>
      </c>
    </row>
    <row r="115" spans="2:6" x14ac:dyDescent="0.2">
      <c r="B115" s="15">
        <v>23.5</v>
      </c>
      <c r="C115" s="7">
        <f t="shared" si="7"/>
        <v>5</v>
      </c>
      <c r="D115" s="13">
        <v>1</v>
      </c>
      <c r="E115" s="14">
        <f t="shared" si="8"/>
        <v>0.2337609273289982</v>
      </c>
      <c r="F115" s="14">
        <f t="shared" si="9"/>
        <v>0.21898357029669199</v>
      </c>
    </row>
    <row r="116" spans="2:6" x14ac:dyDescent="0.2">
      <c r="B116" s="15">
        <v>23.75</v>
      </c>
      <c r="C116" s="7">
        <f t="shared" si="7"/>
        <v>5</v>
      </c>
      <c r="D116" s="13">
        <v>1</v>
      </c>
      <c r="E116" s="14">
        <f t="shared" si="8"/>
        <v>0.23145240144737181</v>
      </c>
      <c r="F116" s="14">
        <f t="shared" si="9"/>
        <v>0.21732297960284638</v>
      </c>
    </row>
    <row r="117" spans="2:6" x14ac:dyDescent="0.2">
      <c r="B117" s="15">
        <v>24</v>
      </c>
      <c r="C117" s="7">
        <f t="shared" ref="C117:C141" si="10">beta_0*D117+beta_1*E117+beta_2*F117</f>
        <v>5</v>
      </c>
      <c r="D117" s="13">
        <v>1</v>
      </c>
      <c r="E117" s="14">
        <f t="shared" ref="E117:E141" si="11">((1-EXP(-lambda*$B117))/(lambda*$B117))</f>
        <v>0.22918536960285615</v>
      </c>
      <c r="F117" s="14">
        <f t="shared" ref="F117:F141" si="12">((1-EXP(-lambda*$B117))/(lambda*$B117)-EXP(-lambda*$B117))</f>
        <v>0.21567547326455297</v>
      </c>
    </row>
    <row r="118" spans="2:6" x14ac:dyDescent="0.2">
      <c r="B118" s="15">
        <v>24.25</v>
      </c>
      <c r="C118" s="7">
        <f t="shared" si="10"/>
        <v>5</v>
      </c>
      <c r="D118" s="13">
        <v>1</v>
      </c>
      <c r="E118" s="14">
        <f t="shared" si="11"/>
        <v>0.22695883488909777</v>
      </c>
      <c r="F118" s="14">
        <f t="shared" si="12"/>
        <v>0.21404130004018135</v>
      </c>
    </row>
    <row r="119" spans="2:6" x14ac:dyDescent="0.2">
      <c r="B119" s="15">
        <v>24.5</v>
      </c>
      <c r="C119" s="7">
        <f t="shared" si="10"/>
        <v>5</v>
      </c>
      <c r="D119" s="13">
        <v>1</v>
      </c>
      <c r="E119" s="14">
        <f t="shared" si="11"/>
        <v>0.22477182865967976</v>
      </c>
      <c r="F119" s="14">
        <f t="shared" si="12"/>
        <v>0.2124206823300161</v>
      </c>
    </row>
    <row r="120" spans="2:6" x14ac:dyDescent="0.2">
      <c r="B120" s="15">
        <v>24.75</v>
      </c>
      <c r="C120" s="7">
        <f t="shared" si="10"/>
        <v>5</v>
      </c>
      <c r="D120" s="13">
        <v>1</v>
      </c>
      <c r="E120" s="14">
        <f t="shared" si="11"/>
        <v>0.22262340964036378</v>
      </c>
      <c r="F120" s="14">
        <f t="shared" si="12"/>
        <v>0.21081381768330701</v>
      </c>
    </row>
    <row r="121" spans="2:6" x14ac:dyDescent="0.2">
      <c r="B121" s="15">
        <v>25</v>
      </c>
      <c r="C121" s="7">
        <f t="shared" si="10"/>
        <v>5</v>
      </c>
      <c r="D121" s="13">
        <v>1</v>
      </c>
      <c r="E121" s="14">
        <f t="shared" si="11"/>
        <v>0.22051266307117889</v>
      </c>
      <c r="F121" s="14">
        <f t="shared" si="12"/>
        <v>0.20922088023016239</v>
      </c>
    </row>
    <row r="122" spans="2:6" x14ac:dyDescent="0.2">
      <c r="B122" s="15">
        <v>25.25</v>
      </c>
      <c r="C122" s="7">
        <f t="shared" si="10"/>
        <v>5</v>
      </c>
      <c r="D122" s="13">
        <v>1</v>
      </c>
      <c r="E122" s="14">
        <f t="shared" si="11"/>
        <v>0.21843869987730466</v>
      </c>
      <c r="F122" s="14">
        <f t="shared" si="12"/>
        <v>0.20764202204183674</v>
      </c>
    </row>
    <row r="123" spans="2:6" x14ac:dyDescent="0.2">
      <c r="B123" s="15">
        <v>25.5</v>
      </c>
      <c r="C123" s="7">
        <f t="shared" si="10"/>
        <v>5</v>
      </c>
      <c r="D123" s="13">
        <v>1</v>
      </c>
      <c r="E123" s="14">
        <f t="shared" si="11"/>
        <v>0.21640065586773491</v>
      </c>
      <c r="F123" s="14">
        <f t="shared" si="12"/>
        <v>0.20607737442280141</v>
      </c>
    </row>
    <row r="124" spans="2:6" x14ac:dyDescent="0.2">
      <c r="B124" s="15">
        <v>25.75</v>
      </c>
      <c r="C124" s="7">
        <f t="shared" si="10"/>
        <v>5</v>
      </c>
      <c r="D124" s="13">
        <v>1</v>
      </c>
      <c r="E124" s="14">
        <f t="shared" si="11"/>
        <v>0.21439769096074623</v>
      </c>
      <c r="F124" s="14">
        <f t="shared" si="12"/>
        <v>0.20452704913783135</v>
      </c>
    </row>
    <row r="125" spans="2:6" x14ac:dyDescent="0.2">
      <c r="B125" s="15">
        <v>26</v>
      </c>
      <c r="C125" s="7">
        <f t="shared" si="10"/>
        <v>5</v>
      </c>
      <c r="D125" s="13">
        <v>1</v>
      </c>
      <c r="E125" s="14">
        <f t="shared" si="11"/>
        <v>0.21242898843522964</v>
      </c>
      <c r="F125" s="14">
        <f t="shared" si="12"/>
        <v>0.202991139577191</v>
      </c>
    </row>
    <row r="126" spans="2:6" x14ac:dyDescent="0.2">
      <c r="B126" s="15">
        <v>26.25</v>
      </c>
      <c r="C126" s="7">
        <f t="shared" si="10"/>
        <v>5</v>
      </c>
      <c r="D126" s="13">
        <v>1</v>
      </c>
      <c r="E126" s="14">
        <f t="shared" si="11"/>
        <v>0.2104937542069785</v>
      </c>
      <c r="F126" s="14">
        <f t="shared" si="12"/>
        <v>0.20146972186286119</v>
      </c>
    </row>
    <row r="127" spans="2:6" x14ac:dyDescent="0.2">
      <c r="B127" s="15">
        <v>26.5</v>
      </c>
      <c r="C127" s="7">
        <f t="shared" si="10"/>
        <v>5</v>
      </c>
      <c r="D127" s="13">
        <v>1</v>
      </c>
      <c r="E127" s="14">
        <f t="shared" si="11"/>
        <v>0.20859121612905915</v>
      </c>
      <c r="F127" s="14">
        <f t="shared" si="12"/>
        <v>0.19996285589861162</v>
      </c>
    </row>
    <row r="128" spans="2:6" x14ac:dyDescent="0.2">
      <c r="B128" s="15">
        <v>26.75</v>
      </c>
      <c r="C128" s="7">
        <f t="shared" si="10"/>
        <v>5</v>
      </c>
      <c r="D128" s="13">
        <v>1</v>
      </c>
      <c r="E128" s="14">
        <f t="shared" si="11"/>
        <v>0.20672062331542207</v>
      </c>
      <c r="F128" s="14">
        <f t="shared" si="12"/>
        <v>0.19847058636659606</v>
      </c>
    </row>
    <row r="129" spans="2:6" x14ac:dyDescent="0.2">
      <c r="B129" s="15">
        <v>27</v>
      </c>
      <c r="C129" s="7">
        <f t="shared" si="10"/>
        <v>5</v>
      </c>
      <c r="D129" s="13">
        <v>1</v>
      </c>
      <c r="E129" s="14">
        <f t="shared" si="11"/>
        <v>0.20488124548694125</v>
      </c>
      <c r="F129" s="14">
        <f t="shared" si="12"/>
        <v>0.19699294367302128</v>
      </c>
    </row>
    <row r="130" spans="2:6" x14ac:dyDescent="0.2">
      <c r="B130" s="15">
        <v>27.25</v>
      </c>
      <c r="C130" s="7">
        <f t="shared" si="10"/>
        <v>5</v>
      </c>
      <c r="D130" s="13">
        <v>1</v>
      </c>
      <c r="E130" s="14">
        <f t="shared" si="11"/>
        <v>0.20307237233910086</v>
      </c>
      <c r="F130" s="14">
        <f t="shared" si="12"/>
        <v>0.19552994484532485</v>
      </c>
    </row>
    <row r="131" spans="2:6" x14ac:dyDescent="0.2">
      <c r="B131" s="15">
        <v>27.5</v>
      </c>
      <c r="C131" s="7">
        <f t="shared" si="10"/>
        <v>5</v>
      </c>
      <c r="D131" s="13">
        <v>1</v>
      </c>
      <c r="E131" s="14">
        <f t="shared" si="11"/>
        <v>0.20129331293057337</v>
      </c>
      <c r="F131" s="14">
        <f t="shared" si="12"/>
        <v>0.19408159438318193</v>
      </c>
    </row>
    <row r="132" spans="2:6" x14ac:dyDescent="0.2">
      <c r="B132" s="15">
        <v>27.75</v>
      </c>
      <c r="C132" s="7">
        <f t="shared" si="10"/>
        <v>5</v>
      </c>
      <c r="D132" s="13">
        <v>1</v>
      </c>
      <c r="E132" s="14">
        <f t="shared" si="11"/>
        <v>0.19954339509196428</v>
      </c>
      <c r="F132" s="14">
        <f t="shared" si="12"/>
        <v>0.19264788506555602</v>
      </c>
    </row>
    <row r="133" spans="2:6" x14ac:dyDescent="0.2">
      <c r="B133" s="15">
        <v>28</v>
      </c>
      <c r="C133" s="7">
        <f t="shared" si="10"/>
        <v>5</v>
      </c>
      <c r="D133" s="13">
        <v>1</v>
      </c>
      <c r="E133" s="14">
        <f t="shared" si="11"/>
        <v>0.19782196485402184</v>
      </c>
      <c r="F133" s="14">
        <f t="shared" si="12"/>
        <v>0.19122879871590415</v>
      </c>
    </row>
    <row r="134" spans="2:6" x14ac:dyDescent="0.2">
      <c r="B134" s="15">
        <v>28.25</v>
      </c>
      <c r="C134" s="7">
        <f t="shared" si="10"/>
        <v>5</v>
      </c>
      <c r="D134" s="13">
        <v>1</v>
      </c>
      <c r="E134" s="14">
        <f t="shared" si="11"/>
        <v>0.19612838589463658</v>
      </c>
      <c r="F134" s="14">
        <f t="shared" si="12"/>
        <v>0.18982430692754895</v>
      </c>
    </row>
    <row r="135" spans="2:6" x14ac:dyDescent="0.2">
      <c r="B135" s="15">
        <v>28.5</v>
      </c>
      <c r="C135" s="7">
        <f t="shared" si="10"/>
        <v>5</v>
      </c>
      <c r="D135" s="13">
        <v>1</v>
      </c>
      <c r="E135" s="14">
        <f t="shared" si="11"/>
        <v>0.1944620390039804</v>
      </c>
      <c r="F135" s="14">
        <f t="shared" si="12"/>
        <v>0.18843437175113878</v>
      </c>
    </row>
    <row r="136" spans="2:6" x14ac:dyDescent="0.2">
      <c r="B136" s="15">
        <v>28.75</v>
      </c>
      <c r="C136" s="7">
        <f t="shared" si="10"/>
        <v>5</v>
      </c>
      <c r="D136" s="13">
        <v>1</v>
      </c>
      <c r="E136" s="14">
        <f t="shared" si="11"/>
        <v>0.19282232156715734</v>
      </c>
      <c r="F136" s="14">
        <f t="shared" si="12"/>
        <v>0.18705894634602419</v>
      </c>
    </row>
    <row r="137" spans="2:6" x14ac:dyDescent="0.2">
      <c r="B137" s="15">
        <v>29</v>
      </c>
      <c r="C137" s="7">
        <f t="shared" si="10"/>
        <v>5</v>
      </c>
      <c r="D137" s="13">
        <v>1</v>
      </c>
      <c r="E137" s="14">
        <f t="shared" si="11"/>
        <v>0.19120864706376048</v>
      </c>
      <c r="F137" s="14">
        <f t="shared" si="12"/>
        <v>0.18569797559729687</v>
      </c>
    </row>
    <row r="138" spans="2:6" x14ac:dyDescent="0.2">
      <c r="B138" s="15">
        <v>29.25</v>
      </c>
      <c r="C138" s="7">
        <f t="shared" si="10"/>
        <v>5</v>
      </c>
      <c r="D138" s="13">
        <v>1</v>
      </c>
      <c r="E138" s="14">
        <f t="shared" si="11"/>
        <v>0.18962044458375335</v>
      </c>
      <c r="F138" s="14">
        <f t="shared" si="12"/>
        <v>0.18435139670015474</v>
      </c>
    </row>
    <row r="139" spans="2:6" x14ac:dyDescent="0.2">
      <c r="B139" s="15">
        <v>29.5</v>
      </c>
      <c r="C139" s="7">
        <f t="shared" si="10"/>
        <v>5</v>
      </c>
      <c r="D139" s="13">
        <v>1</v>
      </c>
      <c r="E139" s="14">
        <f t="shared" si="11"/>
        <v>0.18805715835911174</v>
      </c>
      <c r="F139" s="14">
        <f t="shared" si="12"/>
        <v>0.18301913971317868</v>
      </c>
    </row>
    <row r="140" spans="2:6" x14ac:dyDescent="0.2">
      <c r="B140" s="15">
        <v>29.75</v>
      </c>
      <c r="C140" s="7">
        <f t="shared" si="10"/>
        <v>5</v>
      </c>
      <c r="D140" s="13">
        <v>1</v>
      </c>
      <c r="E140" s="14">
        <f t="shared" si="11"/>
        <v>0.18651824731068525</v>
      </c>
      <c r="F140" s="14">
        <f t="shared" si="12"/>
        <v>0.18170112808203359</v>
      </c>
    </row>
    <row r="141" spans="2:6" x14ac:dyDescent="0.2">
      <c r="B141" s="15">
        <v>30</v>
      </c>
      <c r="C141" s="7">
        <f t="shared" si="10"/>
        <v>5</v>
      </c>
      <c r="D141" s="13">
        <v>1</v>
      </c>
      <c r="E141" s="14">
        <f t="shared" si="11"/>
        <v>0.18500318460975504</v>
      </c>
      <c r="F141" s="14">
        <f t="shared" si="12"/>
        <v>0.18039727913503484</v>
      </c>
    </row>
  </sheetData>
  <scenarios current="2" show="2">
    <scenario name="use_all" locked="1" count="11" user="Roberts Grava" comment="Created by Roberts Grava on 4/15/2023">
      <inputCells r="F7" val="1"/>
      <inputCells r="F8" val="1"/>
      <inputCells r="F9" val="1"/>
      <inputCells r="F10" val="1"/>
      <inputCells r="F11" val="1"/>
      <inputCells r="F12" val="1"/>
      <inputCells r="F13" val="1"/>
      <inputCells r="F14" val="1"/>
      <inputCells r="F15" val="1"/>
      <inputCells r="F16" val="1"/>
      <inputCells r="F17" val="1"/>
    </scenario>
    <scenario name="use_all_except_20" locked="1" count="11" user="Roberts Grava" comment="Created by Roberts Grava on 4/15/2023">
      <inputCells r="F7" val="1"/>
      <inputCells r="F8" val="1"/>
      <inputCells r="F9" val="1"/>
      <inputCells r="F10" val="1"/>
      <inputCells r="F11" val="1"/>
      <inputCells r="F12" val="1"/>
      <inputCells r="F13" val="1"/>
      <inputCells r="F14" val="1"/>
      <inputCells r="F15" val="1"/>
      <inputCells r="F16" val="0"/>
      <inputCells r="F17" val="1"/>
    </scenario>
    <scenario name="use_key" locked="1" count="11" user="Roberts Grava" comment="Created by Roberts Grava on 4/15/2023">
      <inputCells r="F7" val="0"/>
      <inputCells r="F8" val="1"/>
      <inputCells r="F9" val="0"/>
      <inputCells r="F10" val="0"/>
      <inputCells r="F11" val="1"/>
      <inputCells r="F12" val="0"/>
      <inputCells r="F13" val="1"/>
      <inputCells r="F14" val="0"/>
      <inputCells r="F15" val="1"/>
      <inputCells r="F16" val="0"/>
      <inputCells r="F17" val="1"/>
    </scenario>
    <scenario name="use_key_except_30" locked="1" count="11" user="Roberts Grava" comment="Created by Roberts Grava on 4/15/2023">
      <inputCells r="F7" val="0"/>
      <inputCells r="F8" val="1"/>
      <inputCells r="F9" val="0"/>
      <inputCells r="F10" val="0"/>
      <inputCells r="F11" val="1"/>
      <inputCells r="F12" val="0"/>
      <inputCells r="F13" val="1"/>
      <inputCells r="F14" val="0"/>
      <inputCells r="F15" val="1"/>
      <inputCells r="F16" val="0"/>
      <inputCells r="F17" val="0"/>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workbookViewId="0">
      <selection activeCell="S55" sqref="S55"/>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U2" s="44" t="s">
        <v>57</v>
      </c>
      <c r="V2" s="44"/>
      <c r="W2" s="44"/>
      <c r="X2" s="1"/>
      <c r="Y2" s="1"/>
    </row>
    <row r="3" spans="10:25" x14ac:dyDescent="0.2">
      <c r="J3" s="23"/>
      <c r="K3" s="23" t="s">
        <v>33</v>
      </c>
      <c r="L3" s="23" t="s">
        <v>34</v>
      </c>
      <c r="M3" s="23" t="s">
        <v>3</v>
      </c>
      <c r="N3" s="23" t="s">
        <v>33</v>
      </c>
      <c r="O3" s="23" t="s">
        <v>34</v>
      </c>
      <c r="P3" s="23" t="s">
        <v>37</v>
      </c>
      <c r="Q3" s="23" t="s">
        <v>36</v>
      </c>
      <c r="U3" s="18" t="s">
        <v>58</v>
      </c>
      <c r="V3" s="18" t="s">
        <v>59</v>
      </c>
      <c r="W3" s="18" t="s">
        <v>60</v>
      </c>
      <c r="X3" s="1"/>
      <c r="Y3" s="1"/>
    </row>
    <row r="4" spans="10:25" x14ac:dyDescent="0.2">
      <c r="J4" s="9" t="s">
        <v>5</v>
      </c>
      <c r="K4" s="12">
        <f>beta_0</f>
        <v>5</v>
      </c>
      <c r="L4" s="12">
        <v>4.9999971080752035</v>
      </c>
      <c r="M4" s="9">
        <v>0.25</v>
      </c>
      <c r="N4" s="7">
        <f>beta_0+beta_1*((1-EXP(-lambda*M4))/(lambda*M4))+beta_2*((1-EXP(-lambda*M4))/(lambda*M4)-EXP(-lambda*M4))</f>
        <v>5</v>
      </c>
      <c r="O4" s="33">
        <v>5</v>
      </c>
      <c r="P4" s="7">
        <f>beta_0_scen+beta_1_scen*((1-EXP(-lambda*M4))/(lambda*M4))+beta_2_scen*((1-EXP(-lambda*M4))/(lambda*M4)-EXP(-lambda*M4))</f>
        <v>5.0000073852720597</v>
      </c>
      <c r="Q4" s="7">
        <f>P4-O4</f>
        <v>7.3852720596789823E-6</v>
      </c>
      <c r="U4" s="6">
        <f>M4</f>
        <v>0.25</v>
      </c>
      <c r="V4" s="7" cm="1">
        <f t="array" ref="V4">INDEX(current_forwards, $X4, country_ix)</f>
        <v>-7.3700000000000002E-2</v>
      </c>
      <c r="W4" s="7" cm="1">
        <f t="array" ref="W4">INDEX(current_forwards, $X4+5, country_ix)</f>
        <v>0.1565</v>
      </c>
      <c r="X4" s="4">
        <v>1</v>
      </c>
      <c r="Y4" s="1"/>
    </row>
    <row r="5" spans="10:25" x14ac:dyDescent="0.2">
      <c r="J5" s="9" t="s">
        <v>6</v>
      </c>
      <c r="K5" s="12">
        <f>beta_1</f>
        <v>0</v>
      </c>
      <c r="L5" s="12">
        <v>1.0794115355215506E-5</v>
      </c>
      <c r="M5" s="9">
        <v>2</v>
      </c>
      <c r="N5" s="7">
        <f>beta_0+beta_1*((1-EXP(-lambda*M5))/(lambda*M5))+beta_2*((1-EXP(-lambda*M5))/(lambda*M5)-EXP(-lambda*M5))</f>
        <v>5</v>
      </c>
      <c r="O5" s="33">
        <v>5</v>
      </c>
      <c r="P5" s="7">
        <f>beta_0_scen+beta_1_scen*((1-EXP(-lambda*M5))/(lambda*M5))+beta_2_scen*((1-EXP(-lambda*M5))/(lambda*M5)-EXP(-lambda*M5))</f>
        <v>5.0000043645279799</v>
      </c>
      <c r="Q5" s="7">
        <f>P5-O5</f>
        <v>4.3645279799164882E-6</v>
      </c>
      <c r="U5" s="6">
        <f t="shared" ref="U5:U7" si="0">M5</f>
        <v>2</v>
      </c>
      <c r="V5" s="7" cm="1">
        <f t="array" ref="V5">INDEX(current_forwards, $X5, country_ix)</f>
        <v>9.4600000000000004E-2</v>
      </c>
      <c r="W5" s="7" cm="1">
        <f t="array" ref="W5">INDEX(current_forwards, $X5+5, country_ix)</f>
        <v>0.2112</v>
      </c>
      <c r="X5" s="4">
        <v>2</v>
      </c>
      <c r="Y5" s="1"/>
    </row>
    <row r="6" spans="10:25" x14ac:dyDescent="0.2">
      <c r="J6" s="9" t="s">
        <v>7</v>
      </c>
      <c r="K6" s="12">
        <f>beta_2</f>
        <v>0</v>
      </c>
      <c r="L6" s="12">
        <v>-1.2799429014293687E-5</v>
      </c>
      <c r="M6" s="9">
        <v>5</v>
      </c>
      <c r="N6" s="7">
        <f>beta_0+beta_1*((1-EXP(-lambda*M6))/(lambda*M6))+beta_2*((1-EXP(-lambda*M6))/(lambda*M6)-EXP(-lambda*M6))</f>
        <v>5</v>
      </c>
      <c r="O6" s="33">
        <v>5</v>
      </c>
      <c r="P6" s="7">
        <f>beta_0_scen+beta_1_scen*((1-EXP(-lambda*M6))/(lambda*M6))+beta_2_scen*((1-EXP(-lambda*M6))/(lambda*M6)-EXP(-lambda*M6))</f>
        <v>5.0000010048697705</v>
      </c>
      <c r="Q6" s="7">
        <f>P6-O6</f>
        <v>1.0048697705045129E-6</v>
      </c>
      <c r="S6" s="1" t="s">
        <v>35</v>
      </c>
      <c r="U6" s="6">
        <f t="shared" si="0"/>
        <v>5</v>
      </c>
      <c r="V6" s="7" cm="1">
        <f t="array" ref="V6">INDEX(current_forwards, $X6, country_ix)</f>
        <v>0.37740000000000001</v>
      </c>
      <c r="W6" s="7" cm="1">
        <f t="array" ref="W6">INDEX(current_forwards, $X6+5, country_ix)</f>
        <v>0.50800000000000001</v>
      </c>
      <c r="X6" s="4">
        <v>3</v>
      </c>
      <c r="Y6" s="1"/>
    </row>
    <row r="7" spans="10:25" x14ac:dyDescent="0.2">
      <c r="J7" s="9" t="s">
        <v>8</v>
      </c>
      <c r="K7" s="12">
        <f>lambda</f>
        <v>0.17934720000000001</v>
      </c>
      <c r="L7" s="6"/>
      <c r="M7" s="9">
        <v>10</v>
      </c>
      <c r="N7" s="7">
        <f>beta_0+beta_1*((1-EXP(-lambda*M7))/(lambda*M7))+beta_2*((1-EXP(-lambda*M7))/(lambda*M7)-EXP(-lambda*M7))</f>
        <v>5</v>
      </c>
      <c r="O7" s="33">
        <v>5</v>
      </c>
      <c r="P7" s="7">
        <f>beta_0_scen+beta_1_scen*((1-EXP(-lambda*M7))/(lambda*M7))+beta_2_scen*((1-EXP(-lambda*M7))/(lambda*M7)-EXP(-lambda*M7))</f>
        <v>4.9999983055792452</v>
      </c>
      <c r="Q7" s="7">
        <f>P7-O7</f>
        <v>-1.6944207548164059E-6</v>
      </c>
      <c r="S7" s="2">
        <f>SUMSQ(Q4:Q8)</f>
        <v>7.7472172832975328E-11</v>
      </c>
      <c r="U7" s="6">
        <f t="shared" si="0"/>
        <v>10</v>
      </c>
      <c r="V7" s="7" cm="1">
        <f t="array" ref="V7">INDEX(current_forwards, $X7, country_ix)</f>
        <v>0.82879999999999998</v>
      </c>
      <c r="W7" s="7" cm="1">
        <f t="array" ref="W7">INDEX(current_forwards, $X7+5, country_ix)</f>
        <v>0.97399999999999998</v>
      </c>
      <c r="X7" s="4">
        <v>4</v>
      </c>
      <c r="Y7" s="1"/>
    </row>
    <row r="8" spans="10:25" x14ac:dyDescent="0.2">
      <c r="J8" s="9" t="s">
        <v>41</v>
      </c>
      <c r="K8" s="6">
        <f>hump_mat</f>
        <v>10</v>
      </c>
      <c r="L8" s="6"/>
      <c r="M8" s="6"/>
      <c r="N8" s="7"/>
      <c r="O8" s="6"/>
      <c r="P8" s="7"/>
      <c r="Q8" s="7"/>
      <c r="V8" s="1"/>
      <c r="W8" s="1"/>
      <c r="X8" s="4"/>
      <c r="Y8" s="1"/>
    </row>
    <row r="9" spans="10:25" x14ac:dyDescent="0.2">
      <c r="M9" s="1"/>
      <c r="N9" s="1"/>
      <c r="O9" s="1"/>
      <c r="S9" s="1" t="s">
        <v>40</v>
      </c>
      <c r="V9" s="1"/>
      <c r="W9" s="1"/>
      <c r="X9" s="1"/>
      <c r="Y9" s="1"/>
    </row>
    <row r="10" spans="10:25" x14ac:dyDescent="0.2">
      <c r="M10" s="1"/>
      <c r="N10" s="1"/>
      <c r="O10" s="1"/>
      <c r="S10" s="31">
        <v>3</v>
      </c>
      <c r="V10" s="1"/>
      <c r="W10" s="1"/>
      <c r="X10" s="1"/>
      <c r="Y10" s="1"/>
    </row>
    <row r="11" spans="10:25" x14ac:dyDescent="0.2">
      <c r="J11" s="25" t="s">
        <v>38</v>
      </c>
      <c r="K11" s="5"/>
      <c r="L11" s="5"/>
      <c r="M11" s="5"/>
      <c r="N11" s="5"/>
      <c r="O11" s="5"/>
      <c r="P11" s="5"/>
      <c r="Q11" s="5"/>
      <c r="V11" s="1"/>
      <c r="W11" s="1"/>
      <c r="X11" s="1"/>
      <c r="Y11" s="1"/>
    </row>
    <row r="12" spans="10:25" x14ac:dyDescent="0.2">
      <c r="J12" s="5" t="s">
        <v>25</v>
      </c>
      <c r="K12" s="5" t="s">
        <v>26</v>
      </c>
      <c r="L12" s="5" t="s">
        <v>31</v>
      </c>
      <c r="M12" s="5" t="s">
        <v>27</v>
      </c>
      <c r="N12" s="5" t="s">
        <v>28</v>
      </c>
      <c r="O12" s="5" t="s">
        <v>32</v>
      </c>
      <c r="P12" s="5" t="s">
        <v>29</v>
      </c>
      <c r="Q12" s="5" t="s">
        <v>30</v>
      </c>
      <c r="S12" s="1" t="s">
        <v>62</v>
      </c>
      <c r="V12" s="1"/>
      <c r="W12" s="1"/>
      <c r="X12" s="1"/>
      <c r="Y12" s="1"/>
    </row>
    <row r="13" spans="10:25" x14ac:dyDescent="0.2">
      <c r="J13" s="9">
        <v>0.25</v>
      </c>
      <c r="K13" s="7"/>
      <c r="L13" s="7"/>
      <c r="M13" s="7">
        <f t="shared" ref="M13:M23" si="1">beta_0+beta_1*((1-EXP(-lambda*J13))/(lambda*J13))+beta_2*((1-EXP(-lambda*J13))/(lambda*J13)-EXP(-lambda*J13))</f>
        <v>5</v>
      </c>
      <c r="N13" s="7" t="e">
        <f t="shared" ref="N13:N23" si="2">beta_0+beta_1*((1-EXP(-lambda*K13))/(lambda*K13))+beta_2*((1-EXP(-lambda*K13))/(lambda*K13)-EXP(-lambda*K13))</f>
        <v>#DIV/0!</v>
      </c>
      <c r="O13" s="39"/>
      <c r="P13" s="39"/>
      <c r="Q13" s="40"/>
      <c r="S13" s="31">
        <v>2</v>
      </c>
      <c r="V13" s="1"/>
      <c r="W13" s="1"/>
      <c r="X13" s="1"/>
      <c r="Y13" s="1"/>
    </row>
    <row r="14" spans="10:25" x14ac:dyDescent="0.2">
      <c r="J14" s="9">
        <v>1</v>
      </c>
      <c r="K14" s="7"/>
      <c r="L14" s="7"/>
      <c r="M14" s="7">
        <f t="shared" si="1"/>
        <v>5</v>
      </c>
      <c r="N14" s="7" t="e">
        <f t="shared" si="2"/>
        <v>#DIV/0!</v>
      </c>
      <c r="O14" s="39"/>
      <c r="P14" s="39"/>
      <c r="Q14" s="40"/>
      <c r="S14" s="1" t="s">
        <v>63</v>
      </c>
      <c r="V14" s="1"/>
      <c r="W14" s="1"/>
      <c r="X14" s="1"/>
      <c r="Y14" s="1"/>
    </row>
    <row r="15" spans="10:25" x14ac:dyDescent="0.2">
      <c r="J15" s="9">
        <v>2</v>
      </c>
      <c r="K15" s="7"/>
      <c r="L15" s="7"/>
      <c r="M15" s="7">
        <f t="shared" si="1"/>
        <v>5</v>
      </c>
      <c r="N15" s="7" t="e">
        <f t="shared" si="2"/>
        <v>#DIV/0!</v>
      </c>
      <c r="O15" s="39"/>
      <c r="P15" s="39"/>
      <c r="Q15" s="40"/>
      <c r="S15" s="31">
        <v>5</v>
      </c>
      <c r="V15" s="1"/>
      <c r="W15" s="1"/>
      <c r="X15" s="1"/>
      <c r="Y15" s="1"/>
    </row>
    <row r="16" spans="10:25" x14ac:dyDescent="0.2">
      <c r="J16" s="9">
        <v>3</v>
      </c>
      <c r="K16" s="7"/>
      <c r="L16" s="7"/>
      <c r="M16" s="7">
        <f t="shared" si="1"/>
        <v>5</v>
      </c>
      <c r="N16" s="7" t="e">
        <f t="shared" si="2"/>
        <v>#DIV/0!</v>
      </c>
      <c r="O16" s="39"/>
      <c r="P16" s="39"/>
      <c r="Q16" s="40"/>
      <c r="V16" s="1"/>
      <c r="W16" s="1"/>
      <c r="X16" s="1"/>
      <c r="Y16" s="1"/>
    </row>
    <row r="17" spans="10:25" x14ac:dyDescent="0.2">
      <c r="J17" s="9">
        <v>4</v>
      </c>
      <c r="K17" s="7"/>
      <c r="L17" s="7"/>
      <c r="M17" s="7">
        <f t="shared" si="1"/>
        <v>5</v>
      </c>
      <c r="N17" s="7" t="e">
        <f t="shared" si="2"/>
        <v>#DIV/0!</v>
      </c>
      <c r="O17" s="39"/>
      <c r="P17" s="39"/>
      <c r="Q17" s="40"/>
      <c r="V17" s="1"/>
      <c r="W17" s="1"/>
      <c r="X17" s="1"/>
      <c r="Y17" s="1"/>
    </row>
    <row r="18" spans="10:25" x14ac:dyDescent="0.2">
      <c r="J18" s="9">
        <v>5</v>
      </c>
      <c r="K18" s="7"/>
      <c r="L18" s="7"/>
      <c r="M18" s="7">
        <f t="shared" si="1"/>
        <v>5</v>
      </c>
      <c r="N18" s="7" t="e">
        <f t="shared" si="2"/>
        <v>#DIV/0!</v>
      </c>
      <c r="O18" s="39"/>
      <c r="P18" s="39"/>
      <c r="Q18" s="40"/>
      <c r="V18" s="1"/>
      <c r="W18" s="1"/>
      <c r="X18" s="1"/>
      <c r="Y18" s="1"/>
    </row>
    <row r="19" spans="10:25" x14ac:dyDescent="0.2">
      <c r="J19" s="9">
        <v>6</v>
      </c>
      <c r="K19" s="7"/>
      <c r="L19" s="7"/>
      <c r="M19" s="7">
        <f t="shared" si="1"/>
        <v>5</v>
      </c>
      <c r="N19" s="7" t="e">
        <f t="shared" si="2"/>
        <v>#DIV/0!</v>
      </c>
      <c r="O19" s="39"/>
      <c r="P19" s="39"/>
      <c r="Q19" s="40"/>
      <c r="V19" s="1"/>
      <c r="W19" s="1"/>
      <c r="X19" s="1"/>
      <c r="Y19" s="1"/>
    </row>
    <row r="20" spans="10:25" x14ac:dyDescent="0.2">
      <c r="J20" s="9">
        <v>7</v>
      </c>
      <c r="K20" s="7"/>
      <c r="L20" s="7"/>
      <c r="M20" s="7">
        <f t="shared" si="1"/>
        <v>5</v>
      </c>
      <c r="N20" s="7" t="e">
        <f t="shared" si="2"/>
        <v>#DIV/0!</v>
      </c>
      <c r="O20" s="39"/>
      <c r="P20" s="39"/>
      <c r="Q20" s="40"/>
      <c r="V20" s="1"/>
      <c r="W20" s="1"/>
      <c r="X20" s="1"/>
      <c r="Y20" s="1"/>
    </row>
    <row r="21" spans="10:25" x14ac:dyDescent="0.2">
      <c r="J21" s="9">
        <v>8</v>
      </c>
      <c r="K21" s="7"/>
      <c r="L21" s="7"/>
      <c r="M21" s="7">
        <f t="shared" si="1"/>
        <v>5</v>
      </c>
      <c r="N21" s="7" t="e">
        <f t="shared" si="2"/>
        <v>#DIV/0!</v>
      </c>
      <c r="O21" s="39"/>
      <c r="P21" s="39"/>
      <c r="Q21" s="40"/>
      <c r="V21" s="1"/>
      <c r="W21" s="1"/>
      <c r="X21" s="1"/>
      <c r="Y21" s="1"/>
    </row>
    <row r="22" spans="10:25" x14ac:dyDescent="0.2">
      <c r="J22" s="9">
        <v>9</v>
      </c>
      <c r="K22" s="7"/>
      <c r="L22" s="7"/>
      <c r="M22" s="7">
        <f t="shared" si="1"/>
        <v>5</v>
      </c>
      <c r="N22" s="7" t="e">
        <f t="shared" si="2"/>
        <v>#DIV/0!</v>
      </c>
      <c r="O22" s="39"/>
      <c r="P22" s="39"/>
      <c r="Q22" s="40"/>
      <c r="V22" s="1"/>
      <c r="W22" s="1"/>
      <c r="X22" s="1"/>
      <c r="Y22" s="1"/>
    </row>
    <row r="23" spans="10:25" x14ac:dyDescent="0.2">
      <c r="J23" s="9">
        <v>10</v>
      </c>
      <c r="K23" s="7"/>
      <c r="L23" s="7"/>
      <c r="M23" s="7">
        <f t="shared" si="1"/>
        <v>5</v>
      </c>
      <c r="N23" s="7" t="e">
        <f t="shared" si="2"/>
        <v>#DIV/0!</v>
      </c>
      <c r="O23" s="39"/>
      <c r="P23" s="39"/>
      <c r="Q23" s="40"/>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c r="L27" s="7"/>
      <c r="M27" s="7">
        <f t="shared" ref="M27:M37" si="3">beta_0+beta_1*((1-EXP(-lambda*J27))/(lambda*J27))+beta_2*((1-EXP(-lambda*J27))/(lambda*J27)-EXP(-lambda*J27))</f>
        <v>5</v>
      </c>
      <c r="N27" s="7" t="e">
        <f t="shared" ref="N27:N37" si="4">beta_0_scen+beta_1_scen*((1-EXP(-lambda*K27))/(lambda*K27))+beta_2_scen*((1-EXP(-lambda*K27))/(lambda*K27)-EXP(-lambda*K27))</f>
        <v>#DIV/0!</v>
      </c>
      <c r="O27" s="39"/>
      <c r="P27" s="39"/>
      <c r="Q27" s="39"/>
      <c r="V27" s="1"/>
      <c r="W27" s="1"/>
      <c r="X27" s="1"/>
      <c r="Y27" s="1"/>
    </row>
    <row r="28" spans="10:25" x14ac:dyDescent="0.2">
      <c r="J28" s="9">
        <v>1</v>
      </c>
      <c r="K28" s="7"/>
      <c r="L28" s="7"/>
      <c r="M28" s="7">
        <f t="shared" si="3"/>
        <v>5</v>
      </c>
      <c r="N28" s="7" t="e">
        <f t="shared" si="4"/>
        <v>#DIV/0!</v>
      </c>
      <c r="O28" s="39"/>
      <c r="P28" s="39"/>
      <c r="Q28" s="39"/>
      <c r="V28" s="1"/>
      <c r="W28" s="1"/>
      <c r="X28" s="1"/>
      <c r="Y28" s="1"/>
    </row>
    <row r="29" spans="10:25" x14ac:dyDescent="0.2">
      <c r="J29" s="9">
        <v>2</v>
      </c>
      <c r="K29" s="7"/>
      <c r="L29" s="7"/>
      <c r="M29" s="7">
        <f t="shared" si="3"/>
        <v>5</v>
      </c>
      <c r="N29" s="7" t="e">
        <f t="shared" si="4"/>
        <v>#DIV/0!</v>
      </c>
      <c r="O29" s="39"/>
      <c r="P29" s="39"/>
      <c r="Q29" s="39"/>
      <c r="V29" s="1"/>
      <c r="W29" s="1"/>
      <c r="X29" s="1"/>
      <c r="Y29" s="1"/>
    </row>
    <row r="30" spans="10:25" x14ac:dyDescent="0.2">
      <c r="J30" s="9">
        <v>3</v>
      </c>
      <c r="K30" s="7"/>
      <c r="L30" s="7"/>
      <c r="M30" s="7">
        <f t="shared" si="3"/>
        <v>5</v>
      </c>
      <c r="N30" s="7" t="e">
        <f t="shared" si="4"/>
        <v>#DIV/0!</v>
      </c>
      <c r="O30" s="39"/>
      <c r="P30" s="39"/>
      <c r="Q30" s="39"/>
      <c r="V30" s="1"/>
      <c r="W30" s="1"/>
      <c r="X30" s="1"/>
      <c r="Y30" s="1"/>
    </row>
    <row r="31" spans="10:25" x14ac:dyDescent="0.2">
      <c r="J31" s="9">
        <v>4</v>
      </c>
      <c r="K31" s="7"/>
      <c r="L31" s="7"/>
      <c r="M31" s="7">
        <f t="shared" si="3"/>
        <v>5</v>
      </c>
      <c r="N31" s="7" t="e">
        <f t="shared" si="4"/>
        <v>#DIV/0!</v>
      </c>
      <c r="O31" s="39"/>
      <c r="P31" s="39"/>
      <c r="Q31" s="39"/>
      <c r="V31" s="1"/>
      <c r="W31" s="1"/>
      <c r="X31" s="1"/>
      <c r="Y31" s="1"/>
    </row>
    <row r="32" spans="10:25" x14ac:dyDescent="0.2">
      <c r="J32" s="9">
        <v>5</v>
      </c>
      <c r="K32" s="7"/>
      <c r="L32" s="7"/>
      <c r="M32" s="7">
        <f t="shared" si="3"/>
        <v>5</v>
      </c>
      <c r="N32" s="7" t="e">
        <f t="shared" si="4"/>
        <v>#DIV/0!</v>
      </c>
      <c r="O32" s="39"/>
      <c r="P32" s="39"/>
      <c r="Q32" s="39"/>
      <c r="V32" s="1"/>
      <c r="W32" s="1"/>
      <c r="X32" s="1"/>
      <c r="Y32" s="1"/>
    </row>
    <row r="33" spans="9:25" x14ac:dyDescent="0.2">
      <c r="J33" s="9">
        <v>6</v>
      </c>
      <c r="K33" s="7"/>
      <c r="L33" s="7"/>
      <c r="M33" s="7">
        <f t="shared" si="3"/>
        <v>5</v>
      </c>
      <c r="N33" s="7" t="e">
        <f t="shared" si="4"/>
        <v>#DIV/0!</v>
      </c>
      <c r="O33" s="39"/>
      <c r="P33" s="39"/>
      <c r="Q33" s="39"/>
      <c r="V33" s="1"/>
      <c r="W33" s="1"/>
      <c r="X33" s="1"/>
      <c r="Y33" s="1"/>
    </row>
    <row r="34" spans="9:25" x14ac:dyDescent="0.2">
      <c r="J34" s="9">
        <v>7</v>
      </c>
      <c r="K34" s="7"/>
      <c r="L34" s="7"/>
      <c r="M34" s="7">
        <f t="shared" si="3"/>
        <v>5</v>
      </c>
      <c r="N34" s="7" t="e">
        <f t="shared" si="4"/>
        <v>#DIV/0!</v>
      </c>
      <c r="O34" s="39"/>
      <c r="P34" s="39"/>
      <c r="Q34" s="39"/>
      <c r="V34" s="1"/>
      <c r="W34" s="1"/>
      <c r="X34" s="1"/>
      <c r="Y34" s="1"/>
    </row>
    <row r="35" spans="9:25" x14ac:dyDescent="0.2">
      <c r="J35" s="9">
        <v>8</v>
      </c>
      <c r="K35" s="7"/>
      <c r="L35" s="7"/>
      <c r="M35" s="7">
        <f t="shared" si="3"/>
        <v>5</v>
      </c>
      <c r="N35" s="7" t="e">
        <f t="shared" si="4"/>
        <v>#DIV/0!</v>
      </c>
      <c r="O35" s="39"/>
      <c r="P35" s="39"/>
      <c r="Q35" s="39"/>
      <c r="V35" s="1"/>
      <c r="W35" s="1"/>
      <c r="X35" s="1"/>
      <c r="Y35" s="1"/>
    </row>
    <row r="36" spans="9:25" x14ac:dyDescent="0.2">
      <c r="J36" s="9">
        <v>9</v>
      </c>
      <c r="K36" s="7"/>
      <c r="L36" s="7"/>
      <c r="M36" s="7">
        <f t="shared" si="3"/>
        <v>5</v>
      </c>
      <c r="N36" s="7" t="e">
        <f t="shared" si="4"/>
        <v>#DIV/0!</v>
      </c>
      <c r="O36" s="39"/>
      <c r="P36" s="39"/>
      <c r="Q36" s="39"/>
      <c r="V36" s="1"/>
      <c r="W36" s="1"/>
      <c r="X36" s="1"/>
      <c r="Y36" s="1"/>
    </row>
    <row r="37" spans="9:25" x14ac:dyDescent="0.2">
      <c r="J37" s="9">
        <v>10</v>
      </c>
      <c r="K37" s="7"/>
      <c r="L37" s="7"/>
      <c r="M37" s="7">
        <f t="shared" si="3"/>
        <v>5</v>
      </c>
      <c r="N37" s="7" t="e">
        <f t="shared" si="4"/>
        <v>#DIV/0!</v>
      </c>
      <c r="O37" s="39"/>
      <c r="P37" s="39"/>
      <c r="Q37" s="39"/>
      <c r="V37" s="1"/>
      <c r="W37" s="1"/>
      <c r="X37" s="1"/>
      <c r="Y37" s="1"/>
    </row>
    <row r="38" spans="9:25" x14ac:dyDescent="0.2">
      <c r="M38" s="1"/>
      <c r="N38" s="1"/>
      <c r="O38" s="1"/>
      <c r="V38" s="1"/>
      <c r="W38" s="1"/>
      <c r="X38" s="1"/>
      <c r="Y38" s="1"/>
    </row>
    <row r="39" spans="9:25" x14ac:dyDescent="0.2">
      <c r="J39" s="34" t="s">
        <v>61</v>
      </c>
      <c r="K39" s="35"/>
      <c r="L39" s="35"/>
      <c r="M39" s="35"/>
      <c r="N39" s="35"/>
      <c r="O39" s="35"/>
      <c r="P39" s="35"/>
      <c r="Q39" s="35"/>
      <c r="V39" s="1"/>
      <c r="W39" s="1"/>
      <c r="X39" s="1"/>
      <c r="Y39" s="1"/>
    </row>
    <row r="40" spans="9:25" x14ac:dyDescent="0.2">
      <c r="J40" s="35" t="s">
        <v>58</v>
      </c>
      <c r="K40" s="36" t="s">
        <v>66</v>
      </c>
      <c r="L40" s="35" t="s">
        <v>4</v>
      </c>
      <c r="M40" s="36" t="s">
        <v>67</v>
      </c>
      <c r="N40" s="35" t="s">
        <v>32</v>
      </c>
      <c r="O40" s="35" t="s">
        <v>64</v>
      </c>
      <c r="P40" s="35" t="s">
        <v>30</v>
      </c>
      <c r="Q40" s="35" t="s">
        <v>65</v>
      </c>
      <c r="V40" s="1"/>
      <c r="W40" s="1"/>
      <c r="X40" s="1"/>
      <c r="Y40" s="1"/>
    </row>
    <row r="41" spans="9:25" x14ac:dyDescent="0.2">
      <c r="I41" s="4">
        <v>0</v>
      </c>
      <c r="J41" s="7"/>
      <c r="K41" s="7"/>
      <c r="L41" s="42" t="e">
        <f>beta_0+beta_1*((1-EXP(-lambda*J42))/(lambda*J42))+beta_2*((1-EXP(-lambda*J42))/(lambda*J42)-EXP(-lambda*J42))</f>
        <v>#DIV/0!</v>
      </c>
      <c r="M41" s="42" t="e">
        <f>beta_0+beta_1*((1-EXP(-lambda*K41))/(lambda*K41))+beta_2*((1-EXP(-lambda*K41))/(lambda*K41)-EXP(-lambda*K41))</f>
        <v>#DIV/0!</v>
      </c>
      <c r="N41" s="45"/>
      <c r="O41" s="45"/>
      <c r="P41" s="45"/>
      <c r="Q41" s="39"/>
      <c r="V41" s="1"/>
      <c r="W41" s="1"/>
      <c r="X41" s="1"/>
      <c r="Y41" s="1"/>
    </row>
    <row r="42" spans="9:25" x14ac:dyDescent="0.2">
      <c r="I42" s="4">
        <v>1</v>
      </c>
      <c r="J42" s="7"/>
      <c r="K42" s="7"/>
      <c r="L42" s="7"/>
      <c r="M42" s="7"/>
      <c r="N42" s="39"/>
      <c r="O42" s="39"/>
      <c r="P42" s="39"/>
      <c r="Q42" s="39"/>
      <c r="V42" s="1"/>
      <c r="W42" s="1"/>
      <c r="X42" s="1"/>
      <c r="Y42" s="1"/>
    </row>
    <row r="43" spans="9:25" x14ac:dyDescent="0.2">
      <c r="I43" s="4">
        <v>2</v>
      </c>
      <c r="J43" s="7"/>
      <c r="K43" s="7"/>
      <c r="L43" s="7"/>
      <c r="M43" s="7"/>
      <c r="N43" s="39"/>
      <c r="O43" s="39"/>
      <c r="P43" s="39"/>
      <c r="Q43" s="39"/>
      <c r="V43" s="1"/>
      <c r="W43" s="1"/>
      <c r="X43" s="1"/>
      <c r="Y43" s="1"/>
    </row>
    <row r="44" spans="9:25" x14ac:dyDescent="0.2">
      <c r="I44" s="4">
        <v>3</v>
      </c>
      <c r="J44" s="7"/>
      <c r="K44" s="7"/>
      <c r="L44" s="7"/>
      <c r="M44" s="7"/>
      <c r="N44" s="39"/>
      <c r="O44" s="39"/>
      <c r="P44" s="39"/>
      <c r="Q44" s="39"/>
      <c r="V44" s="1"/>
      <c r="W44" s="1"/>
      <c r="X44" s="1"/>
      <c r="Y44" s="1"/>
    </row>
    <row r="45" spans="9:25" x14ac:dyDescent="0.2">
      <c r="I45" s="4">
        <v>4</v>
      </c>
      <c r="J45" s="7"/>
      <c r="K45" s="7"/>
      <c r="L45" s="7"/>
      <c r="M45" s="7"/>
      <c r="N45" s="39"/>
      <c r="O45" s="39"/>
      <c r="P45" s="39"/>
      <c r="Q45" s="39"/>
      <c r="V45" s="1"/>
      <c r="W45" s="1"/>
      <c r="X45" s="1"/>
      <c r="Y45" s="1"/>
    </row>
    <row r="46" spans="9:25" x14ac:dyDescent="0.2">
      <c r="I46" s="4">
        <v>5</v>
      </c>
      <c r="J46" s="7"/>
      <c r="K46" s="7"/>
      <c r="L46" s="7"/>
      <c r="M46" s="7"/>
      <c r="N46" s="39"/>
      <c r="O46" s="39"/>
      <c r="P46" s="39"/>
      <c r="Q46" s="39"/>
      <c r="V46" s="1"/>
      <c r="W46" s="1"/>
      <c r="X46" s="1"/>
      <c r="Y46" s="1"/>
    </row>
    <row r="47" spans="9:25" x14ac:dyDescent="0.2">
      <c r="I47" s="4">
        <v>6</v>
      </c>
      <c r="J47" s="7"/>
      <c r="K47" s="7"/>
      <c r="L47" s="7"/>
      <c r="M47" s="7"/>
      <c r="N47" s="39"/>
      <c r="O47" s="39"/>
      <c r="P47" s="39"/>
      <c r="Q47" s="39"/>
      <c r="V47" s="1"/>
      <c r="W47" s="1"/>
      <c r="X47" s="1"/>
      <c r="Y47" s="1"/>
    </row>
    <row r="48" spans="9:25" x14ac:dyDescent="0.2">
      <c r="I48" s="4">
        <v>7</v>
      </c>
      <c r="J48" s="7"/>
      <c r="K48" s="7"/>
      <c r="L48" s="7"/>
      <c r="M48" s="7"/>
      <c r="N48" s="39"/>
      <c r="O48" s="39"/>
      <c r="P48" s="39"/>
      <c r="Q48" s="39"/>
      <c r="V48" s="1"/>
      <c r="W48" s="1"/>
      <c r="X48" s="1"/>
      <c r="Y48" s="1"/>
    </row>
    <row r="49" spans="9:25" x14ac:dyDescent="0.2">
      <c r="I49" s="4">
        <v>8</v>
      </c>
      <c r="J49" s="7"/>
      <c r="K49" s="7"/>
      <c r="L49" s="7"/>
      <c r="M49" s="7"/>
      <c r="N49" s="39"/>
      <c r="O49" s="39"/>
      <c r="P49" s="39"/>
      <c r="Q49" s="39"/>
      <c r="V49" s="1"/>
      <c r="W49" s="1"/>
      <c r="X49" s="1"/>
      <c r="Y49" s="1"/>
    </row>
    <row r="50" spans="9:25" x14ac:dyDescent="0.2">
      <c r="I50" s="4">
        <v>9</v>
      </c>
      <c r="J50" s="7"/>
      <c r="K50" s="7"/>
      <c r="L50" s="7"/>
      <c r="M50" s="7"/>
      <c r="N50" s="39"/>
      <c r="O50" s="39"/>
      <c r="P50" s="39"/>
      <c r="Q50" s="39"/>
      <c r="V50" s="1"/>
      <c r="W50" s="1"/>
      <c r="X50" s="1"/>
      <c r="Y50" s="1"/>
    </row>
    <row r="51" spans="9:25" x14ac:dyDescent="0.2">
      <c r="I51" s="4">
        <v>10</v>
      </c>
      <c r="J51" s="7"/>
      <c r="K51" s="7"/>
      <c r="L51" s="7"/>
      <c r="M51" s="7"/>
      <c r="N51" s="39"/>
      <c r="O51" s="39"/>
      <c r="P51" s="39"/>
      <c r="Q51" s="39"/>
      <c r="V51" s="1"/>
      <c r="W51" s="1"/>
      <c r="X51" s="1"/>
      <c r="Y51" s="1"/>
    </row>
    <row r="52" spans="9:25" x14ac:dyDescent="0.2">
      <c r="I52" s="4">
        <v>11</v>
      </c>
      <c r="J52" s="7"/>
      <c r="K52" s="7"/>
      <c r="L52" s="7"/>
      <c r="M52" s="7"/>
      <c r="N52" s="39"/>
      <c r="O52" s="39"/>
      <c r="P52" s="39"/>
      <c r="Q52" s="39"/>
      <c r="V52" s="1"/>
      <c r="W52" s="1"/>
      <c r="X52" s="1"/>
      <c r="Y52" s="1"/>
    </row>
    <row r="53" spans="9:25" x14ac:dyDescent="0.2">
      <c r="I53" s="4">
        <v>12</v>
      </c>
      <c r="J53" s="7"/>
      <c r="K53" s="7"/>
      <c r="L53" s="42" t="e">
        <f>beta_0_scen+beta_1_scen*((1-EXP(-lambda*J53))/(lambda*J53))+beta_2_scen*((1-EXP(-lambda*J53))/(lambda*J53)-EXP(-lambda*J53))</f>
        <v>#DIV/0!</v>
      </c>
      <c r="M53" s="42" t="e">
        <f>beta_0_scen+beta_1_scen*((1-EXP(-lambda*K53))/(lambda*K53))+beta_2_scen*((1-EXP(-lambda*K53))/(lambda*K53)-EXP(-lambda*K53))</f>
        <v>#DIV/0!</v>
      </c>
      <c r="N53" s="39"/>
      <c r="O53" s="39"/>
      <c r="P53" s="39"/>
      <c r="Q53" s="41"/>
      <c r="V53" s="1"/>
      <c r="W53" s="1"/>
      <c r="X53" s="1"/>
      <c r="Y53" s="1"/>
    </row>
    <row r="54" spans="9:25" x14ac:dyDescent="0.2">
      <c r="I54" s="4"/>
      <c r="M54" s="1"/>
      <c r="N54" s="1"/>
      <c r="O54" s="1"/>
      <c r="V54" s="1"/>
      <c r="W54" s="1"/>
      <c r="X54" s="1"/>
      <c r="Y54" s="1"/>
    </row>
    <row r="55" spans="9:25" x14ac:dyDescent="0.2">
      <c r="I55" s="4"/>
      <c r="J55" s="37" t="s">
        <v>68</v>
      </c>
      <c r="K55" s="17"/>
      <c r="L55" s="17"/>
      <c r="M55" s="17"/>
      <c r="N55" s="17"/>
      <c r="O55" s="17"/>
      <c r="P55" s="17"/>
      <c r="Q55" s="17"/>
      <c r="V55" s="1"/>
      <c r="W55" s="1"/>
      <c r="X55" s="1"/>
      <c r="Y55" s="1"/>
    </row>
    <row r="56" spans="9:25" x14ac:dyDescent="0.2">
      <c r="I56" s="4"/>
      <c r="J56" s="17" t="s">
        <v>58</v>
      </c>
      <c r="K56" s="38" t="s">
        <v>66</v>
      </c>
      <c r="L56" s="17" t="s">
        <v>4</v>
      </c>
      <c r="M56" s="38" t="s">
        <v>67</v>
      </c>
      <c r="N56" s="17" t="s">
        <v>32</v>
      </c>
      <c r="O56" s="17" t="s">
        <v>64</v>
      </c>
      <c r="P56" s="17" t="s">
        <v>30</v>
      </c>
      <c r="Q56" s="17" t="s">
        <v>65</v>
      </c>
      <c r="V56" s="1"/>
      <c r="W56" s="1"/>
      <c r="X56" s="1"/>
      <c r="Y56" s="1"/>
    </row>
    <row r="57" spans="9:25" x14ac:dyDescent="0.2">
      <c r="I57" s="4">
        <v>0</v>
      </c>
      <c r="J57" s="7"/>
      <c r="K57" s="7"/>
      <c r="L57" s="42" t="e">
        <f>beta_0+beta_1*((1-EXP(-lambda*J58))/(lambda*J58))+beta_2*((1-EXP(-lambda*J58))/(lambda*J58)-EXP(-lambda*J58))</f>
        <v>#DIV/0!</v>
      </c>
      <c r="M57" s="42" t="e">
        <f>beta_0+beta_1*((1-EXP(-lambda*K57))/(lambda*K57))+beta_2*((1-EXP(-lambda*K57))/(lambda*K57)-EXP(-lambda*K57))</f>
        <v>#DIV/0!</v>
      </c>
      <c r="N57" s="46"/>
      <c r="O57" s="46"/>
      <c r="P57" s="46"/>
      <c r="Q57" s="39"/>
      <c r="V57" s="1"/>
      <c r="W57" s="1"/>
      <c r="X57" s="1"/>
      <c r="Y57" s="1"/>
    </row>
    <row r="58" spans="9:25" x14ac:dyDescent="0.2">
      <c r="I58" s="4">
        <v>1</v>
      </c>
      <c r="J58" s="7"/>
      <c r="K58" s="7"/>
      <c r="L58" s="7"/>
      <c r="M58" s="7"/>
      <c r="N58" s="39"/>
      <c r="O58" s="39"/>
      <c r="P58" s="39"/>
      <c r="Q58" s="39"/>
      <c r="V58" s="1"/>
      <c r="W58" s="1"/>
      <c r="X58" s="1"/>
      <c r="Y58" s="1"/>
    </row>
    <row r="59" spans="9:25" x14ac:dyDescent="0.2">
      <c r="I59" s="4">
        <v>2</v>
      </c>
      <c r="J59" s="7"/>
      <c r="K59" s="7"/>
      <c r="L59" s="7"/>
      <c r="M59" s="7"/>
      <c r="N59" s="39"/>
      <c r="O59" s="39"/>
      <c r="P59" s="39"/>
      <c r="Q59" s="39"/>
      <c r="V59" s="1"/>
      <c r="W59" s="1"/>
      <c r="X59" s="1"/>
      <c r="Y59" s="1"/>
    </row>
    <row r="60" spans="9:25" x14ac:dyDescent="0.2">
      <c r="I60" s="4">
        <v>3</v>
      </c>
      <c r="J60" s="7"/>
      <c r="K60" s="7"/>
      <c r="L60" s="7"/>
      <c r="M60" s="7"/>
      <c r="N60" s="39"/>
      <c r="O60" s="39"/>
      <c r="P60" s="39"/>
      <c r="Q60" s="39"/>
      <c r="V60" s="1"/>
      <c r="W60" s="1"/>
      <c r="X60" s="1"/>
      <c r="Y60" s="1"/>
    </row>
    <row r="61" spans="9:25" x14ac:dyDescent="0.2">
      <c r="I61" s="4">
        <v>4</v>
      </c>
      <c r="J61" s="7"/>
      <c r="K61" s="7"/>
      <c r="L61" s="7"/>
      <c r="M61" s="7"/>
      <c r="N61" s="39"/>
      <c r="O61" s="39"/>
      <c r="P61" s="39"/>
      <c r="Q61" s="39"/>
      <c r="V61" s="1"/>
      <c r="W61" s="1"/>
      <c r="X61" s="1"/>
      <c r="Y61" s="1"/>
    </row>
    <row r="62" spans="9:25" x14ac:dyDescent="0.2">
      <c r="I62" s="4">
        <v>5</v>
      </c>
      <c r="J62" s="7"/>
      <c r="K62" s="7"/>
      <c r="L62" s="7"/>
      <c r="M62" s="7"/>
      <c r="N62" s="39"/>
      <c r="O62" s="39"/>
      <c r="P62" s="39"/>
      <c r="Q62" s="39"/>
      <c r="V62" s="1"/>
      <c r="W62" s="1"/>
      <c r="X62" s="1"/>
      <c r="Y62" s="1"/>
    </row>
    <row r="63" spans="9:25" x14ac:dyDescent="0.2">
      <c r="I63" s="4">
        <v>6</v>
      </c>
      <c r="J63" s="7"/>
      <c r="K63" s="7"/>
      <c r="L63" s="7"/>
      <c r="M63" s="7"/>
      <c r="N63" s="39"/>
      <c r="O63" s="39"/>
      <c r="P63" s="39"/>
      <c r="Q63" s="39"/>
      <c r="V63" s="1"/>
      <c r="W63" s="1"/>
      <c r="X63" s="1"/>
      <c r="Y63" s="1"/>
    </row>
    <row r="64" spans="9:25" x14ac:dyDescent="0.2">
      <c r="I64" s="4">
        <v>7</v>
      </c>
      <c r="J64" s="7"/>
      <c r="K64" s="7"/>
      <c r="L64" s="7"/>
      <c r="M64" s="7"/>
      <c r="N64" s="39"/>
      <c r="O64" s="39"/>
      <c r="P64" s="39"/>
      <c r="Q64" s="39"/>
      <c r="V64" s="1"/>
      <c r="W64" s="1"/>
      <c r="X64" s="1"/>
      <c r="Y64" s="1"/>
    </row>
    <row r="65" spans="9:25" x14ac:dyDescent="0.2">
      <c r="I65" s="4">
        <v>8</v>
      </c>
      <c r="J65" s="7"/>
      <c r="K65" s="7"/>
      <c r="L65" s="7"/>
      <c r="M65" s="7"/>
      <c r="N65" s="39"/>
      <c r="O65" s="39"/>
      <c r="P65" s="39"/>
      <c r="Q65" s="39"/>
      <c r="V65" s="1"/>
      <c r="W65" s="1"/>
      <c r="X65" s="1"/>
      <c r="Y65" s="1"/>
    </row>
    <row r="66" spans="9:25" x14ac:dyDescent="0.2">
      <c r="I66" s="4">
        <v>9</v>
      </c>
      <c r="J66" s="7"/>
      <c r="K66" s="7"/>
      <c r="L66" s="7"/>
      <c r="M66" s="7"/>
      <c r="N66" s="39"/>
      <c r="O66" s="39"/>
      <c r="P66" s="39"/>
      <c r="Q66" s="39"/>
      <c r="V66" s="1"/>
      <c r="W66" s="1"/>
      <c r="X66" s="1"/>
      <c r="Y66" s="1"/>
    </row>
    <row r="67" spans="9:25" x14ac:dyDescent="0.2">
      <c r="I67" s="4">
        <v>10</v>
      </c>
      <c r="J67" s="7"/>
      <c r="K67" s="7"/>
      <c r="L67" s="7"/>
      <c r="M67" s="7"/>
      <c r="N67" s="39"/>
      <c r="O67" s="39"/>
      <c r="P67" s="39"/>
      <c r="Q67" s="39"/>
      <c r="V67" s="1"/>
      <c r="W67" s="1"/>
      <c r="X67" s="1"/>
      <c r="Y67" s="1"/>
    </row>
    <row r="68" spans="9:25" x14ac:dyDescent="0.2">
      <c r="I68" s="4">
        <v>11</v>
      </c>
      <c r="J68" s="7"/>
      <c r="K68" s="7"/>
      <c r="L68" s="7"/>
      <c r="M68" s="7"/>
      <c r="N68" s="39"/>
      <c r="O68" s="39"/>
      <c r="P68" s="39"/>
      <c r="Q68" s="39"/>
      <c r="V68" s="1"/>
      <c r="W68" s="1"/>
      <c r="X68" s="1"/>
      <c r="Y68" s="1"/>
    </row>
    <row r="69" spans="9:25" x14ac:dyDescent="0.2">
      <c r="I69" s="4">
        <v>12</v>
      </c>
      <c r="J69" s="7"/>
      <c r="K69" s="7"/>
      <c r="L69" s="42" t="e">
        <f>beta_0_scen+beta_1_scen*((1-EXP(-lambda*J69))/(lambda*J69))+beta_2_scen*((1-EXP(-lambda*J69))/(lambda*J69)-EXP(-lambda*J69))</f>
        <v>#DIV/0!</v>
      </c>
      <c r="M69" s="42" t="e">
        <f>beta_0_scen+beta_1_scen*((1-EXP(-lambda*K69))/(lambda*K69))+beta_2_scen*((1-EXP(-lambda*K69))/(lambda*K69)-EXP(-lambda*K69))</f>
        <v>#DIV/0!</v>
      </c>
      <c r="N69" s="39"/>
      <c r="O69" s="39"/>
      <c r="P69" s="39"/>
      <c r="Q69" s="41"/>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mergeCells count="1">
    <mergeCell ref="U2:W2"/>
  </mergeCells>
  <phoneticPr fontId="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3:O124"/>
  <sheetViews>
    <sheetView showGridLines="0" workbookViewId="0">
      <selection activeCell="B9" sqref="B9"/>
    </sheetView>
  </sheetViews>
  <sheetFormatPr baseColWidth="10" defaultColWidth="8.83203125" defaultRowHeight="15" x14ac:dyDescent="0.2"/>
  <cols>
    <col min="1" max="16384" width="8.83203125" style="4"/>
  </cols>
  <sheetData>
    <row r="3" spans="2:15" x14ac:dyDescent="0.2">
      <c r="C3" s="4" t="s">
        <v>0</v>
      </c>
      <c r="D3" s="4" t="s">
        <v>43</v>
      </c>
      <c r="E3" s="4" t="s">
        <v>42</v>
      </c>
      <c r="F3" s="4" t="s">
        <v>1</v>
      </c>
      <c r="G3" s="4" t="s">
        <v>2</v>
      </c>
      <c r="J3" s="4" t="s">
        <v>12</v>
      </c>
      <c r="K3" s="4" t="s">
        <v>16</v>
      </c>
      <c r="M3" s="4" t="s">
        <v>3</v>
      </c>
      <c r="N3" s="4" t="s">
        <v>33</v>
      </c>
      <c r="O3" s="4" t="s">
        <v>34</v>
      </c>
    </row>
    <row r="4" spans="2:15" x14ac:dyDescent="0.2">
      <c r="B4" s="4">
        <v>2.7000000000000001E-3</v>
      </c>
      <c r="C4" s="4">
        <v>5.31</v>
      </c>
      <c r="D4" s="4">
        <v>4</v>
      </c>
      <c r="E4" s="4">
        <v>4</v>
      </c>
      <c r="F4" s="4">
        <v>5.25</v>
      </c>
      <c r="G4" s="4">
        <v>-6.3E-2</v>
      </c>
      <c r="I4" s="4">
        <f>B4</f>
        <v>2.7000000000000001E-3</v>
      </c>
      <c r="J4" s="4">
        <f>IF(NS!F7,NS!C7,NA())</f>
        <v>-6.3E-2</v>
      </c>
      <c r="K4" s="4" t="e">
        <f>IF(ISNA(J4),NS!C7,NA())</f>
        <v>#N/A</v>
      </c>
      <c r="M4" s="24">
        <f t="array" ref="M4:M124">ns_maturities</f>
        <v>2.7000000000000001E-3</v>
      </c>
      <c r="N4" s="24">
        <f t="array" ref="N4:N124">ns_yields</f>
        <v>5</v>
      </c>
      <c r="O4" s="24">
        <f t="shared" ref="O4:O35" si="0">beta_0_scen+beta_1_scen*((1-EXP(-lambda*M4))/(lambda*M4))+beta_2_scen*((1-EXP(-lambda*M4))/(lambda*M4)-EXP(-lambda*M4))</f>
        <v>5.0000078964795414</v>
      </c>
    </row>
    <row r="5" spans="2:15" x14ac:dyDescent="0.2">
      <c r="B5" s="4">
        <v>0.25</v>
      </c>
      <c r="C5" s="4">
        <v>5.4459</v>
      </c>
      <c r="D5" s="4">
        <v>3.64</v>
      </c>
      <c r="E5" s="4">
        <v>3.9350000000000001</v>
      </c>
      <c r="F5" s="4">
        <v>5.4409999999999998</v>
      </c>
      <c r="G5" s="4">
        <v>-0.15</v>
      </c>
      <c r="I5" s="4">
        <f t="shared" ref="I5:I14" si="1">B5</f>
        <v>0.25</v>
      </c>
      <c r="J5" s="4">
        <f>IF(NS!F8,NS!C8,NA())</f>
        <v>-0.15</v>
      </c>
      <c r="K5" s="4" t="e">
        <f>IF(ISNA(J5),NS!C8,NA())</f>
        <v>#N/A</v>
      </c>
      <c r="M5" s="24">
        <v>0.25</v>
      </c>
      <c r="N5" s="24">
        <v>5</v>
      </c>
      <c r="O5" s="24">
        <f t="shared" si="0"/>
        <v>5.0000073852720597</v>
      </c>
    </row>
    <row r="6" spans="2:15" x14ac:dyDescent="0.2">
      <c r="B6" s="4">
        <v>0.5</v>
      </c>
      <c r="C6" s="4">
        <v>5.5414000000000003</v>
      </c>
      <c r="D6" s="4">
        <v>3.71</v>
      </c>
      <c r="E6" s="4">
        <v>4.0220000000000002</v>
      </c>
      <c r="F6" s="4">
        <v>5.4889999999999999</v>
      </c>
      <c r="G6" s="4">
        <v>-0.124</v>
      </c>
      <c r="I6" s="4">
        <f t="shared" si="1"/>
        <v>0.5</v>
      </c>
      <c r="J6" s="4">
        <f>IF(NS!F9,NS!C9,NA())</f>
        <v>-0.124</v>
      </c>
      <c r="K6" s="4" t="e">
        <f>IF(ISNA(J6),NS!C9,NA())</f>
        <v>#N/A</v>
      </c>
      <c r="M6" s="24">
        <v>0.5</v>
      </c>
      <c r="N6" s="24">
        <v>5</v>
      </c>
      <c r="O6" s="24">
        <f t="shared" si="0"/>
        <v>5.0000068916611191</v>
      </c>
    </row>
    <row r="7" spans="2:15" x14ac:dyDescent="0.2">
      <c r="B7" s="4">
        <v>1</v>
      </c>
      <c r="C7" s="4">
        <v>5.4484000000000004</v>
      </c>
      <c r="D7" s="4">
        <v>3.6909999999999998</v>
      </c>
      <c r="E7" s="4">
        <v>3.98</v>
      </c>
      <c r="F7" s="4">
        <v>5.1100000000000003</v>
      </c>
      <c r="G7" s="4">
        <v>-6.4000000000000001E-2</v>
      </c>
      <c r="I7" s="4">
        <f t="shared" si="1"/>
        <v>1</v>
      </c>
      <c r="J7" s="4">
        <f>IF(NS!F10,NS!C10,NA())</f>
        <v>-6.4000000000000001E-2</v>
      </c>
      <c r="K7" s="4" t="e">
        <f>IF(ISNA(J7),NS!C10,NA())</f>
        <v>#N/A</v>
      </c>
      <c r="M7" s="24">
        <v>0.75</v>
      </c>
      <c r="N7" s="24">
        <v>5</v>
      </c>
      <c r="O7" s="24">
        <f t="shared" si="0"/>
        <v>5.0000064203216326</v>
      </c>
    </row>
    <row r="8" spans="2:15" x14ac:dyDescent="0.2">
      <c r="B8" s="4">
        <v>2</v>
      </c>
      <c r="C8" s="4">
        <v>5.0435999999999996</v>
      </c>
      <c r="D8" s="4">
        <v>3.2029999999999998</v>
      </c>
      <c r="E8" s="4">
        <v>3.55</v>
      </c>
      <c r="F8" s="4">
        <v>4.9039999999999999</v>
      </c>
      <c r="G8" s="4">
        <v>0.05</v>
      </c>
      <c r="I8" s="4">
        <f t="shared" si="1"/>
        <v>2</v>
      </c>
      <c r="J8" s="4">
        <f>IF(NS!F11,NS!C11,NA())</f>
        <v>0.05</v>
      </c>
      <c r="K8" s="4" t="e">
        <f>IF(ISNA(J8),NS!C11,NA())</f>
        <v>#N/A</v>
      </c>
      <c r="M8" s="24">
        <v>1</v>
      </c>
      <c r="N8" s="24">
        <v>5</v>
      </c>
      <c r="O8" s="24">
        <f t="shared" si="0"/>
        <v>5.0000059702633006</v>
      </c>
    </row>
    <row r="9" spans="2:15" x14ac:dyDescent="0.2">
      <c r="B9" s="4">
        <v>3</v>
      </c>
      <c r="C9" s="4">
        <v>4.7991000000000001</v>
      </c>
      <c r="D9" s="4">
        <v>2.9260000000000002</v>
      </c>
      <c r="E9" s="4">
        <v>3.5350000000000001</v>
      </c>
      <c r="F9" s="4">
        <v>4.6159999999999997</v>
      </c>
      <c r="G9" s="4">
        <v>8.8999999999999996E-2</v>
      </c>
      <c r="I9" s="4">
        <f t="shared" si="1"/>
        <v>3</v>
      </c>
      <c r="J9" s="4">
        <f>IF(NS!F12,NS!C12,NA())</f>
        <v>8.8999999999999996E-2</v>
      </c>
      <c r="K9" s="4" t="e">
        <f>IF(ISNA(J9),NS!C12,NA())</f>
        <v>#N/A</v>
      </c>
      <c r="M9" s="24">
        <v>1.25</v>
      </c>
      <c r="N9" s="24">
        <v>5</v>
      </c>
      <c r="O9" s="24">
        <f t="shared" si="0"/>
        <v>5.0000055405396049</v>
      </c>
    </row>
    <row r="10" spans="2:15" x14ac:dyDescent="0.2">
      <c r="B10" s="4">
        <v>5</v>
      </c>
      <c r="C10" s="4">
        <v>4.609</v>
      </c>
      <c r="D10" s="4">
        <v>2.7770000000000001</v>
      </c>
      <c r="E10" s="4">
        <v>3.7149999999999999</v>
      </c>
      <c r="F10" s="4">
        <v>4.5120000000000005</v>
      </c>
      <c r="G10" s="4">
        <v>0.316</v>
      </c>
      <c r="I10" s="4">
        <f t="shared" si="1"/>
        <v>5</v>
      </c>
      <c r="J10" s="4">
        <f>IF(NS!F13,NS!C13,NA())</f>
        <v>0.316</v>
      </c>
      <c r="K10" s="4" t="e">
        <f>IF(ISNA(J10),NS!C13,NA())</f>
        <v>#N/A</v>
      </c>
      <c r="M10" s="24">
        <v>1.5</v>
      </c>
      <c r="N10" s="24">
        <v>5</v>
      </c>
      <c r="O10" s="24">
        <f t="shared" si="0"/>
        <v>5.0000051302458823</v>
      </c>
    </row>
    <row r="11" spans="2:15" x14ac:dyDescent="0.2">
      <c r="B11" s="4">
        <v>7</v>
      </c>
      <c r="C11" s="4">
        <v>4.6143999999999998</v>
      </c>
      <c r="D11" s="4">
        <v>2.7909999999999999</v>
      </c>
      <c r="E11" s="4">
        <v>3.93</v>
      </c>
      <c r="F11" s="4">
        <v>4.3099999999999996</v>
      </c>
      <c r="G11" s="4">
        <v>0.52400000000000002</v>
      </c>
      <c r="I11" s="4">
        <f t="shared" si="1"/>
        <v>7</v>
      </c>
      <c r="J11" s="4">
        <f>IF(NS!F14,NS!C14,NA())</f>
        <v>0.52400000000000002</v>
      </c>
      <c r="K11" s="4" t="e">
        <f>IF(ISNA(J11),NS!C14,NA())</f>
        <v>#N/A</v>
      </c>
      <c r="M11" s="24">
        <v>1.75</v>
      </c>
      <c r="N11" s="24">
        <v>5</v>
      </c>
      <c r="O11" s="24">
        <f t="shared" si="0"/>
        <v>5.0000047385174788</v>
      </c>
    </row>
    <row r="12" spans="2:15" x14ac:dyDescent="0.2">
      <c r="B12" s="4">
        <v>10</v>
      </c>
      <c r="C12" s="4">
        <v>4.5711000000000004</v>
      </c>
      <c r="D12" s="4">
        <v>2.839</v>
      </c>
      <c r="E12" s="4">
        <v>4.2149999999999999</v>
      </c>
      <c r="F12" s="4">
        <v>4.4370000000000003</v>
      </c>
      <c r="G12" s="4">
        <v>0.76500000000000001</v>
      </c>
      <c r="I12" s="4">
        <f t="shared" si="1"/>
        <v>10</v>
      </c>
      <c r="J12" s="4">
        <f>IF(NS!F15,NS!C15,NA())</f>
        <v>0.76500000000000001</v>
      </c>
      <c r="K12" s="4" t="e">
        <f>IF(ISNA(J12),NS!C15,NA())</f>
        <v>#N/A</v>
      </c>
      <c r="M12" s="24">
        <v>2</v>
      </c>
      <c r="N12" s="24">
        <v>5</v>
      </c>
      <c r="O12" s="24">
        <f t="shared" si="0"/>
        <v>5.0000043645279799</v>
      </c>
    </row>
    <row r="13" spans="2:15" x14ac:dyDescent="0.2">
      <c r="B13" s="4">
        <v>20</v>
      </c>
      <c r="C13" s="4">
        <v>4.8974000000000002</v>
      </c>
      <c r="D13" s="4">
        <v>3.0510000000000002</v>
      </c>
      <c r="E13" s="4">
        <v>5.1790000000000003</v>
      </c>
      <c r="F13" s="4">
        <v>4.8380000000000001</v>
      </c>
      <c r="G13" s="4">
        <v>1.482</v>
      </c>
      <c r="I13" s="4">
        <f t="shared" si="1"/>
        <v>20</v>
      </c>
      <c r="J13" s="4">
        <f>IF(NS!F16,NS!C16,NA())</f>
        <v>1.482</v>
      </c>
      <c r="K13" s="4" t="e">
        <f>IF(ISNA(J13),NS!C16,NA())</f>
        <v>#N/A</v>
      </c>
      <c r="M13" s="24">
        <v>2.25</v>
      </c>
      <c r="N13" s="24">
        <v>5</v>
      </c>
      <c r="O13" s="24">
        <f t="shared" si="0"/>
        <v>5.000004007487532</v>
      </c>
    </row>
    <row r="14" spans="2:15" x14ac:dyDescent="0.2">
      <c r="B14" s="4">
        <v>30</v>
      </c>
      <c r="C14" s="4">
        <v>4.6992000000000003</v>
      </c>
      <c r="D14" s="4">
        <v>3.0350000000000001</v>
      </c>
      <c r="E14" s="4">
        <v>5.2489999999999997</v>
      </c>
      <c r="F14" s="4">
        <v>4.9000000000000004</v>
      </c>
      <c r="G14" s="4">
        <v>1.734</v>
      </c>
      <c r="I14" s="4">
        <f t="shared" si="1"/>
        <v>30</v>
      </c>
      <c r="J14" s="4">
        <f>IF(NS!F17,NS!C17,NA())</f>
        <v>1.734</v>
      </c>
      <c r="K14" s="4" t="e">
        <f>IF(ISNA(J14),NS!C17,NA())</f>
        <v>#N/A</v>
      </c>
      <c r="M14" s="24">
        <v>2.5</v>
      </c>
      <c r="N14" s="24">
        <v>5</v>
      </c>
      <c r="O14" s="24">
        <f t="shared" si="0"/>
        <v>5.0000036666412262</v>
      </c>
    </row>
    <row r="15" spans="2:15" x14ac:dyDescent="0.2">
      <c r="M15" s="24">
        <v>2.75</v>
      </c>
      <c r="N15" s="24">
        <v>5</v>
      </c>
      <c r="O15" s="24">
        <f t="shared" si="0"/>
        <v>5.0000033412675542</v>
      </c>
    </row>
    <row r="16" spans="2:15" x14ac:dyDescent="0.2">
      <c r="M16" s="24">
        <v>3</v>
      </c>
      <c r="N16" s="24">
        <v>5</v>
      </c>
      <c r="O16" s="24">
        <f t="shared" si="0"/>
        <v>5.0000030306769423</v>
      </c>
    </row>
    <row r="17" spans="1:15" x14ac:dyDescent="0.2">
      <c r="B17" s="4">
        <v>5</v>
      </c>
      <c r="C17" s="4">
        <v>7</v>
      </c>
      <c r="M17" s="24">
        <v>3.25</v>
      </c>
      <c r="N17" s="24">
        <v>5</v>
      </c>
      <c r="O17" s="24">
        <f t="shared" si="0"/>
        <v>5.0000027342103355</v>
      </c>
    </row>
    <row r="18" spans="1:15" x14ac:dyDescent="0.2">
      <c r="B18" s="4" t="str" cm="1">
        <f t="array" ref="B18">INDEX(country_list,country_ix,1)</f>
        <v>JP</v>
      </c>
      <c r="C18" s="4" cm="1">
        <f t="array" ref="C18">INDEX(hump_choices,hump_ix,1)</f>
        <v>10</v>
      </c>
      <c r="D18" s="4" cm="1">
        <f t="array" ref="D18">INDEX(lambdas,hump_ix,1)</f>
        <v>0.17934720000000001</v>
      </c>
      <c r="M18" s="24">
        <v>3.5</v>
      </c>
      <c r="N18" s="24">
        <v>5</v>
      </c>
      <c r="O18" s="24">
        <f t="shared" si="0"/>
        <v>5.0000024512378554</v>
      </c>
    </row>
    <row r="19" spans="1:15" x14ac:dyDescent="0.2">
      <c r="B19" s="4" t="s">
        <v>0</v>
      </c>
      <c r="C19" s="4">
        <v>1</v>
      </c>
      <c r="D19" s="4">
        <v>1.7932809999999999</v>
      </c>
      <c r="M19" s="24">
        <v>3.75</v>
      </c>
      <c r="N19" s="24">
        <v>5</v>
      </c>
      <c r="O19" s="24">
        <f t="shared" si="0"/>
        <v>5.0000021811575115</v>
      </c>
    </row>
    <row r="20" spans="1:15" x14ac:dyDescent="0.2">
      <c r="B20" s="4" t="s">
        <v>43</v>
      </c>
      <c r="C20" s="4">
        <v>2</v>
      </c>
      <c r="D20" s="4">
        <v>0.89664160000000004</v>
      </c>
      <c r="M20" s="24">
        <v>4</v>
      </c>
      <c r="N20" s="24">
        <v>5</v>
      </c>
      <c r="O20" s="24">
        <f t="shared" si="0"/>
        <v>5.000001923393973</v>
      </c>
    </row>
    <row r="21" spans="1:15" x14ac:dyDescent="0.2">
      <c r="B21" s="4" t="s">
        <v>42</v>
      </c>
      <c r="C21" s="4">
        <v>3</v>
      </c>
      <c r="D21" s="4">
        <v>0.59776030000000002</v>
      </c>
      <c r="M21" s="24">
        <v>4.25</v>
      </c>
      <c r="N21" s="24">
        <v>5</v>
      </c>
      <c r="O21" s="24">
        <f t="shared" si="0"/>
        <v>5.0000016773973854</v>
      </c>
    </row>
    <row r="22" spans="1:15" x14ac:dyDescent="0.2">
      <c r="B22" s="4" t="s">
        <v>1</v>
      </c>
      <c r="C22" s="4">
        <v>4</v>
      </c>
      <c r="D22" s="4">
        <v>0.44833519999999999</v>
      </c>
      <c r="M22" s="24">
        <v>4.5</v>
      </c>
      <c r="N22" s="24">
        <v>5</v>
      </c>
      <c r="O22" s="24">
        <f t="shared" si="0"/>
        <v>5.0000014426422554</v>
      </c>
    </row>
    <row r="23" spans="1:15" x14ac:dyDescent="0.2">
      <c r="B23" s="4" t="s">
        <v>2</v>
      </c>
      <c r="C23" s="4">
        <v>5</v>
      </c>
      <c r="D23" s="4">
        <v>0.3586819</v>
      </c>
      <c r="M23" s="24">
        <v>4.75</v>
      </c>
      <c r="N23" s="24">
        <v>5</v>
      </c>
      <c r="O23" s="24">
        <f t="shared" si="0"/>
        <v>5.0000012186263705</v>
      </c>
    </row>
    <row r="24" spans="1:15" x14ac:dyDescent="0.2">
      <c r="C24" s="4">
        <v>7</v>
      </c>
      <c r="D24" s="4">
        <v>0.25619999999999998</v>
      </c>
      <c r="M24" s="24">
        <v>5</v>
      </c>
      <c r="N24" s="24">
        <v>5</v>
      </c>
      <c r="O24" s="24">
        <f t="shared" si="0"/>
        <v>5.0000010048697705</v>
      </c>
    </row>
    <row r="25" spans="1:15" x14ac:dyDescent="0.2">
      <c r="C25" s="4">
        <v>10</v>
      </c>
      <c r="D25" s="4">
        <v>0.17934720000000001</v>
      </c>
      <c r="M25" s="24">
        <v>5.25</v>
      </c>
      <c r="N25" s="24">
        <v>5</v>
      </c>
      <c r="O25" s="24">
        <f t="shared" si="0"/>
        <v>5.0000008009137691</v>
      </c>
    </row>
    <row r="26" spans="1:15" x14ac:dyDescent="0.2">
      <c r="M26" s="24">
        <v>5.5</v>
      </c>
      <c r="N26" s="24">
        <v>5</v>
      </c>
      <c r="O26" s="24">
        <f t="shared" si="0"/>
        <v>5.000000606320012</v>
      </c>
    </row>
    <row r="27" spans="1:15" x14ac:dyDescent="0.2">
      <c r="C27" s="4" t="s">
        <v>0</v>
      </c>
      <c r="D27" s="4" t="s">
        <v>43</v>
      </c>
      <c r="E27" s="4" t="s">
        <v>42</v>
      </c>
      <c r="F27" s="4" t="s">
        <v>1</v>
      </c>
      <c r="G27" s="4" t="s">
        <v>2</v>
      </c>
      <c r="M27" s="24">
        <v>5.75</v>
      </c>
      <c r="N27" s="24">
        <v>5</v>
      </c>
      <c r="O27" s="24">
        <f t="shared" si="0"/>
        <v>5.0000004206695792</v>
      </c>
    </row>
    <row r="28" spans="1:15" x14ac:dyDescent="0.2">
      <c r="A28" s="4" t="s">
        <v>44</v>
      </c>
      <c r="B28" s="4">
        <v>0.25</v>
      </c>
      <c r="C28" s="4">
        <v>5.5378999999999996</v>
      </c>
      <c r="D28" s="4">
        <v>3.7932000000000001</v>
      </c>
      <c r="E28" s="4">
        <v>4.0857999999999999</v>
      </c>
      <c r="F28" s="4">
        <v>5.2934000000000001</v>
      </c>
      <c r="G28" s="4">
        <v>-7.3700000000000002E-2</v>
      </c>
      <c r="M28" s="24">
        <v>6</v>
      </c>
      <c r="N28" s="24">
        <v>5</v>
      </c>
      <c r="O28" s="24">
        <f t="shared" si="0"/>
        <v>5.0000002435621278</v>
      </c>
    </row>
    <row r="29" spans="1:15" x14ac:dyDescent="0.2">
      <c r="B29" s="4">
        <v>2</v>
      </c>
      <c r="C29" s="4">
        <v>4.9009999999999998</v>
      </c>
      <c r="D29" s="4">
        <v>3.0232000000000001</v>
      </c>
      <c r="E29" s="4">
        <v>3.9983</v>
      </c>
      <c r="F29" s="4">
        <v>4.7396000000000003</v>
      </c>
      <c r="G29" s="4">
        <v>9.4600000000000004E-2</v>
      </c>
      <c r="M29" s="24">
        <v>6.25</v>
      </c>
      <c r="N29" s="24">
        <v>5</v>
      </c>
      <c r="O29" s="24">
        <f t="shared" si="0"/>
        <v>5.0000000746150723</v>
      </c>
    </row>
    <row r="30" spans="1:15" x14ac:dyDescent="0.2">
      <c r="B30" s="4">
        <v>5</v>
      </c>
      <c r="C30" s="4">
        <v>4.5640999999999998</v>
      </c>
      <c r="D30" s="4">
        <v>2.7120000000000002</v>
      </c>
      <c r="E30" s="4">
        <v>4.2610999999999999</v>
      </c>
      <c r="F30" s="4">
        <v>4.3554000000000004</v>
      </c>
      <c r="G30" s="4">
        <v>0.37740000000000001</v>
      </c>
      <c r="M30" s="24">
        <v>6.5</v>
      </c>
      <c r="N30" s="24">
        <v>5</v>
      </c>
      <c r="O30" s="24">
        <f t="shared" si="0"/>
        <v>4.9999999134627959</v>
      </c>
    </row>
    <row r="31" spans="1:15" x14ac:dyDescent="0.2">
      <c r="B31" s="4">
        <v>10</v>
      </c>
      <c r="C31" s="4">
        <v>4.5726000000000004</v>
      </c>
      <c r="D31" s="4">
        <v>2.8304</v>
      </c>
      <c r="E31" s="4">
        <v>4.8033000000000001</v>
      </c>
      <c r="F31" s="4">
        <v>4.4516</v>
      </c>
      <c r="G31" s="4">
        <v>0.82879999999999998</v>
      </c>
      <c r="M31" s="24">
        <v>6.75</v>
      </c>
      <c r="N31" s="24">
        <v>5</v>
      </c>
      <c r="O31" s="24">
        <f t="shared" si="0"/>
        <v>4.9999997597559105</v>
      </c>
    </row>
    <row r="32" spans="1:15" x14ac:dyDescent="0.2">
      <c r="M32" s="24">
        <v>7</v>
      </c>
      <c r="N32" s="24">
        <v>5</v>
      </c>
      <c r="O32" s="24">
        <f t="shared" si="0"/>
        <v>4.9999996131605267</v>
      </c>
    </row>
    <row r="33" spans="1:15" x14ac:dyDescent="0.2">
      <c r="A33" s="4" t="s">
        <v>45</v>
      </c>
      <c r="B33" s="4">
        <v>0.25</v>
      </c>
      <c r="C33" s="4">
        <v>4.6826999999999996</v>
      </c>
      <c r="D33" s="4">
        <v>2.6890000000000001</v>
      </c>
      <c r="E33" s="4">
        <v>3.9224999999999999</v>
      </c>
      <c r="F33" s="4">
        <v>4.7291999999999996</v>
      </c>
      <c r="G33" s="4">
        <v>0.1565</v>
      </c>
      <c r="M33" s="24">
        <v>7.25</v>
      </c>
      <c r="N33" s="24">
        <v>5</v>
      </c>
      <c r="O33" s="24">
        <f t="shared" si="0"/>
        <v>4.9999994733575814</v>
      </c>
    </row>
    <row r="34" spans="1:15" x14ac:dyDescent="0.2">
      <c r="B34" s="4">
        <v>2</v>
      </c>
      <c r="C34" s="4">
        <v>4.4667000000000003</v>
      </c>
      <c r="D34" s="4">
        <v>2.5644</v>
      </c>
      <c r="E34" s="4">
        <v>4.008</v>
      </c>
      <c r="F34" s="4">
        <v>4.4583000000000004</v>
      </c>
      <c r="G34" s="4">
        <v>0.2112</v>
      </c>
      <c r="M34" s="24">
        <v>7.5</v>
      </c>
      <c r="N34" s="24">
        <v>5</v>
      </c>
      <c r="O34" s="24">
        <f t="shared" si="0"/>
        <v>4.9999993400421756</v>
      </c>
    </row>
    <row r="35" spans="1:15" x14ac:dyDescent="0.2">
      <c r="B35" s="4">
        <v>5</v>
      </c>
      <c r="C35" s="4">
        <v>4.4314999999999998</v>
      </c>
      <c r="D35" s="4">
        <v>2.5709</v>
      </c>
      <c r="E35" s="4">
        <v>4.4168000000000003</v>
      </c>
      <c r="F35" s="4">
        <v>4.2476000000000003</v>
      </c>
      <c r="G35" s="4">
        <v>0.50800000000000001</v>
      </c>
      <c r="M35" s="24">
        <v>7.75</v>
      </c>
      <c r="N35" s="24">
        <v>5</v>
      </c>
      <c r="O35" s="24">
        <f t="shared" si="0"/>
        <v>4.9999992129229485</v>
      </c>
    </row>
    <row r="36" spans="1:15" x14ac:dyDescent="0.2">
      <c r="B36" s="4">
        <v>10</v>
      </c>
      <c r="C36" s="4">
        <v>4.5454999999999997</v>
      </c>
      <c r="D36" s="4">
        <v>2.7974999999999999</v>
      </c>
      <c r="E36" s="4">
        <v>4.9348000000000001</v>
      </c>
      <c r="F36" s="4">
        <v>4.4518000000000004</v>
      </c>
      <c r="G36" s="4">
        <v>0.97399999999999998</v>
      </c>
      <c r="M36" s="24">
        <v>8</v>
      </c>
      <c r="N36" s="24">
        <v>5</v>
      </c>
      <c r="O36" s="24">
        <f t="shared" ref="O36:O67" si="2">beta_0_scen+beta_1_scen*((1-EXP(-lambda*M36))/(lambda*M36))+beta_2_scen*((1-EXP(-lambda*M36))/(lambda*M36)-EXP(-lambda*M36))</f>
        <v>4.9999990917214845</v>
      </c>
    </row>
    <row r="37" spans="1:15" x14ac:dyDescent="0.2">
      <c r="M37" s="24">
        <v>8.25</v>
      </c>
      <c r="N37" s="24">
        <v>5</v>
      </c>
      <c r="O37" s="24">
        <f t="shared" si="2"/>
        <v>4.9999989761717352</v>
      </c>
    </row>
    <row r="38" spans="1:15" x14ac:dyDescent="0.2">
      <c r="M38" s="24">
        <v>8.5</v>
      </c>
      <c r="N38" s="24">
        <v>5</v>
      </c>
      <c r="O38" s="24">
        <f t="shared" si="2"/>
        <v>4.9999988660194745</v>
      </c>
    </row>
    <row r="39" spans="1:15" x14ac:dyDescent="0.2">
      <c r="M39" s="24">
        <v>8.75</v>
      </c>
      <c r="N39" s="24">
        <v>5</v>
      </c>
      <c r="O39" s="24">
        <f t="shared" si="2"/>
        <v>4.9999987610217778</v>
      </c>
    </row>
    <row r="40" spans="1:15" x14ac:dyDescent="0.2">
      <c r="M40" s="24">
        <v>9</v>
      </c>
      <c r="N40" s="24">
        <v>5</v>
      </c>
      <c r="O40" s="24">
        <f t="shared" si="2"/>
        <v>4.9999986609465212</v>
      </c>
    </row>
    <row r="41" spans="1:15" x14ac:dyDescent="0.2">
      <c r="M41" s="24">
        <v>9.25</v>
      </c>
      <c r="N41" s="24">
        <v>5</v>
      </c>
      <c r="O41" s="24">
        <f t="shared" si="2"/>
        <v>4.999998565571901</v>
      </c>
    </row>
    <row r="42" spans="1:15" x14ac:dyDescent="0.2">
      <c r="M42" s="24">
        <v>9.5</v>
      </c>
      <c r="N42" s="24">
        <v>5</v>
      </c>
      <c r="O42" s="24">
        <f t="shared" si="2"/>
        <v>4.9999984746859845</v>
      </c>
    </row>
    <row r="43" spans="1:15" x14ac:dyDescent="0.2">
      <c r="M43" s="24">
        <v>9.75</v>
      </c>
      <c r="N43" s="24">
        <v>5</v>
      </c>
      <c r="O43" s="24">
        <f t="shared" si="2"/>
        <v>4.9999983880862633</v>
      </c>
    </row>
    <row r="44" spans="1:15" x14ac:dyDescent="0.2">
      <c r="M44" s="24">
        <v>10</v>
      </c>
      <c r="N44" s="24">
        <v>5</v>
      </c>
      <c r="O44" s="24">
        <f t="shared" si="2"/>
        <v>4.9999983055792452</v>
      </c>
    </row>
    <row r="45" spans="1:15" x14ac:dyDescent="0.2">
      <c r="M45" s="24">
        <v>10.25</v>
      </c>
      <c r="N45" s="24">
        <v>5</v>
      </c>
      <c r="O45" s="24">
        <f t="shared" si="2"/>
        <v>4.9999982269800531</v>
      </c>
    </row>
    <row r="46" spans="1:15" x14ac:dyDescent="0.2">
      <c r="M46" s="24">
        <v>10.5</v>
      </c>
      <c r="N46" s="24">
        <v>5</v>
      </c>
      <c r="O46" s="24">
        <f t="shared" si="2"/>
        <v>4.9999981521120391</v>
      </c>
    </row>
    <row r="47" spans="1:15" x14ac:dyDescent="0.2">
      <c r="M47" s="24">
        <v>10.75</v>
      </c>
      <c r="N47" s="24">
        <v>5</v>
      </c>
      <c r="O47" s="24">
        <f t="shared" si="2"/>
        <v>4.9999980808064244</v>
      </c>
    </row>
    <row r="48" spans="1:15" x14ac:dyDescent="0.2">
      <c r="M48" s="24">
        <v>11</v>
      </c>
      <c r="N48" s="24">
        <v>5</v>
      </c>
      <c r="O48" s="24">
        <f t="shared" si="2"/>
        <v>4.999998012901953</v>
      </c>
    </row>
    <row r="49" spans="13:15" x14ac:dyDescent="0.2">
      <c r="M49" s="24">
        <v>11.25</v>
      </c>
      <c r="N49" s="24">
        <v>5</v>
      </c>
      <c r="O49" s="24">
        <f t="shared" si="2"/>
        <v>4.9999979482445527</v>
      </c>
    </row>
    <row r="50" spans="13:15" x14ac:dyDescent="0.2">
      <c r="M50" s="24">
        <v>11.5</v>
      </c>
      <c r="N50" s="24">
        <v>5</v>
      </c>
      <c r="O50" s="24">
        <f t="shared" si="2"/>
        <v>4.9999978866870238</v>
      </c>
    </row>
    <row r="51" spans="13:15" x14ac:dyDescent="0.2">
      <c r="M51" s="24">
        <v>11.75</v>
      </c>
      <c r="N51" s="24">
        <v>5</v>
      </c>
      <c r="O51" s="24">
        <f t="shared" si="2"/>
        <v>4.9999978280887278</v>
      </c>
    </row>
    <row r="52" spans="13:15" x14ac:dyDescent="0.2">
      <c r="M52" s="24">
        <v>12</v>
      </c>
      <c r="N52" s="24">
        <v>5</v>
      </c>
      <c r="O52" s="24">
        <f t="shared" si="2"/>
        <v>4.9999977723153028</v>
      </c>
    </row>
    <row r="53" spans="13:15" x14ac:dyDescent="0.2">
      <c r="M53" s="24">
        <v>12.25</v>
      </c>
      <c r="N53" s="24">
        <v>5</v>
      </c>
      <c r="O53" s="24">
        <f t="shared" si="2"/>
        <v>4.9999977192383813</v>
      </c>
    </row>
    <row r="54" spans="13:15" x14ac:dyDescent="0.2">
      <c r="M54" s="24">
        <v>12.5</v>
      </c>
      <c r="N54" s="24">
        <v>5</v>
      </c>
      <c r="O54" s="24">
        <f t="shared" si="2"/>
        <v>4.9999976687353263</v>
      </c>
    </row>
    <row r="55" spans="13:15" x14ac:dyDescent="0.2">
      <c r="M55" s="24">
        <v>12.75</v>
      </c>
      <c r="N55" s="24">
        <v>5</v>
      </c>
      <c r="O55" s="24">
        <f t="shared" si="2"/>
        <v>4.9999976206889807</v>
      </c>
    </row>
    <row r="56" spans="13:15" x14ac:dyDescent="0.2">
      <c r="M56" s="24">
        <v>13</v>
      </c>
      <c r="N56" s="24">
        <v>5</v>
      </c>
      <c r="O56" s="24">
        <f t="shared" si="2"/>
        <v>4.9999975749874146</v>
      </c>
    </row>
    <row r="57" spans="13:15" x14ac:dyDescent="0.2">
      <c r="M57" s="24">
        <v>13.25</v>
      </c>
      <c r="N57" s="24">
        <v>5</v>
      </c>
      <c r="O57" s="24">
        <f t="shared" si="2"/>
        <v>4.9999975315237064</v>
      </c>
    </row>
    <row r="58" spans="13:15" x14ac:dyDescent="0.2">
      <c r="M58" s="24">
        <v>13.5</v>
      </c>
      <c r="N58" s="24">
        <v>5</v>
      </c>
      <c r="O58" s="24">
        <f t="shared" si="2"/>
        <v>4.9999974901957094</v>
      </c>
    </row>
    <row r="59" spans="13:15" x14ac:dyDescent="0.2">
      <c r="M59" s="24">
        <v>13.75</v>
      </c>
      <c r="N59" s="24">
        <v>5</v>
      </c>
      <c r="O59" s="24">
        <f t="shared" si="2"/>
        <v>4.9999974509058509</v>
      </c>
    </row>
    <row r="60" spans="13:15" x14ac:dyDescent="0.2">
      <c r="M60" s="24">
        <v>14</v>
      </c>
      <c r="N60" s="24">
        <v>5</v>
      </c>
      <c r="O60" s="24">
        <f t="shared" si="2"/>
        <v>4.9999974135609158</v>
      </c>
    </row>
    <row r="61" spans="13:15" x14ac:dyDescent="0.2">
      <c r="M61" s="24">
        <v>14.25</v>
      </c>
      <c r="N61" s="24">
        <v>5</v>
      </c>
      <c r="O61" s="24">
        <f t="shared" si="2"/>
        <v>4.9999973780718685</v>
      </c>
    </row>
    <row r="62" spans="13:15" x14ac:dyDescent="0.2">
      <c r="M62" s="24">
        <v>14.5</v>
      </c>
      <c r="N62" s="24">
        <v>5</v>
      </c>
      <c r="O62" s="24">
        <f t="shared" si="2"/>
        <v>4.9999973443536536</v>
      </c>
    </row>
    <row r="63" spans="13:15" x14ac:dyDescent="0.2">
      <c r="M63" s="24">
        <v>14.75</v>
      </c>
      <c r="N63" s="24">
        <v>5</v>
      </c>
      <c r="O63" s="24">
        <f t="shared" si="2"/>
        <v>4.9999973123250303</v>
      </c>
    </row>
    <row r="64" spans="13:15" x14ac:dyDescent="0.2">
      <c r="M64" s="24">
        <v>15</v>
      </c>
      <c r="N64" s="24">
        <v>5</v>
      </c>
      <c r="O64" s="24">
        <f t="shared" si="2"/>
        <v>4.9999972819083967</v>
      </c>
    </row>
    <row r="65" spans="13:15" x14ac:dyDescent="0.2">
      <c r="M65" s="24">
        <v>15.25</v>
      </c>
      <c r="N65" s="24">
        <v>5</v>
      </c>
      <c r="O65" s="24">
        <f t="shared" si="2"/>
        <v>4.9999972530296297</v>
      </c>
    </row>
    <row r="66" spans="13:15" x14ac:dyDescent="0.2">
      <c r="M66" s="24">
        <v>15.5</v>
      </c>
      <c r="N66" s="24">
        <v>5</v>
      </c>
      <c r="O66" s="24">
        <f t="shared" si="2"/>
        <v>4.9999972256179301</v>
      </c>
    </row>
    <row r="67" spans="13:15" x14ac:dyDescent="0.2">
      <c r="M67" s="24">
        <v>15.75</v>
      </c>
      <c r="N67" s="24">
        <v>5</v>
      </c>
      <c r="O67" s="24">
        <f t="shared" si="2"/>
        <v>4.9999971996056765</v>
      </c>
    </row>
    <row r="68" spans="13:15" x14ac:dyDescent="0.2">
      <c r="M68" s="24">
        <v>16</v>
      </c>
      <c r="N68" s="24">
        <v>5</v>
      </c>
      <c r="O68" s="24">
        <f t="shared" ref="O68:O99" si="3">beta_0_scen+beta_1_scen*((1-EXP(-lambda*M68))/(lambda*M68))+beta_2_scen*((1-EXP(-lambda*M68))/(lambda*M68)-EXP(-lambda*M68))</f>
        <v>4.9999971749282839</v>
      </c>
    </row>
    <row r="69" spans="13:15" x14ac:dyDescent="0.2">
      <c r="M69" s="24">
        <v>16.25</v>
      </c>
      <c r="N69" s="24">
        <v>5</v>
      </c>
      <c r="O69" s="24">
        <f t="shared" si="3"/>
        <v>4.9999971515240675</v>
      </c>
    </row>
    <row r="70" spans="13:15" x14ac:dyDescent="0.2">
      <c r="M70" s="24">
        <v>16.5</v>
      </c>
      <c r="N70" s="24">
        <v>5</v>
      </c>
      <c r="O70" s="24">
        <f t="shared" si="3"/>
        <v>4.9999971293341128</v>
      </c>
    </row>
    <row r="71" spans="13:15" x14ac:dyDescent="0.2">
      <c r="M71" s="24">
        <v>16.75</v>
      </c>
      <c r="N71" s="24">
        <v>5</v>
      </c>
      <c r="O71" s="24">
        <f t="shared" si="3"/>
        <v>4.9999971083021562</v>
      </c>
    </row>
    <row r="72" spans="13:15" x14ac:dyDescent="0.2">
      <c r="M72" s="24">
        <v>17</v>
      </c>
      <c r="N72" s="24">
        <v>5</v>
      </c>
      <c r="O72" s="24">
        <f t="shared" si="3"/>
        <v>4.9999970883744655</v>
      </c>
    </row>
    <row r="73" spans="13:15" x14ac:dyDescent="0.2">
      <c r="M73" s="24">
        <v>17.25</v>
      </c>
      <c r="N73" s="24">
        <v>5</v>
      </c>
      <c r="O73" s="24">
        <f t="shared" si="3"/>
        <v>4.9999970694997264</v>
      </c>
    </row>
    <row r="74" spans="13:15" x14ac:dyDescent="0.2">
      <c r="M74" s="24">
        <v>17.5</v>
      </c>
      <c r="N74" s="24">
        <v>5</v>
      </c>
      <c r="O74" s="24">
        <f t="shared" si="3"/>
        <v>4.9999970516289318</v>
      </c>
    </row>
    <row r="75" spans="13:15" x14ac:dyDescent="0.2">
      <c r="M75" s="24">
        <v>17.75</v>
      </c>
      <c r="N75" s="24">
        <v>5</v>
      </c>
      <c r="O75" s="24">
        <f t="shared" si="3"/>
        <v>4.9999970347152871</v>
      </c>
    </row>
    <row r="76" spans="13:15" x14ac:dyDescent="0.2">
      <c r="M76" s="24">
        <v>18</v>
      </c>
      <c r="N76" s="24">
        <v>5</v>
      </c>
      <c r="O76" s="24">
        <f t="shared" si="3"/>
        <v>4.9999970187141063</v>
      </c>
    </row>
    <row r="77" spans="13:15" x14ac:dyDescent="0.2">
      <c r="M77" s="24">
        <v>18.25</v>
      </c>
      <c r="N77" s="24">
        <v>5</v>
      </c>
      <c r="O77" s="24">
        <f t="shared" si="3"/>
        <v>4.9999970035827177</v>
      </c>
    </row>
    <row r="78" spans="13:15" x14ac:dyDescent="0.2">
      <c r="M78" s="24">
        <v>18.5</v>
      </c>
      <c r="N78" s="24">
        <v>5</v>
      </c>
      <c r="O78" s="24">
        <f t="shared" si="3"/>
        <v>4.9999969892803779</v>
      </c>
    </row>
    <row r="79" spans="13:15" x14ac:dyDescent="0.2">
      <c r="M79" s="24">
        <v>18.75</v>
      </c>
      <c r="N79" s="24">
        <v>5</v>
      </c>
      <c r="O79" s="24">
        <f t="shared" si="3"/>
        <v>4.9999969757681804</v>
      </c>
    </row>
    <row r="80" spans="13:15" x14ac:dyDescent="0.2">
      <c r="M80" s="24">
        <v>19</v>
      </c>
      <c r="N80" s="24">
        <v>5</v>
      </c>
      <c r="O80" s="24">
        <f t="shared" si="3"/>
        <v>4.9999969630089804</v>
      </c>
    </row>
    <row r="81" spans="13:15" x14ac:dyDescent="0.2">
      <c r="M81" s="24">
        <v>19.25</v>
      </c>
      <c r="N81" s="24">
        <v>5</v>
      </c>
      <c r="O81" s="24">
        <f t="shared" si="3"/>
        <v>4.9999969509673097</v>
      </c>
    </row>
    <row r="82" spans="13:15" x14ac:dyDescent="0.2">
      <c r="M82" s="24">
        <v>19.5</v>
      </c>
      <c r="N82" s="24">
        <v>5</v>
      </c>
      <c r="O82" s="24">
        <f t="shared" si="3"/>
        <v>4.9999969396093089</v>
      </c>
    </row>
    <row r="83" spans="13:15" x14ac:dyDescent="0.2">
      <c r="M83" s="24">
        <v>19.75</v>
      </c>
      <c r="N83" s="24">
        <v>5</v>
      </c>
      <c r="O83" s="24">
        <f t="shared" si="3"/>
        <v>4.9999969289026476</v>
      </c>
    </row>
    <row r="84" spans="13:15" x14ac:dyDescent="0.2">
      <c r="M84" s="24">
        <v>20</v>
      </c>
      <c r="N84" s="24">
        <v>5</v>
      </c>
      <c r="O84" s="24">
        <f t="shared" si="3"/>
        <v>4.9999969188164641</v>
      </c>
    </row>
    <row r="85" spans="13:15" x14ac:dyDescent="0.2">
      <c r="M85" s="24">
        <v>20.25</v>
      </c>
      <c r="N85" s="24">
        <v>5</v>
      </c>
      <c r="O85" s="24">
        <f t="shared" si="3"/>
        <v>4.9999969093212941</v>
      </c>
    </row>
    <row r="86" spans="13:15" x14ac:dyDescent="0.2">
      <c r="M86" s="24">
        <v>20.5</v>
      </c>
      <c r="N86" s="24">
        <v>5</v>
      </c>
      <c r="O86" s="24">
        <f t="shared" si="3"/>
        <v>4.9999969003890108</v>
      </c>
    </row>
    <row r="87" spans="13:15" x14ac:dyDescent="0.2">
      <c r="M87" s="24">
        <v>20.75</v>
      </c>
      <c r="N87" s="24">
        <v>5</v>
      </c>
      <c r="O87" s="24">
        <f t="shared" si="3"/>
        <v>4.9999968919927644</v>
      </c>
    </row>
    <row r="88" spans="13:15" x14ac:dyDescent="0.2">
      <c r="M88" s="24">
        <v>21</v>
      </c>
      <c r="N88" s="24">
        <v>5</v>
      </c>
      <c r="O88" s="24">
        <f t="shared" si="3"/>
        <v>4.9999968841069276</v>
      </c>
    </row>
    <row r="89" spans="13:15" x14ac:dyDescent="0.2">
      <c r="M89" s="24">
        <v>21.25</v>
      </c>
      <c r="N89" s="24">
        <v>5</v>
      </c>
      <c r="O89" s="24">
        <f t="shared" si="3"/>
        <v>4.9999968767070353</v>
      </c>
    </row>
    <row r="90" spans="13:15" x14ac:dyDescent="0.2">
      <c r="M90" s="24">
        <v>21.5</v>
      </c>
      <c r="N90" s="24">
        <v>5</v>
      </c>
      <c r="O90" s="24">
        <f t="shared" si="3"/>
        <v>4.999996869769741</v>
      </c>
    </row>
    <row r="91" spans="13:15" x14ac:dyDescent="0.2">
      <c r="M91" s="24">
        <v>21.75</v>
      </c>
      <c r="N91" s="24">
        <v>5</v>
      </c>
      <c r="O91" s="24">
        <f t="shared" si="3"/>
        <v>4.9999968632727558</v>
      </c>
    </row>
    <row r="92" spans="13:15" x14ac:dyDescent="0.2">
      <c r="M92" s="24">
        <v>22</v>
      </c>
      <c r="N92" s="24">
        <v>5</v>
      </c>
      <c r="O92" s="24">
        <f t="shared" si="3"/>
        <v>4.9999968571948123</v>
      </c>
    </row>
    <row r="93" spans="13:15" x14ac:dyDescent="0.2">
      <c r="M93" s="24">
        <v>22.25</v>
      </c>
      <c r="N93" s="24">
        <v>5</v>
      </c>
      <c r="O93" s="24">
        <f t="shared" si="3"/>
        <v>4.999996851515613</v>
      </c>
    </row>
    <row r="94" spans="13:15" x14ac:dyDescent="0.2">
      <c r="M94" s="24">
        <v>22.5</v>
      </c>
      <c r="N94" s="24">
        <v>5</v>
      </c>
      <c r="O94" s="24">
        <f t="shared" si="3"/>
        <v>4.999996846215784</v>
      </c>
    </row>
    <row r="95" spans="13:15" x14ac:dyDescent="0.2">
      <c r="M95" s="24">
        <v>22.75</v>
      </c>
      <c r="N95" s="24">
        <v>5</v>
      </c>
      <c r="O95" s="24">
        <f t="shared" si="3"/>
        <v>4.9999968412768432</v>
      </c>
    </row>
    <row r="96" spans="13:15" x14ac:dyDescent="0.2">
      <c r="M96" s="24">
        <v>23</v>
      </c>
      <c r="N96" s="24">
        <v>5</v>
      </c>
      <c r="O96" s="24">
        <f t="shared" si="3"/>
        <v>4.9999968366811505</v>
      </c>
    </row>
    <row r="97" spans="13:15" x14ac:dyDescent="0.2">
      <c r="M97" s="24">
        <v>23.25</v>
      </c>
      <c r="N97" s="24">
        <v>5</v>
      </c>
      <c r="O97" s="24">
        <f t="shared" si="3"/>
        <v>4.999996832411874</v>
      </c>
    </row>
    <row r="98" spans="13:15" x14ac:dyDescent="0.2">
      <c r="M98" s="24">
        <v>23.5</v>
      </c>
      <c r="N98" s="24">
        <v>5</v>
      </c>
      <c r="O98" s="24">
        <f t="shared" si="3"/>
        <v>4.9999968284529555</v>
      </c>
    </row>
    <row r="99" spans="13:15" x14ac:dyDescent="0.2">
      <c r="M99" s="24">
        <v>23.75</v>
      </c>
      <c r="N99" s="24">
        <v>5</v>
      </c>
      <c r="O99" s="24">
        <f t="shared" si="3"/>
        <v>4.9999968247890729</v>
      </c>
    </row>
    <row r="100" spans="13:15" x14ac:dyDescent="0.2">
      <c r="M100" s="24">
        <v>24</v>
      </c>
      <c r="N100" s="24">
        <v>5</v>
      </c>
      <c r="O100" s="24">
        <f t="shared" ref="O100:O124" si="4">beta_0_scen+beta_1_scen*((1-EXP(-lambda*M100))/(lambda*M100))+beta_2_scen*((1-EXP(-lambda*M100))/(lambda*M100)-EXP(-lambda*M100))</f>
        <v>4.9999968214056105</v>
      </c>
    </row>
    <row r="101" spans="13:15" x14ac:dyDescent="0.2">
      <c r="M101" s="24">
        <v>24.25</v>
      </c>
      <c r="N101" s="24">
        <v>5</v>
      </c>
      <c r="O101" s="24">
        <f t="shared" si="4"/>
        <v>4.9999968182886221</v>
      </c>
    </row>
    <row r="102" spans="13:15" x14ac:dyDescent="0.2">
      <c r="M102" s="24">
        <v>24.5</v>
      </c>
      <c r="N102" s="24">
        <v>5</v>
      </c>
      <c r="O102" s="24">
        <f t="shared" si="4"/>
        <v>4.9999968154248062</v>
      </c>
    </row>
    <row r="103" spans="13:15" x14ac:dyDescent="0.2">
      <c r="M103" s="24">
        <v>24.75</v>
      </c>
      <c r="N103" s="24">
        <v>5</v>
      </c>
      <c r="O103" s="24">
        <f t="shared" si="4"/>
        <v>4.9999968128014736</v>
      </c>
    </row>
    <row r="104" spans="13:15" x14ac:dyDescent="0.2">
      <c r="M104" s="24">
        <v>25</v>
      </c>
      <c r="N104" s="24">
        <v>5</v>
      </c>
      <c r="O104" s="24">
        <f t="shared" si="4"/>
        <v>4.9999968104065209</v>
      </c>
    </row>
    <row r="105" spans="13:15" x14ac:dyDescent="0.2">
      <c r="M105" s="24">
        <v>25.25</v>
      </c>
      <c r="N105" s="24">
        <v>5</v>
      </c>
      <c r="O105" s="24">
        <f t="shared" si="4"/>
        <v>4.9999968082284063</v>
      </c>
    </row>
    <row r="106" spans="13:15" x14ac:dyDescent="0.2">
      <c r="M106" s="24">
        <v>25.5</v>
      </c>
      <c r="N106" s="24">
        <v>5</v>
      </c>
      <c r="O106" s="24">
        <f t="shared" si="4"/>
        <v>4.99999680625612</v>
      </c>
    </row>
    <row r="107" spans="13:15" x14ac:dyDescent="0.2">
      <c r="M107" s="24">
        <v>25.75</v>
      </c>
      <c r="N107" s="24">
        <v>5</v>
      </c>
      <c r="O107" s="24">
        <f t="shared" si="4"/>
        <v>4.9999968044791654</v>
      </c>
    </row>
    <row r="108" spans="13:15" x14ac:dyDescent="0.2">
      <c r="M108" s="24">
        <v>26</v>
      </c>
      <c r="N108" s="24">
        <v>5</v>
      </c>
      <c r="O108" s="24">
        <f t="shared" si="4"/>
        <v>4.9999968028875283</v>
      </c>
    </row>
    <row r="109" spans="13:15" x14ac:dyDescent="0.2">
      <c r="M109" s="24">
        <v>26.25</v>
      </c>
      <c r="N109" s="24">
        <v>5</v>
      </c>
      <c r="O109" s="24">
        <f t="shared" si="4"/>
        <v>4.9999968014716645</v>
      </c>
    </row>
    <row r="110" spans="13:15" x14ac:dyDescent="0.2">
      <c r="M110" s="24">
        <v>26.5</v>
      </c>
      <c r="N110" s="24">
        <v>5</v>
      </c>
      <c r="O110" s="24">
        <f t="shared" si="4"/>
        <v>4.9999968002224726</v>
      </c>
    </row>
    <row r="111" spans="13:15" x14ac:dyDescent="0.2">
      <c r="M111" s="24">
        <v>26.75</v>
      </c>
      <c r="N111" s="24">
        <v>5</v>
      </c>
      <c r="O111" s="24">
        <f t="shared" si="4"/>
        <v>4.9999967991312761</v>
      </c>
    </row>
    <row r="112" spans="13:15" x14ac:dyDescent="0.2">
      <c r="M112" s="24">
        <v>27</v>
      </c>
      <c r="N112" s="24">
        <v>5</v>
      </c>
      <c r="O112" s="24">
        <f t="shared" si="4"/>
        <v>4.9999967981898026</v>
      </c>
    </row>
    <row r="113" spans="13:15" x14ac:dyDescent="0.2">
      <c r="M113" s="24">
        <v>27.25</v>
      </c>
      <c r="N113" s="24">
        <v>5</v>
      </c>
      <c r="O113" s="24">
        <f t="shared" si="4"/>
        <v>4.9999967973901667</v>
      </c>
    </row>
    <row r="114" spans="13:15" x14ac:dyDescent="0.2">
      <c r="M114" s="24">
        <v>27.5</v>
      </c>
      <c r="N114" s="24">
        <v>5</v>
      </c>
      <c r="O114" s="24">
        <f t="shared" si="4"/>
        <v>4.9999967967248535</v>
      </c>
    </row>
    <row r="115" spans="13:15" x14ac:dyDescent="0.2">
      <c r="M115" s="24">
        <v>27.75</v>
      </c>
      <c r="N115" s="24">
        <v>5</v>
      </c>
      <c r="O115" s="24">
        <f t="shared" si="4"/>
        <v>4.9999967961866982</v>
      </c>
    </row>
    <row r="116" spans="13:15" x14ac:dyDescent="0.2">
      <c r="M116" s="24">
        <v>28</v>
      </c>
      <c r="N116" s="24">
        <v>5</v>
      </c>
      <c r="O116" s="24">
        <f t="shared" si="4"/>
        <v>4.9999967957688778</v>
      </c>
    </row>
    <row r="117" spans="13:15" x14ac:dyDescent="0.2">
      <c r="M117" s="24">
        <v>28.25</v>
      </c>
      <c r="N117" s="24">
        <v>5</v>
      </c>
      <c r="O117" s="24">
        <f t="shared" si="4"/>
        <v>4.9999967954648827</v>
      </c>
    </row>
    <row r="118" spans="13:15" x14ac:dyDescent="0.2">
      <c r="M118" s="24">
        <v>28.5</v>
      </c>
      <c r="N118" s="24">
        <v>5</v>
      </c>
      <c r="O118" s="24">
        <f t="shared" si="4"/>
        <v>4.9999967952685198</v>
      </c>
    </row>
    <row r="119" spans="13:15" x14ac:dyDescent="0.2">
      <c r="M119" s="24">
        <v>28.75</v>
      </c>
      <c r="N119" s="24">
        <v>5</v>
      </c>
      <c r="O119" s="24">
        <f t="shared" si="4"/>
        <v>4.9999967951738808</v>
      </c>
    </row>
    <row r="120" spans="13:15" x14ac:dyDescent="0.2">
      <c r="M120" s="24">
        <v>29</v>
      </c>
      <c r="N120" s="24">
        <v>5</v>
      </c>
      <c r="O120" s="24">
        <f t="shared" si="4"/>
        <v>4.9999967951753401</v>
      </c>
    </row>
    <row r="121" spans="13:15" x14ac:dyDescent="0.2">
      <c r="M121" s="24">
        <v>29.25</v>
      </c>
      <c r="N121" s="24">
        <v>5</v>
      </c>
      <c r="O121" s="24">
        <f t="shared" si="4"/>
        <v>4.9999967952675402</v>
      </c>
    </row>
    <row r="122" spans="13:15" x14ac:dyDescent="0.2">
      <c r="M122" s="24">
        <v>29.5</v>
      </c>
      <c r="N122" s="24">
        <v>5</v>
      </c>
      <c r="O122" s="24">
        <f t="shared" si="4"/>
        <v>4.9999967954453775</v>
      </c>
    </row>
    <row r="123" spans="13:15" x14ac:dyDescent="0.2">
      <c r="M123" s="24">
        <v>29.75</v>
      </c>
      <c r="N123" s="24">
        <v>5</v>
      </c>
      <c r="O123" s="24">
        <f t="shared" si="4"/>
        <v>4.9999967957039901</v>
      </c>
    </row>
    <row r="124" spans="13:15" x14ac:dyDescent="0.2">
      <c r="M124" s="24">
        <v>30</v>
      </c>
      <c r="N124" s="24">
        <v>5</v>
      </c>
      <c r="O124" s="24">
        <f t="shared" si="4"/>
        <v>4.9999967960387499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26</vt:i4>
      </vt:variant>
    </vt:vector>
  </HeadingPairs>
  <TitlesOfParts>
    <vt:vector size="31" baseType="lpstr">
      <vt:lpstr>DISCLAIMER</vt:lpstr>
      <vt:lpstr>Bond 101</vt:lpstr>
      <vt:lpstr>NS</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current_forwards</vt:lpstr>
      <vt:lpstr>current_rates</vt:lpstr>
      <vt:lpstr>horizon_months</vt:lpstr>
      <vt:lpstr>hump_choices</vt:lpstr>
      <vt:lpstr>hump_ix</vt:lpstr>
      <vt:lpstr>hump_mat</vt:lpstr>
      <vt:lpstr>lambda</vt:lpstr>
      <vt:lpstr>lambdas</vt:lpstr>
      <vt:lpstr>ns_maturities</vt:lpstr>
      <vt:lpstr>ns_yields</vt:lpstr>
      <vt:lpstr>scen_mat_a</vt:lpstr>
      <vt:lpstr>scen_mat_b</vt:lpstr>
      <vt:lpstr>ss_err_scen</vt:lpstr>
      <vt:lpstr>sumsq_err_ns</vt:lpstr>
      <vt:lpstr>yields_used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AgentUser</dc:creator>
  <cp:lastModifiedBy>Roberts Grava</cp:lastModifiedBy>
  <dcterms:created xsi:type="dcterms:W3CDTF">2023-04-14T13:19:47Z</dcterms:created>
  <dcterms:modified xsi:type="dcterms:W3CDTF">2023-10-01T13:36:58Z</dcterms:modified>
</cp:coreProperties>
</file>