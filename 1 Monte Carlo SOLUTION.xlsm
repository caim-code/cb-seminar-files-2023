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F:\QRA\Alan\CB Workshop\"/>
    </mc:Choice>
  </mc:AlternateContent>
  <xr:revisionPtr revIDLastSave="0" documentId="13_ncr:1_{9C18219F-A3DB-4AD3-934E-67F4884CF4CB}" xr6:coauthVersionLast="47" xr6:coauthVersionMax="47" xr10:uidLastSave="{00000000-0000-0000-0000-000000000000}"/>
  <bookViews>
    <workbookView xWindow="-120" yWindow="-120" windowWidth="29040" windowHeight="17640" xr2:uid="{00000000-000D-0000-FFFF-FFFF00000000}"/>
  </bookViews>
  <sheets>
    <sheet name="sim" sheetId="1" r:id="rId1"/>
    <sheet name="histogram100" sheetId="2" r:id="rId2"/>
    <sheet name="histogram500" sheetId="3" r:id="rId3"/>
  </sheets>
  <functionGroups builtInGroupCount="19"/>
  <definedNames>
    <definedName name="adjchol">sim!$H$13:$J$15</definedName>
    <definedName name="adjcorrs">sim!$H$8:$J$10</definedName>
    <definedName name="assetnames">sim!$C$2:$E$2</definedName>
    <definedName name="chol">sim!$C$13:$E$15</definedName>
    <definedName name="corrs">sim!$C$8:$E$10</definedName>
    <definedName name="rands">sim!$C$28:$E$127</definedName>
    <definedName name="randscorrel">sim!$H$28:$J$127</definedName>
    <definedName name="simreturns">sim!$M$28:$O$127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04" i="3" l="1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5" i="3"/>
  <c r="O5" i="3" l="1" a="1"/>
  <c r="O5" i="3" s="1"/>
  <c r="O24" i="3" a="1"/>
  <c r="O24" i="3" s="1"/>
  <c r="O8" i="3" a="1"/>
  <c r="O8" i="3" s="1"/>
  <c r="O7" i="3" a="1"/>
  <c r="O7" i="3" s="1"/>
  <c r="O23" i="3" a="1"/>
  <c r="O23" i="3" s="1"/>
  <c r="O6" i="3" a="1"/>
  <c r="O6" i="3" s="1"/>
  <c r="O15" i="3" a="1"/>
  <c r="O15" i="3" s="1"/>
  <c r="O31" i="3" a="1"/>
  <c r="O31" i="3" s="1"/>
  <c r="O17" i="3" a="1"/>
  <c r="O17" i="3" s="1"/>
  <c r="O33" i="3" a="1"/>
  <c r="O33" i="3" s="1"/>
  <c r="O9" i="3" a="1"/>
  <c r="O9" i="3" s="1"/>
  <c r="O25" i="3" a="1"/>
  <c r="O25" i="3" s="1"/>
  <c r="O16" i="3" a="1"/>
  <c r="O16" i="3" s="1"/>
  <c r="O18" i="3" a="1"/>
  <c r="O18" i="3" s="1"/>
  <c r="O34" i="3" a="1"/>
  <c r="O34" i="3" s="1"/>
  <c r="O10" i="3" a="1"/>
  <c r="O10" i="3" s="1"/>
  <c r="O26" i="3" a="1"/>
  <c r="O26" i="3" s="1"/>
  <c r="O11" i="3" a="1"/>
  <c r="O11" i="3" s="1"/>
  <c r="O27" i="3" a="1"/>
  <c r="O27" i="3" s="1"/>
  <c r="O32" i="3" a="1"/>
  <c r="O32" i="3" s="1"/>
  <c r="O19" i="3" a="1"/>
  <c r="O19" i="3" s="1"/>
  <c r="O35" i="3" a="1"/>
  <c r="O35" i="3" s="1"/>
  <c r="O20" i="3" a="1"/>
  <c r="O20" i="3" s="1"/>
  <c r="O36" i="3" a="1"/>
  <c r="O36" i="3" s="1"/>
  <c r="O12" i="3" a="1"/>
  <c r="O12" i="3" s="1"/>
  <c r="O28" i="3" a="1"/>
  <c r="O28" i="3" s="1"/>
  <c r="O21" i="3" a="1"/>
  <c r="O21" i="3" s="1"/>
  <c r="O37" i="3" a="1"/>
  <c r="O37" i="3" s="1"/>
  <c r="O13" i="3" a="1"/>
  <c r="O13" i="3" s="1"/>
  <c r="O29" i="3" a="1"/>
  <c r="O29" i="3" s="1"/>
  <c r="O22" i="3" a="1"/>
  <c r="O22" i="3" s="1"/>
  <c r="O14" i="3" a="1"/>
  <c r="O14" i="3" s="1"/>
  <c r="O30" i="3" a="1"/>
  <c r="O30" i="3" s="1"/>
  <c r="E6" i="3" a="1"/>
  <c r="E6" i="3" s="1"/>
  <c r="E85" i="3" a="1"/>
  <c r="E85" i="3" s="1"/>
  <c r="E86" i="3" a="1"/>
  <c r="E86" i="3" s="1"/>
  <c r="E14" i="3" a="1"/>
  <c r="E14" i="3" s="1"/>
  <c r="E12" i="3" a="1"/>
  <c r="E12" i="3" s="1"/>
  <c r="E70" i="3" a="1"/>
  <c r="E70" i="3" s="1"/>
  <c r="E54" i="3" a="1"/>
  <c r="E54" i="3" s="1"/>
  <c r="E38" i="3" a="1"/>
  <c r="E38" i="3" s="1"/>
  <c r="E22" i="3" a="1"/>
  <c r="E22" i="3" s="1"/>
  <c r="E61" i="3" a="1"/>
  <c r="E61" i="3" s="1"/>
  <c r="E53" i="3" a="1"/>
  <c r="E53" i="3" s="1"/>
  <c r="E45" i="3" a="1"/>
  <c r="E45" i="3" s="1"/>
  <c r="E37" i="3" a="1"/>
  <c r="E37" i="3" s="1"/>
  <c r="E29" i="3" a="1"/>
  <c r="E29" i="3" s="1"/>
  <c r="E21" i="3" a="1"/>
  <c r="E21" i="3" s="1"/>
  <c r="E13" i="3" a="1"/>
  <c r="E13" i="3" s="1"/>
  <c r="E69" i="3" a="1"/>
  <c r="E69" i="3" s="1"/>
  <c r="E84" i="3" a="1"/>
  <c r="E84" i="3" s="1"/>
  <c r="E68" i="3" a="1"/>
  <c r="E68" i="3" s="1"/>
  <c r="E52" i="3" a="1"/>
  <c r="E52" i="3" s="1"/>
  <c r="E36" i="3" a="1"/>
  <c r="E36" i="3" s="1"/>
  <c r="E20" i="3" a="1"/>
  <c r="E20" i="3" s="1"/>
  <c r="E77" i="3" a="1"/>
  <c r="E77" i="3" s="1"/>
  <c r="E76" i="3" a="1"/>
  <c r="E76" i="3" s="1"/>
  <c r="E60" i="3" a="1"/>
  <c r="E60" i="3" s="1"/>
  <c r="E44" i="3" a="1"/>
  <c r="E44" i="3" s="1"/>
  <c r="E28" i="3" a="1"/>
  <c r="E28" i="3" s="1"/>
  <c r="E75" i="3" a="1"/>
  <c r="E75" i="3" s="1"/>
  <c r="E59" i="3" a="1"/>
  <c r="E59" i="3" s="1"/>
  <c r="E43" i="3" a="1"/>
  <c r="E43" i="3" s="1"/>
  <c r="E27" i="3" a="1"/>
  <c r="E27" i="3" s="1"/>
  <c r="E11" i="3" a="1"/>
  <c r="E11" i="3" s="1"/>
  <c r="E83" i="3" a="1"/>
  <c r="E83" i="3" s="1"/>
  <c r="E67" i="3" a="1"/>
  <c r="E67" i="3" s="1"/>
  <c r="E51" i="3" a="1"/>
  <c r="E51" i="3" s="1"/>
  <c r="E35" i="3" a="1"/>
  <c r="E35" i="3" s="1"/>
  <c r="E19" i="3" a="1"/>
  <c r="E19" i="3" s="1"/>
  <c r="E82" i="3" a="1"/>
  <c r="E82" i="3" s="1"/>
  <c r="E66" i="3" a="1"/>
  <c r="E66" i="3" s="1"/>
  <c r="E50" i="3" a="1"/>
  <c r="E50" i="3" s="1"/>
  <c r="E34" i="3" a="1"/>
  <c r="E34" i="3" s="1"/>
  <c r="E18" i="3" a="1"/>
  <c r="E18" i="3" s="1"/>
  <c r="E74" i="3" a="1"/>
  <c r="E74" i="3" s="1"/>
  <c r="E58" i="3" a="1"/>
  <c r="E58" i="3" s="1"/>
  <c r="E42" i="3" a="1"/>
  <c r="E42" i="3" s="1"/>
  <c r="E26" i="3" a="1"/>
  <c r="E26" i="3" s="1"/>
  <c r="E10" i="3" a="1"/>
  <c r="E10" i="3" s="1"/>
  <c r="E73" i="3" a="1"/>
  <c r="E73" i="3" s="1"/>
  <c r="E57" i="3" a="1"/>
  <c r="E57" i="3" s="1"/>
  <c r="E41" i="3" a="1"/>
  <c r="E41" i="3" s="1"/>
  <c r="E25" i="3" a="1"/>
  <c r="E25" i="3" s="1"/>
  <c r="E9" i="3" a="1"/>
  <c r="E9" i="3" s="1"/>
  <c r="E81" i="3" a="1"/>
  <c r="E81" i="3" s="1"/>
  <c r="E65" i="3" a="1"/>
  <c r="E65" i="3" s="1"/>
  <c r="E49" i="3" a="1"/>
  <c r="E49" i="3" s="1"/>
  <c r="E33" i="3" a="1"/>
  <c r="E33" i="3" s="1"/>
  <c r="E17" i="3" a="1"/>
  <c r="E17" i="3" s="1"/>
  <c r="E5" i="3" a="1"/>
  <c r="E5" i="3" s="1"/>
  <c r="E72" i="3" a="1"/>
  <c r="E72" i="3" s="1"/>
  <c r="E56" i="3" a="1"/>
  <c r="E56" i="3" s="1"/>
  <c r="E40" i="3" a="1"/>
  <c r="E40" i="3" s="1"/>
  <c r="E24" i="3" a="1"/>
  <c r="E24" i="3" s="1"/>
  <c r="E8" i="3" a="1"/>
  <c r="E8" i="3" s="1"/>
  <c r="E80" i="3" a="1"/>
  <c r="E80" i="3" s="1"/>
  <c r="E64" i="3" a="1"/>
  <c r="E64" i="3" s="1"/>
  <c r="E48" i="3" a="1"/>
  <c r="E48" i="3" s="1"/>
  <c r="E32" i="3" a="1"/>
  <c r="E32" i="3" s="1"/>
  <c r="E16" i="3" a="1"/>
  <c r="E16" i="3" s="1"/>
  <c r="E71" i="3" a="1"/>
  <c r="E71" i="3" s="1"/>
  <c r="E55" i="3" a="1"/>
  <c r="E55" i="3" s="1"/>
  <c r="E39" i="3" a="1"/>
  <c r="E39" i="3" s="1"/>
  <c r="E23" i="3" a="1"/>
  <c r="E23" i="3" s="1"/>
  <c r="E7" i="3" a="1"/>
  <c r="E7" i="3" s="1"/>
  <c r="E79" i="3" a="1"/>
  <c r="E79" i="3" s="1"/>
  <c r="E63" i="3" a="1"/>
  <c r="E63" i="3" s="1"/>
  <c r="E47" i="3" a="1"/>
  <c r="E47" i="3" s="1"/>
  <c r="E31" i="3" a="1"/>
  <c r="E31" i="3" s="1"/>
  <c r="E15" i="3" a="1"/>
  <c r="E15" i="3" s="1"/>
  <c r="E78" i="3" a="1"/>
  <c r="E78" i="3" s="1"/>
  <c r="E62" i="3" a="1"/>
  <c r="E62" i="3" s="1"/>
  <c r="E46" i="3" a="1"/>
  <c r="E46" i="3" s="1"/>
  <c r="E30" i="3" a="1"/>
  <c r="E30" i="3" s="1"/>
  <c r="M23" i="1" a="1"/>
  <c r="O23" i="1" s="1"/>
  <c r="G8" i="1" a="1"/>
  <c r="G10" i="1" s="1"/>
  <c r="H7" i="1" a="1"/>
  <c r="J7" i="1" s="1"/>
  <c r="L19" i="1" a="1"/>
  <c r="L21" i="1" s="1"/>
  <c r="M18" i="1" a="1"/>
  <c r="O18" i="1" s="1"/>
  <c r="C29" i="1"/>
  <c r="D29" i="1"/>
  <c r="E29" i="1"/>
  <c r="C30" i="1"/>
  <c r="D30" i="1"/>
  <c r="E30" i="1"/>
  <c r="C31" i="1"/>
  <c r="D31" i="1"/>
  <c r="E31" i="1"/>
  <c r="C32" i="1"/>
  <c r="D32" i="1"/>
  <c r="E32" i="1"/>
  <c r="C33" i="1"/>
  <c r="D33" i="1"/>
  <c r="E33" i="1"/>
  <c r="C34" i="1"/>
  <c r="D34" i="1"/>
  <c r="E34" i="1"/>
  <c r="C35" i="1"/>
  <c r="D35" i="1"/>
  <c r="E35" i="1"/>
  <c r="C36" i="1"/>
  <c r="D36" i="1"/>
  <c r="E36" i="1"/>
  <c r="C37" i="1"/>
  <c r="D37" i="1"/>
  <c r="E37" i="1"/>
  <c r="C38" i="1"/>
  <c r="D38" i="1"/>
  <c r="E38" i="1"/>
  <c r="C39" i="1"/>
  <c r="D39" i="1"/>
  <c r="E39" i="1"/>
  <c r="C40" i="1"/>
  <c r="D40" i="1"/>
  <c r="E40" i="1"/>
  <c r="C41" i="1"/>
  <c r="D41" i="1"/>
  <c r="E41" i="1"/>
  <c r="C42" i="1"/>
  <c r="D42" i="1"/>
  <c r="E42" i="1"/>
  <c r="C43" i="1"/>
  <c r="D43" i="1"/>
  <c r="E43" i="1"/>
  <c r="C44" i="1"/>
  <c r="D44" i="1"/>
  <c r="E44" i="1"/>
  <c r="C45" i="1"/>
  <c r="D45" i="1"/>
  <c r="E45" i="1"/>
  <c r="C46" i="1"/>
  <c r="D46" i="1"/>
  <c r="E46" i="1"/>
  <c r="C47" i="1"/>
  <c r="D47" i="1"/>
  <c r="E47" i="1"/>
  <c r="C48" i="1"/>
  <c r="D48" i="1"/>
  <c r="E48" i="1"/>
  <c r="C49" i="1"/>
  <c r="D49" i="1"/>
  <c r="E49" i="1"/>
  <c r="C50" i="1"/>
  <c r="D50" i="1"/>
  <c r="E50" i="1"/>
  <c r="C51" i="1"/>
  <c r="D51" i="1"/>
  <c r="E51" i="1"/>
  <c r="C52" i="1"/>
  <c r="D52" i="1"/>
  <c r="E52" i="1"/>
  <c r="C53" i="1"/>
  <c r="D53" i="1"/>
  <c r="E53" i="1"/>
  <c r="C54" i="1"/>
  <c r="D54" i="1"/>
  <c r="E54" i="1"/>
  <c r="C55" i="1"/>
  <c r="D55" i="1"/>
  <c r="E55" i="1"/>
  <c r="C56" i="1"/>
  <c r="D56" i="1"/>
  <c r="E56" i="1"/>
  <c r="C57" i="1"/>
  <c r="D57" i="1"/>
  <c r="E57" i="1"/>
  <c r="C58" i="1"/>
  <c r="D58" i="1"/>
  <c r="E58" i="1"/>
  <c r="C59" i="1"/>
  <c r="D59" i="1"/>
  <c r="E59" i="1"/>
  <c r="C60" i="1"/>
  <c r="D60" i="1"/>
  <c r="E60" i="1"/>
  <c r="C61" i="1"/>
  <c r="D61" i="1"/>
  <c r="E61" i="1"/>
  <c r="C62" i="1"/>
  <c r="D62" i="1"/>
  <c r="E62" i="1"/>
  <c r="C63" i="1"/>
  <c r="D63" i="1"/>
  <c r="E63" i="1"/>
  <c r="C64" i="1"/>
  <c r="D64" i="1"/>
  <c r="E64" i="1"/>
  <c r="C65" i="1"/>
  <c r="D65" i="1"/>
  <c r="E65" i="1"/>
  <c r="C66" i="1"/>
  <c r="D66" i="1"/>
  <c r="E66" i="1"/>
  <c r="C67" i="1"/>
  <c r="D67" i="1"/>
  <c r="E67" i="1"/>
  <c r="C68" i="1"/>
  <c r="D68" i="1"/>
  <c r="E68" i="1"/>
  <c r="C69" i="1"/>
  <c r="D69" i="1"/>
  <c r="E69" i="1"/>
  <c r="C70" i="1"/>
  <c r="D70" i="1"/>
  <c r="E70" i="1"/>
  <c r="C71" i="1"/>
  <c r="D71" i="1"/>
  <c r="E71" i="1"/>
  <c r="C72" i="1"/>
  <c r="D72" i="1"/>
  <c r="E72" i="1"/>
  <c r="C73" i="1"/>
  <c r="D73" i="1"/>
  <c r="E73" i="1"/>
  <c r="C74" i="1"/>
  <c r="D74" i="1"/>
  <c r="E74" i="1"/>
  <c r="C75" i="1"/>
  <c r="D75" i="1"/>
  <c r="E75" i="1"/>
  <c r="C76" i="1"/>
  <c r="D76" i="1"/>
  <c r="E76" i="1"/>
  <c r="C77" i="1"/>
  <c r="D77" i="1"/>
  <c r="E77" i="1"/>
  <c r="C78" i="1"/>
  <c r="D78" i="1"/>
  <c r="E78" i="1"/>
  <c r="C79" i="1"/>
  <c r="D79" i="1"/>
  <c r="E79" i="1"/>
  <c r="C80" i="1"/>
  <c r="D80" i="1"/>
  <c r="E80" i="1"/>
  <c r="C81" i="1"/>
  <c r="D81" i="1"/>
  <c r="E81" i="1"/>
  <c r="C82" i="1"/>
  <c r="D82" i="1"/>
  <c r="E82" i="1"/>
  <c r="C83" i="1"/>
  <c r="D83" i="1"/>
  <c r="E83" i="1"/>
  <c r="C84" i="1"/>
  <c r="D84" i="1"/>
  <c r="E84" i="1"/>
  <c r="C85" i="1"/>
  <c r="D85" i="1"/>
  <c r="E85" i="1"/>
  <c r="C86" i="1"/>
  <c r="D86" i="1"/>
  <c r="E86" i="1"/>
  <c r="C87" i="1"/>
  <c r="D87" i="1"/>
  <c r="E87" i="1"/>
  <c r="C88" i="1"/>
  <c r="D88" i="1"/>
  <c r="E88" i="1"/>
  <c r="C89" i="1"/>
  <c r="D89" i="1"/>
  <c r="E89" i="1"/>
  <c r="C90" i="1"/>
  <c r="D90" i="1"/>
  <c r="E90" i="1"/>
  <c r="C91" i="1"/>
  <c r="D91" i="1"/>
  <c r="E91" i="1"/>
  <c r="C92" i="1"/>
  <c r="D92" i="1"/>
  <c r="E92" i="1"/>
  <c r="C93" i="1"/>
  <c r="D93" i="1"/>
  <c r="E93" i="1"/>
  <c r="C94" i="1"/>
  <c r="D94" i="1"/>
  <c r="E94" i="1"/>
  <c r="C95" i="1"/>
  <c r="D95" i="1"/>
  <c r="E95" i="1"/>
  <c r="C96" i="1"/>
  <c r="D96" i="1"/>
  <c r="E96" i="1"/>
  <c r="C97" i="1"/>
  <c r="D97" i="1"/>
  <c r="E97" i="1"/>
  <c r="C98" i="1"/>
  <c r="D98" i="1"/>
  <c r="E98" i="1"/>
  <c r="C99" i="1"/>
  <c r="D99" i="1"/>
  <c r="E99" i="1"/>
  <c r="C100" i="1"/>
  <c r="D100" i="1"/>
  <c r="E100" i="1"/>
  <c r="C101" i="1"/>
  <c r="D101" i="1"/>
  <c r="E101" i="1"/>
  <c r="C102" i="1"/>
  <c r="D102" i="1"/>
  <c r="E102" i="1"/>
  <c r="C103" i="1"/>
  <c r="D103" i="1"/>
  <c r="E103" i="1"/>
  <c r="C104" i="1"/>
  <c r="D104" i="1"/>
  <c r="E104" i="1"/>
  <c r="C105" i="1"/>
  <c r="D105" i="1"/>
  <c r="E105" i="1"/>
  <c r="C106" i="1"/>
  <c r="D106" i="1"/>
  <c r="E106" i="1"/>
  <c r="C107" i="1"/>
  <c r="D107" i="1"/>
  <c r="E107" i="1"/>
  <c r="C108" i="1"/>
  <c r="D108" i="1"/>
  <c r="E108" i="1"/>
  <c r="C109" i="1"/>
  <c r="D109" i="1"/>
  <c r="E109" i="1"/>
  <c r="C110" i="1"/>
  <c r="D110" i="1"/>
  <c r="E110" i="1"/>
  <c r="C111" i="1"/>
  <c r="D111" i="1"/>
  <c r="E111" i="1"/>
  <c r="C112" i="1"/>
  <c r="D112" i="1"/>
  <c r="E112" i="1"/>
  <c r="C113" i="1"/>
  <c r="D113" i="1"/>
  <c r="E113" i="1"/>
  <c r="C114" i="1"/>
  <c r="D114" i="1"/>
  <c r="E114" i="1"/>
  <c r="C115" i="1"/>
  <c r="D115" i="1"/>
  <c r="E115" i="1"/>
  <c r="C116" i="1"/>
  <c r="D116" i="1"/>
  <c r="E116" i="1"/>
  <c r="C117" i="1"/>
  <c r="D117" i="1"/>
  <c r="E117" i="1"/>
  <c r="C118" i="1"/>
  <c r="D118" i="1"/>
  <c r="E118" i="1"/>
  <c r="C119" i="1"/>
  <c r="D119" i="1"/>
  <c r="E119" i="1"/>
  <c r="C120" i="1"/>
  <c r="D120" i="1"/>
  <c r="E120" i="1"/>
  <c r="C121" i="1"/>
  <c r="D121" i="1"/>
  <c r="E121" i="1"/>
  <c r="C122" i="1"/>
  <c r="D122" i="1"/>
  <c r="E122" i="1"/>
  <c r="C123" i="1"/>
  <c r="D123" i="1"/>
  <c r="E123" i="1"/>
  <c r="C124" i="1"/>
  <c r="D124" i="1"/>
  <c r="E124" i="1"/>
  <c r="C125" i="1"/>
  <c r="D125" i="1"/>
  <c r="E125" i="1"/>
  <c r="C126" i="1"/>
  <c r="D126" i="1"/>
  <c r="E126" i="1"/>
  <c r="C127" i="1"/>
  <c r="D127" i="1"/>
  <c r="E127" i="1"/>
  <c r="D28" i="1"/>
  <c r="E28" i="1"/>
  <c r="C28" i="1"/>
  <c r="B8" i="1" a="1"/>
  <c r="B8" i="1" s="1"/>
  <c r="C7" i="1" a="1"/>
  <c r="C7" i="1" s="1"/>
  <c r="M18" i="1"/>
  <c r="N18" i="1"/>
  <c r="L19" i="1"/>
  <c r="L20" i="1"/>
  <c r="C13" i="1" a="1"/>
  <c r="H8" i="1" a="1"/>
  <c r="D7" i="1" l="1"/>
  <c r="M23" i="1"/>
  <c r="G9" i="1"/>
  <c r="G8" i="1"/>
  <c r="I7" i="1"/>
  <c r="H7" i="1"/>
  <c r="N23" i="1"/>
  <c r="E7" i="1"/>
  <c r="C25" i="1"/>
  <c r="D25" i="1"/>
  <c r="H8" i="1"/>
  <c r="J9" i="1"/>
  <c r="I8" i="1"/>
  <c r="H9" i="1"/>
  <c r="I10" i="1"/>
  <c r="I9" i="1"/>
  <c r="J10" i="1"/>
  <c r="D15" i="1"/>
  <c r="E13" i="1"/>
  <c r="D13" i="1"/>
  <c r="D20" i="1"/>
  <c r="D24" i="1"/>
  <c r="C20" i="1"/>
  <c r="C24" i="1"/>
  <c r="D19" i="1"/>
  <c r="C19" i="1"/>
  <c r="C21" i="1"/>
  <c r="E19" i="1"/>
  <c r="E21" i="1"/>
  <c r="E24" i="1"/>
  <c r="E20" i="1"/>
  <c r="D21" i="1"/>
  <c r="E25" i="1"/>
  <c r="B10" i="1"/>
  <c r="B9" i="1"/>
  <c r="D14" i="1"/>
  <c r="C15" i="1"/>
  <c r="E15" i="1"/>
  <c r="C14" i="1"/>
  <c r="E14" i="1"/>
  <c r="C13" i="1"/>
  <c r="H10" i="1"/>
  <c r="J8" i="1"/>
  <c r="H13" i="1" a="1"/>
  <c r="I13" i="1" l="1"/>
  <c r="J13" i="1"/>
  <c r="J15" i="1"/>
  <c r="H15" i="1"/>
  <c r="I14" i="1"/>
  <c r="J14" i="1"/>
  <c r="H13" i="1"/>
  <c r="H46" i="1" s="1" a="1"/>
  <c r="I15" i="1"/>
  <c r="H14" i="1"/>
  <c r="H99" i="1" a="1"/>
  <c r="H59" i="1" a="1"/>
  <c r="H109" i="1" a="1"/>
  <c r="H56" i="1" l="1" a="1"/>
  <c r="I56" i="1" s="1"/>
  <c r="N56" i="1" s="1"/>
  <c r="H88" i="1" a="1"/>
  <c r="I88" i="1" s="1"/>
  <c r="N88" i="1" s="1"/>
  <c r="H124" i="1" a="1"/>
  <c r="J124" i="1" s="1"/>
  <c r="O124" i="1" s="1"/>
  <c r="H74" i="1" a="1"/>
  <c r="I74" i="1" s="1"/>
  <c r="N74" i="1" s="1"/>
  <c r="H76" i="1" a="1"/>
  <c r="J76" i="1" s="1"/>
  <c r="O76" i="1" s="1"/>
  <c r="H78" i="1" a="1"/>
  <c r="I78" i="1" s="1"/>
  <c r="N78" i="1" s="1"/>
  <c r="H120" i="1" a="1"/>
  <c r="I120" i="1" s="1"/>
  <c r="N120" i="1" s="1"/>
  <c r="H54" i="1" a="1"/>
  <c r="I54" i="1" s="1"/>
  <c r="N54" i="1" s="1"/>
  <c r="H85" i="1" a="1"/>
  <c r="H85" i="1" s="1"/>
  <c r="M85" i="1" s="1"/>
  <c r="H29" i="1" a="1"/>
  <c r="J29" i="1" s="1"/>
  <c r="O29" i="1" s="1"/>
  <c r="H35" i="1" a="1"/>
  <c r="I35" i="1" s="1"/>
  <c r="N35" i="1" s="1"/>
  <c r="H96" i="1" a="1"/>
  <c r="J96" i="1" s="1"/>
  <c r="O96" i="1" s="1"/>
  <c r="H95" i="1" a="1"/>
  <c r="H95" i="1" s="1"/>
  <c r="M95" i="1" s="1"/>
  <c r="H93" i="1" a="1"/>
  <c r="H93" i="1" s="1"/>
  <c r="M93" i="1" s="1"/>
  <c r="H61" i="1" a="1"/>
  <c r="H61" i="1" s="1"/>
  <c r="M61" i="1" s="1"/>
  <c r="H83" i="1" a="1"/>
  <c r="H83" i="1" s="1"/>
  <c r="M83" i="1" s="1"/>
  <c r="H102" i="1" a="1"/>
  <c r="H102" i="1" s="1"/>
  <c r="M102" i="1" s="1"/>
  <c r="H63" i="1" a="1"/>
  <c r="I63" i="1" s="1"/>
  <c r="N63" i="1" s="1"/>
  <c r="H80" i="1" a="1"/>
  <c r="J80" i="1" s="1"/>
  <c r="O80" i="1" s="1"/>
  <c r="H87" i="1" a="1"/>
  <c r="I87" i="1" s="1"/>
  <c r="N87" i="1" s="1"/>
  <c r="H69" i="1" a="1"/>
  <c r="I69" i="1" s="1"/>
  <c r="N69" i="1" s="1"/>
  <c r="H79" i="1" a="1"/>
  <c r="J79" i="1" s="1"/>
  <c r="O79" i="1" s="1"/>
  <c r="H70" i="1" a="1"/>
  <c r="I70" i="1" s="1"/>
  <c r="N70" i="1" s="1"/>
  <c r="H53" i="1" a="1"/>
  <c r="H53" i="1" s="1"/>
  <c r="M53" i="1" s="1"/>
  <c r="H55" i="1" a="1"/>
  <c r="J55" i="1" s="1"/>
  <c r="O55" i="1" s="1"/>
  <c r="H101" i="1" a="1"/>
  <c r="I101" i="1" s="1"/>
  <c r="N101" i="1" s="1"/>
  <c r="H48" i="1" a="1"/>
  <c r="J48" i="1" s="1"/>
  <c r="O48" i="1" s="1"/>
  <c r="H107" i="1" a="1"/>
  <c r="I107" i="1" s="1"/>
  <c r="N107" i="1" s="1"/>
  <c r="H50" i="1" a="1"/>
  <c r="H50" i="1" s="1"/>
  <c r="M50" i="1" s="1"/>
  <c r="H33" i="1" a="1"/>
  <c r="I33" i="1" s="1"/>
  <c r="N33" i="1" s="1"/>
  <c r="H98" i="1" a="1"/>
  <c r="H98" i="1" s="1"/>
  <c r="M98" i="1" s="1"/>
  <c r="H90" i="1" a="1"/>
  <c r="H90" i="1" s="1"/>
  <c r="M90" i="1" s="1"/>
  <c r="H84" i="1" a="1"/>
  <c r="J84" i="1" s="1"/>
  <c r="O84" i="1" s="1"/>
  <c r="H30" i="1" a="1"/>
  <c r="I30" i="1" s="1"/>
  <c r="N30" i="1" s="1"/>
  <c r="H66" i="1" a="1"/>
  <c r="H66" i="1" s="1"/>
  <c r="M66" i="1" s="1"/>
  <c r="H91" i="1" a="1"/>
  <c r="H91" i="1" s="1"/>
  <c r="M91" i="1" s="1"/>
  <c r="H51" i="1" a="1"/>
  <c r="I51" i="1" s="1"/>
  <c r="N51" i="1" s="1"/>
  <c r="H111" i="1" a="1"/>
  <c r="J111" i="1" s="1"/>
  <c r="O111" i="1" s="1"/>
  <c r="H123" i="1" a="1"/>
  <c r="J123" i="1" s="1"/>
  <c r="O123" i="1" s="1"/>
  <c r="H92" i="1" a="1"/>
  <c r="H92" i="1" s="1"/>
  <c r="M92" i="1" s="1"/>
  <c r="H119" i="1" a="1"/>
  <c r="H119" i="1" s="1"/>
  <c r="M119" i="1" s="1"/>
  <c r="H125" i="1" a="1"/>
  <c r="H125" i="1" s="1"/>
  <c r="M125" i="1" s="1"/>
  <c r="H114" i="1" a="1"/>
  <c r="H114" i="1" s="1"/>
  <c r="M114" i="1" s="1"/>
  <c r="H127" i="1" a="1"/>
  <c r="J127" i="1" s="1"/>
  <c r="O127" i="1" s="1"/>
  <c r="H81" i="1" a="1"/>
  <c r="H81" i="1" s="1"/>
  <c r="M81" i="1" s="1"/>
  <c r="H40" i="1" a="1"/>
  <c r="J40" i="1" s="1"/>
  <c r="O40" i="1" s="1"/>
  <c r="H41" i="1" a="1"/>
  <c r="J41" i="1" s="1"/>
  <c r="O41" i="1" s="1"/>
  <c r="H73" i="1" a="1"/>
  <c r="J73" i="1" s="1"/>
  <c r="O73" i="1" s="1"/>
  <c r="H60" i="1" a="1"/>
  <c r="J60" i="1" s="1"/>
  <c r="O60" i="1" s="1"/>
  <c r="H108" i="1" a="1"/>
  <c r="I108" i="1" s="1"/>
  <c r="N108" i="1" s="1"/>
  <c r="H126" i="1" a="1"/>
  <c r="J126" i="1" s="1"/>
  <c r="O126" i="1" s="1"/>
  <c r="H77" i="1" a="1"/>
  <c r="J77" i="1" s="1"/>
  <c r="O77" i="1" s="1"/>
  <c r="H113" i="1" a="1"/>
  <c r="I113" i="1" s="1"/>
  <c r="N113" i="1" s="1"/>
  <c r="H52" i="1" a="1"/>
  <c r="I52" i="1" s="1"/>
  <c r="N52" i="1" s="1"/>
  <c r="H42" i="1" a="1"/>
  <c r="I42" i="1" s="1"/>
  <c r="N42" i="1" s="1"/>
  <c r="H47" i="1" a="1"/>
  <c r="H47" i="1" s="1"/>
  <c r="M47" i="1" s="1"/>
  <c r="H39" i="1" a="1"/>
  <c r="I39" i="1" s="1"/>
  <c r="N39" i="1" s="1"/>
  <c r="H97" i="1" a="1"/>
  <c r="H97" i="1" s="1"/>
  <c r="M97" i="1" s="1"/>
  <c r="H28" i="1" a="1"/>
  <c r="H28" i="1" s="1"/>
  <c r="H121" i="1" a="1"/>
  <c r="H121" i="1" s="1"/>
  <c r="M121" i="1" s="1"/>
  <c r="H62" i="1" a="1"/>
  <c r="I62" i="1" s="1"/>
  <c r="N62" i="1" s="1"/>
  <c r="H117" i="1" a="1"/>
  <c r="H117" i="1" s="1"/>
  <c r="M117" i="1" s="1"/>
  <c r="H86" i="1" a="1"/>
  <c r="J86" i="1" s="1"/>
  <c r="O86" i="1" s="1"/>
  <c r="H116" i="1" a="1"/>
  <c r="J116" i="1" s="1"/>
  <c r="O116" i="1" s="1"/>
  <c r="H94" i="1" a="1"/>
  <c r="J94" i="1" s="1"/>
  <c r="O94" i="1" s="1"/>
  <c r="H75" i="1" a="1"/>
  <c r="J75" i="1" s="1"/>
  <c r="O75" i="1" s="1"/>
  <c r="H122" i="1" a="1"/>
  <c r="H122" i="1" s="1"/>
  <c r="M122" i="1" s="1"/>
  <c r="H64" i="1" a="1"/>
  <c r="I64" i="1" s="1"/>
  <c r="N64" i="1" s="1"/>
  <c r="H118" i="1" a="1"/>
  <c r="H118" i="1" s="1"/>
  <c r="M118" i="1" s="1"/>
  <c r="H45" i="1" a="1"/>
  <c r="I45" i="1" s="1"/>
  <c r="N45" i="1" s="1"/>
  <c r="H34" i="1" a="1"/>
  <c r="I34" i="1" s="1"/>
  <c r="N34" i="1" s="1"/>
  <c r="H105" i="1" a="1"/>
  <c r="I105" i="1" s="1"/>
  <c r="N105" i="1" s="1"/>
  <c r="H68" i="1" a="1"/>
  <c r="J68" i="1" s="1"/>
  <c r="O68" i="1" s="1"/>
  <c r="H31" i="1" a="1"/>
  <c r="I31" i="1" s="1"/>
  <c r="N31" i="1" s="1"/>
  <c r="H115" i="1" a="1"/>
  <c r="H115" i="1" s="1"/>
  <c r="M115" i="1" s="1"/>
  <c r="H44" i="1" a="1"/>
  <c r="H44" i="1" s="1"/>
  <c r="M44" i="1" s="1"/>
  <c r="H49" i="1" a="1"/>
  <c r="J49" i="1" s="1"/>
  <c r="O49" i="1" s="1"/>
  <c r="H43" i="1" a="1"/>
  <c r="H43" i="1" s="1"/>
  <c r="M43" i="1" s="1"/>
  <c r="H36" i="1" a="1"/>
  <c r="J36" i="1" s="1"/>
  <c r="O36" i="1" s="1"/>
  <c r="H65" i="1" a="1"/>
  <c r="J65" i="1" s="1"/>
  <c r="O65" i="1" s="1"/>
  <c r="H32" i="1" a="1"/>
  <c r="J32" i="1" s="1"/>
  <c r="O32" i="1" s="1"/>
  <c r="H67" i="1" a="1"/>
  <c r="H67" i="1" s="1"/>
  <c r="M67" i="1" s="1"/>
  <c r="H106" i="1" a="1"/>
  <c r="J106" i="1" s="1"/>
  <c r="O106" i="1" s="1"/>
  <c r="H89" i="1" a="1"/>
  <c r="H89" i="1" s="1"/>
  <c r="M89" i="1" s="1"/>
  <c r="H57" i="1" a="1"/>
  <c r="J57" i="1" s="1"/>
  <c r="O57" i="1" s="1"/>
  <c r="H112" i="1" a="1"/>
  <c r="J112" i="1" s="1"/>
  <c r="O112" i="1" s="1"/>
  <c r="H58" i="1" a="1"/>
  <c r="I58" i="1" s="1"/>
  <c r="N58" i="1" s="1"/>
  <c r="H71" i="1" a="1"/>
  <c r="J71" i="1" s="1"/>
  <c r="O71" i="1" s="1"/>
  <c r="H100" i="1" a="1"/>
  <c r="I100" i="1" s="1"/>
  <c r="N100" i="1" s="1"/>
  <c r="H103" i="1" a="1"/>
  <c r="J103" i="1" s="1"/>
  <c r="O103" i="1" s="1"/>
  <c r="H110" i="1" a="1"/>
  <c r="H110" i="1" s="1"/>
  <c r="M110" i="1" s="1"/>
  <c r="H38" i="1" a="1"/>
  <c r="H38" i="1" s="1"/>
  <c r="M38" i="1" s="1"/>
  <c r="H37" i="1" a="1"/>
  <c r="J37" i="1" s="1"/>
  <c r="O37" i="1" s="1"/>
  <c r="H104" i="1" a="1"/>
  <c r="J104" i="1" s="1"/>
  <c r="O104" i="1" s="1"/>
  <c r="H82" i="1" a="1"/>
  <c r="J82" i="1" s="1"/>
  <c r="O82" i="1" s="1"/>
  <c r="H72" i="1" a="1"/>
  <c r="J72" i="1" s="1"/>
  <c r="O72" i="1" s="1"/>
  <c r="J46" i="1"/>
  <c r="O46" i="1" s="1"/>
  <c r="I46" i="1"/>
  <c r="N46" i="1" s="1"/>
  <c r="H46" i="1"/>
  <c r="M46" i="1" s="1"/>
  <c r="H59" i="1"/>
  <c r="M59" i="1" s="1"/>
  <c r="J59" i="1"/>
  <c r="O59" i="1" s="1"/>
  <c r="I59" i="1"/>
  <c r="N59" i="1" s="1"/>
  <c r="I99" i="1"/>
  <c r="N99" i="1" s="1"/>
  <c r="H99" i="1"/>
  <c r="M99" i="1" s="1"/>
  <c r="J99" i="1"/>
  <c r="O99" i="1" s="1"/>
  <c r="J109" i="1"/>
  <c r="O109" i="1" s="1"/>
  <c r="H109" i="1"/>
  <c r="M109" i="1" s="1"/>
  <c r="I109" i="1"/>
  <c r="N109" i="1" s="1"/>
  <c r="I124" i="1" l="1"/>
  <c r="N124" i="1" s="1"/>
  <c r="J88" i="1"/>
  <c r="O88" i="1" s="1"/>
  <c r="H124" i="1"/>
  <c r="M124" i="1" s="1"/>
  <c r="B101" i="2" s="1"/>
  <c r="H88" i="1"/>
  <c r="M88" i="1" s="1"/>
  <c r="B65" i="2" s="1"/>
  <c r="B58" i="2"/>
  <c r="B27" i="2"/>
  <c r="B72" i="2"/>
  <c r="B15" i="2"/>
  <c r="B21" i="2"/>
  <c r="B98" i="2"/>
  <c r="B67" i="2"/>
  <c r="B87" i="2"/>
  <c r="B92" i="2"/>
  <c r="B91" i="2"/>
  <c r="B86" i="2"/>
  <c r="B74" i="2"/>
  <c r="B102" i="2"/>
  <c r="B94" i="2"/>
  <c r="B96" i="2"/>
  <c r="B62" i="2"/>
  <c r="B75" i="2"/>
  <c r="H56" i="1"/>
  <c r="M56" i="1" s="1"/>
  <c r="J56" i="1"/>
  <c r="O56" i="1" s="1"/>
  <c r="B24" i="2"/>
  <c r="B69" i="2"/>
  <c r="B30" i="2"/>
  <c r="B76" i="2"/>
  <c r="B60" i="2"/>
  <c r="B70" i="2"/>
  <c r="B20" i="2"/>
  <c r="B95" i="2"/>
  <c r="B79" i="2"/>
  <c r="B38" i="2"/>
  <c r="B36" i="2"/>
  <c r="B66" i="2"/>
  <c r="B68" i="2"/>
  <c r="B23" i="2"/>
  <c r="B99" i="2"/>
  <c r="B43" i="2"/>
  <c r="B44" i="2"/>
  <c r="J69" i="1"/>
  <c r="O69" i="1" s="1"/>
  <c r="H76" i="1"/>
  <c r="M76" i="1" s="1"/>
  <c r="J113" i="1"/>
  <c r="O113" i="1" s="1"/>
  <c r="J81" i="1"/>
  <c r="O81" i="1" s="1"/>
  <c r="J91" i="1"/>
  <c r="O91" i="1" s="1"/>
  <c r="J90" i="1"/>
  <c r="O90" i="1" s="1"/>
  <c r="I90" i="1"/>
  <c r="N90" i="1" s="1"/>
  <c r="I91" i="1"/>
  <c r="N91" i="1" s="1"/>
  <c r="I81" i="1"/>
  <c r="N81" i="1" s="1"/>
  <c r="I95" i="1"/>
  <c r="N95" i="1" s="1"/>
  <c r="H40" i="1"/>
  <c r="M40" i="1" s="1"/>
  <c r="I49" i="1"/>
  <c r="N49" i="1" s="1"/>
  <c r="I40" i="1"/>
  <c r="N40" i="1" s="1"/>
  <c r="H49" i="1"/>
  <c r="M49" i="1" s="1"/>
  <c r="J87" i="1"/>
  <c r="O87" i="1" s="1"/>
  <c r="J107" i="1"/>
  <c r="O107" i="1" s="1"/>
  <c r="I127" i="1"/>
  <c r="N127" i="1" s="1"/>
  <c r="J117" i="1"/>
  <c r="O117" i="1" s="1"/>
  <c r="J54" i="1"/>
  <c r="O54" i="1" s="1"/>
  <c r="J85" i="1"/>
  <c r="O85" i="1" s="1"/>
  <c r="I85" i="1"/>
  <c r="N85" i="1" s="1"/>
  <c r="J53" i="1"/>
  <c r="O53" i="1" s="1"/>
  <c r="H108" i="1"/>
  <c r="M108" i="1" s="1"/>
  <c r="I53" i="1"/>
  <c r="N53" i="1" s="1"/>
  <c r="J108" i="1"/>
  <c r="O108" i="1" s="1"/>
  <c r="H87" i="1"/>
  <c r="M87" i="1" s="1"/>
  <c r="H55" i="1"/>
  <c r="M55" i="1" s="1"/>
  <c r="H101" i="1"/>
  <c r="M101" i="1" s="1"/>
  <c r="J74" i="1"/>
  <c r="O74" i="1" s="1"/>
  <c r="J47" i="1"/>
  <c r="O47" i="1" s="1"/>
  <c r="H96" i="1"/>
  <c r="M96" i="1" s="1"/>
  <c r="I115" i="1"/>
  <c r="N115" i="1" s="1"/>
  <c r="J50" i="1"/>
  <c r="O50" i="1" s="1"/>
  <c r="J93" i="1"/>
  <c r="O93" i="1" s="1"/>
  <c r="J101" i="1"/>
  <c r="O101" i="1" s="1"/>
  <c r="H74" i="1"/>
  <c r="M74" i="1" s="1"/>
  <c r="I47" i="1"/>
  <c r="N47" i="1" s="1"/>
  <c r="H126" i="1"/>
  <c r="M126" i="1" s="1"/>
  <c r="H107" i="1"/>
  <c r="M107" i="1" s="1"/>
  <c r="H48" i="1"/>
  <c r="M48" i="1" s="1"/>
  <c r="I96" i="1"/>
  <c r="N96" i="1" s="1"/>
  <c r="H127" i="1"/>
  <c r="M127" i="1" s="1"/>
  <c r="I48" i="1"/>
  <c r="N48" i="1" s="1"/>
  <c r="J95" i="1"/>
  <c r="O95" i="1" s="1"/>
  <c r="J58" i="1"/>
  <c r="O58" i="1" s="1"/>
  <c r="J115" i="1"/>
  <c r="O115" i="1" s="1"/>
  <c r="I80" i="1"/>
  <c r="N80" i="1" s="1"/>
  <c r="J98" i="1"/>
  <c r="O98" i="1" s="1"/>
  <c r="I98" i="1"/>
  <c r="N98" i="1" s="1"/>
  <c r="J102" i="1"/>
  <c r="O102" i="1" s="1"/>
  <c r="H86" i="1"/>
  <c r="M86" i="1" s="1"/>
  <c r="J114" i="1"/>
  <c r="O114" i="1" s="1"/>
  <c r="I29" i="1"/>
  <c r="N29" i="1" s="1"/>
  <c r="H69" i="1"/>
  <c r="M69" i="1" s="1"/>
  <c r="I79" i="1"/>
  <c r="N79" i="1" s="1"/>
  <c r="J35" i="1"/>
  <c r="O35" i="1" s="1"/>
  <c r="H29" i="1"/>
  <c r="M29" i="1" s="1"/>
  <c r="H35" i="1"/>
  <c r="M35" i="1" s="1"/>
  <c r="I114" i="1"/>
  <c r="N114" i="1" s="1"/>
  <c r="H79" i="1"/>
  <c r="M79" i="1" s="1"/>
  <c r="I76" i="1"/>
  <c r="N76" i="1" s="1"/>
  <c r="I121" i="1"/>
  <c r="N121" i="1" s="1"/>
  <c r="I111" i="1"/>
  <c r="N111" i="1" s="1"/>
  <c r="I125" i="1"/>
  <c r="N125" i="1" s="1"/>
  <c r="J121" i="1"/>
  <c r="O121" i="1" s="1"/>
  <c r="H78" i="1"/>
  <c r="M78" i="1" s="1"/>
  <c r="J43" i="1"/>
  <c r="O43" i="1" s="1"/>
  <c r="H77" i="1"/>
  <c r="M77" i="1" s="1"/>
  <c r="I126" i="1"/>
  <c r="N126" i="1" s="1"/>
  <c r="J34" i="1"/>
  <c r="O34" i="1" s="1"/>
  <c r="J92" i="1"/>
  <c r="O92" i="1" s="1"/>
  <c r="H54" i="1"/>
  <c r="M54" i="1" s="1"/>
  <c r="I55" i="1"/>
  <c r="N55" i="1" s="1"/>
  <c r="H123" i="1"/>
  <c r="M123" i="1" s="1"/>
  <c r="H34" i="1"/>
  <c r="M34" i="1" s="1"/>
  <c r="I92" i="1"/>
  <c r="N92" i="1" s="1"/>
  <c r="I103" i="1"/>
  <c r="N103" i="1" s="1"/>
  <c r="J78" i="1"/>
  <c r="O78" i="1" s="1"/>
  <c r="I119" i="1"/>
  <c r="N119" i="1" s="1"/>
  <c r="I123" i="1"/>
  <c r="N123" i="1" s="1"/>
  <c r="H30" i="1"/>
  <c r="M30" i="1" s="1"/>
  <c r="H103" i="1"/>
  <c r="M103" i="1" s="1"/>
  <c r="J119" i="1"/>
  <c r="O119" i="1" s="1"/>
  <c r="J120" i="1"/>
  <c r="O120" i="1" s="1"/>
  <c r="H120" i="1"/>
  <c r="M120" i="1" s="1"/>
  <c r="J70" i="1"/>
  <c r="O70" i="1" s="1"/>
  <c r="H51" i="1"/>
  <c r="M51" i="1" s="1"/>
  <c r="I44" i="1"/>
  <c r="N44" i="1" s="1"/>
  <c r="H113" i="1"/>
  <c r="M113" i="1" s="1"/>
  <c r="H70" i="1"/>
  <c r="M70" i="1" s="1"/>
  <c r="J51" i="1"/>
  <c r="O51" i="1" s="1"/>
  <c r="J105" i="1"/>
  <c r="O105" i="1" s="1"/>
  <c r="H111" i="1"/>
  <c r="M111" i="1" s="1"/>
  <c r="H52" i="1"/>
  <c r="M52" i="1" s="1"/>
  <c r="H105" i="1"/>
  <c r="M105" i="1" s="1"/>
  <c r="J125" i="1"/>
  <c r="O125" i="1" s="1"/>
  <c r="I117" i="1"/>
  <c r="N117" i="1" s="1"/>
  <c r="I77" i="1"/>
  <c r="N77" i="1" s="1"/>
  <c r="I110" i="1"/>
  <c r="N110" i="1" s="1"/>
  <c r="J66" i="1"/>
  <c r="O66" i="1" s="1"/>
  <c r="H63" i="1"/>
  <c r="M63" i="1" s="1"/>
  <c r="I50" i="1"/>
  <c r="N50" i="1" s="1"/>
  <c r="I93" i="1"/>
  <c r="N93" i="1" s="1"/>
  <c r="I61" i="1"/>
  <c r="N61" i="1" s="1"/>
  <c r="H68" i="1"/>
  <c r="M68" i="1" s="1"/>
  <c r="H41" i="1"/>
  <c r="M41" i="1" s="1"/>
  <c r="I83" i="1"/>
  <c r="N83" i="1" s="1"/>
  <c r="H33" i="1"/>
  <c r="M33" i="1" s="1"/>
  <c r="J31" i="1"/>
  <c r="O31" i="1" s="1"/>
  <c r="I86" i="1"/>
  <c r="N86" i="1" s="1"/>
  <c r="I82" i="1"/>
  <c r="N82" i="1" s="1"/>
  <c r="I68" i="1"/>
  <c r="N68" i="1" s="1"/>
  <c r="J83" i="1"/>
  <c r="O83" i="1" s="1"/>
  <c r="J33" i="1"/>
  <c r="O33" i="1" s="1"/>
  <c r="J39" i="1"/>
  <c r="O39" i="1" s="1"/>
  <c r="J63" i="1"/>
  <c r="O63" i="1" s="1"/>
  <c r="H82" i="1"/>
  <c r="M82" i="1" s="1"/>
  <c r="I66" i="1"/>
  <c r="N66" i="1" s="1"/>
  <c r="I102" i="1"/>
  <c r="N102" i="1" s="1"/>
  <c r="I116" i="1"/>
  <c r="N116" i="1" s="1"/>
  <c r="J61" i="1"/>
  <c r="O61" i="1" s="1"/>
  <c r="I65" i="1"/>
  <c r="N65" i="1" s="1"/>
  <c r="I84" i="1"/>
  <c r="N84" i="1" s="1"/>
  <c r="H75" i="1"/>
  <c r="M75" i="1" s="1"/>
  <c r="H116" i="1"/>
  <c r="M116" i="1" s="1"/>
  <c r="J30" i="1"/>
  <c r="O30" i="1" s="1"/>
  <c r="I41" i="1"/>
  <c r="N41" i="1" s="1"/>
  <c r="H31" i="1"/>
  <c r="M31" i="1" s="1"/>
  <c r="J44" i="1"/>
  <c r="O44" i="1" s="1"/>
  <c r="H65" i="1"/>
  <c r="M65" i="1" s="1"/>
  <c r="H80" i="1"/>
  <c r="M80" i="1" s="1"/>
  <c r="H84" i="1"/>
  <c r="M84" i="1" s="1"/>
  <c r="I75" i="1"/>
  <c r="N75" i="1" s="1"/>
  <c r="H73" i="1"/>
  <c r="M73" i="1" s="1"/>
  <c r="H94" i="1"/>
  <c r="M94" i="1" s="1"/>
  <c r="I73" i="1"/>
  <c r="N73" i="1" s="1"/>
  <c r="I94" i="1"/>
  <c r="N94" i="1" s="1"/>
  <c r="J38" i="1"/>
  <c r="O38" i="1" s="1"/>
  <c r="J122" i="1"/>
  <c r="O122" i="1" s="1"/>
  <c r="I122" i="1"/>
  <c r="N122" i="1" s="1"/>
  <c r="H39" i="1"/>
  <c r="M39" i="1" s="1"/>
  <c r="H64" i="1"/>
  <c r="M64" i="1" s="1"/>
  <c r="J64" i="1"/>
  <c r="O64" i="1" s="1"/>
  <c r="I118" i="1"/>
  <c r="N118" i="1" s="1"/>
  <c r="J52" i="1"/>
  <c r="O52" i="1" s="1"/>
  <c r="I28" i="1"/>
  <c r="N28" i="1" s="1"/>
  <c r="J28" i="1"/>
  <c r="O28" i="1" s="1"/>
  <c r="H32" i="1"/>
  <c r="M32" i="1" s="1"/>
  <c r="J118" i="1"/>
  <c r="O118" i="1" s="1"/>
  <c r="I43" i="1"/>
  <c r="N43" i="1" s="1"/>
  <c r="I32" i="1"/>
  <c r="N32" i="1" s="1"/>
  <c r="H45" i="1"/>
  <c r="M45" i="1" s="1"/>
  <c r="I97" i="1"/>
  <c r="N97" i="1" s="1"/>
  <c r="I89" i="1"/>
  <c r="N89" i="1" s="1"/>
  <c r="J45" i="1"/>
  <c r="O45" i="1" s="1"/>
  <c r="J97" i="1"/>
  <c r="O97" i="1" s="1"/>
  <c r="J89" i="1"/>
  <c r="O89" i="1" s="1"/>
  <c r="H36" i="1"/>
  <c r="M36" i="1" s="1"/>
  <c r="H62" i="1"/>
  <c r="M62" i="1" s="1"/>
  <c r="H42" i="1"/>
  <c r="M42" i="1" s="1"/>
  <c r="I60" i="1"/>
  <c r="N60" i="1" s="1"/>
  <c r="H60" i="1"/>
  <c r="M60" i="1" s="1"/>
  <c r="I106" i="1"/>
  <c r="N106" i="1" s="1"/>
  <c r="I36" i="1"/>
  <c r="N36" i="1" s="1"/>
  <c r="J62" i="1"/>
  <c r="O62" i="1" s="1"/>
  <c r="J42" i="1"/>
  <c r="O42" i="1" s="1"/>
  <c r="H106" i="1"/>
  <c r="M106" i="1" s="1"/>
  <c r="I38" i="1"/>
  <c r="N38" i="1" s="1"/>
  <c r="I67" i="1"/>
  <c r="N67" i="1" s="1"/>
  <c r="I72" i="1"/>
  <c r="N72" i="1" s="1"/>
  <c r="H58" i="1"/>
  <c r="M58" i="1" s="1"/>
  <c r="J67" i="1"/>
  <c r="O67" i="1" s="1"/>
  <c r="J110" i="1"/>
  <c r="O110" i="1" s="1"/>
  <c r="J100" i="1"/>
  <c r="O100" i="1" s="1"/>
  <c r="H100" i="1"/>
  <c r="M100" i="1" s="1"/>
  <c r="I37" i="1"/>
  <c r="N37" i="1" s="1"/>
  <c r="H37" i="1"/>
  <c r="M37" i="1" s="1"/>
  <c r="H71" i="1"/>
  <c r="M71" i="1" s="1"/>
  <c r="I71" i="1"/>
  <c r="N71" i="1" s="1"/>
  <c r="H57" i="1"/>
  <c r="M57" i="1" s="1"/>
  <c r="I57" i="1"/>
  <c r="N57" i="1" s="1"/>
  <c r="H104" i="1"/>
  <c r="M104" i="1" s="1"/>
  <c r="I104" i="1"/>
  <c r="N104" i="1" s="1"/>
  <c r="I112" i="1"/>
  <c r="N112" i="1" s="1"/>
  <c r="H112" i="1"/>
  <c r="M112" i="1" s="1"/>
  <c r="H72" i="1"/>
  <c r="M72" i="1" s="1"/>
  <c r="M28" i="1"/>
  <c r="B83" i="2" l="1"/>
  <c r="B84" i="2"/>
  <c r="B59" i="2"/>
  <c r="B63" i="2"/>
  <c r="B80" i="2"/>
  <c r="B55" i="2"/>
  <c r="B53" i="2"/>
  <c r="B57" i="2"/>
  <c r="B7" i="2"/>
  <c r="B40" i="2"/>
  <c r="B61" i="2"/>
  <c r="B48" i="2"/>
  <c r="B19" i="2"/>
  <c r="B8" i="2"/>
  <c r="B50" i="2"/>
  <c r="B103" i="2"/>
  <c r="B34" i="2"/>
  <c r="B51" i="2"/>
  <c r="B37" i="2"/>
  <c r="B77" i="2"/>
  <c r="B82" i="2"/>
  <c r="B73" i="2"/>
  <c r="B9" i="2"/>
  <c r="B13" i="2"/>
  <c r="B41" i="2"/>
  <c r="B29" i="2"/>
  <c r="B26" i="2"/>
  <c r="B28" i="2"/>
  <c r="B16" i="2"/>
  <c r="B93" i="2"/>
  <c r="B88" i="2"/>
  <c r="B71" i="2"/>
  <c r="B46" i="2"/>
  <c r="B97" i="2"/>
  <c r="B54" i="2"/>
  <c r="B42" i="2"/>
  <c r="B14" i="2"/>
  <c r="B39" i="2"/>
  <c r="B52" i="2"/>
  <c r="B10" i="2"/>
  <c r="B56" i="2"/>
  <c r="B78" i="2"/>
  <c r="B11" i="2"/>
  <c r="B32" i="2"/>
  <c r="B17" i="2"/>
  <c r="B85" i="2"/>
  <c r="B35" i="2"/>
  <c r="B49" i="2"/>
  <c r="B18" i="2"/>
  <c r="B47" i="2"/>
  <c r="B100" i="2"/>
  <c r="B12" i="2"/>
  <c r="B104" i="2"/>
  <c r="B64" i="2"/>
  <c r="B81" i="2"/>
  <c r="B89" i="2"/>
  <c r="B45" i="2"/>
  <c r="B90" i="2"/>
  <c r="B6" i="2"/>
  <c r="B33" i="2"/>
  <c r="B22" i="2"/>
  <c r="B31" i="2"/>
  <c r="B25" i="2"/>
  <c r="I24" i="1"/>
  <c r="H21" i="1"/>
  <c r="I19" i="1"/>
  <c r="J20" i="1"/>
  <c r="H19" i="1"/>
  <c r="J25" i="1"/>
  <c r="H24" i="1"/>
  <c r="J21" i="1"/>
  <c r="J24" i="1"/>
  <c r="H20" i="1"/>
  <c r="H25" i="1"/>
  <c r="I21" i="1"/>
  <c r="J19" i="1"/>
  <c r="I25" i="1"/>
  <c r="I20" i="1"/>
  <c r="B5" i="2"/>
  <c r="M21" i="1"/>
  <c r="M19" i="1"/>
  <c r="M25" i="1"/>
  <c r="M24" i="1"/>
  <c r="M20" i="1"/>
  <c r="O25" i="1"/>
  <c r="O21" i="1"/>
  <c r="O19" i="1"/>
  <c r="O20" i="1"/>
  <c r="O24" i="1"/>
  <c r="N24" i="1"/>
  <c r="N19" i="1"/>
  <c r="N25" i="1"/>
  <c r="N20" i="1"/>
  <c r="N21" i="1"/>
  <c r="E35" i="2" l="1" a="1"/>
  <c r="E35" i="2" s="1"/>
  <c r="E38" i="2" a="1"/>
  <c r="E38" i="2" s="1"/>
  <c r="E13" i="2" a="1"/>
  <c r="E13" i="2" s="1"/>
  <c r="E14" i="2" a="1"/>
  <c r="E14" i="2" s="1"/>
  <c r="E86" i="2" a="1"/>
  <c r="E86" i="2" s="1"/>
  <c r="E78" i="2" a="1"/>
  <c r="E78" i="2" s="1"/>
  <c r="E70" i="2" a="1"/>
  <c r="E70" i="2" s="1"/>
  <c r="E62" i="2" a="1"/>
  <c r="E62" i="2" s="1"/>
  <c r="E54" i="2" a="1"/>
  <c r="E54" i="2" s="1"/>
  <c r="E46" i="2" a="1"/>
  <c r="E46" i="2" s="1"/>
  <c r="E29" i="2" a="1"/>
  <c r="E29" i="2" s="1"/>
  <c r="E21" i="2" a="1"/>
  <c r="E21" i="2" s="1"/>
  <c r="E5" i="2" a="1"/>
  <c r="E5" i="2" s="1"/>
  <c r="E30" i="2" a="1"/>
  <c r="E30" i="2" s="1"/>
  <c r="E85" i="2" a="1"/>
  <c r="E85" i="2" s="1"/>
  <c r="E77" i="2" a="1"/>
  <c r="E77" i="2" s="1"/>
  <c r="E69" i="2" a="1"/>
  <c r="E69" i="2" s="1"/>
  <c r="E61" i="2" a="1"/>
  <c r="E61" i="2" s="1"/>
  <c r="E53" i="2" a="1"/>
  <c r="E53" i="2" s="1"/>
  <c r="E45" i="2" a="1"/>
  <c r="E45" i="2" s="1"/>
  <c r="E37" i="2" a="1"/>
  <c r="E37" i="2" s="1"/>
  <c r="E28" i="2" a="1"/>
  <c r="E28" i="2" s="1"/>
  <c r="E20" i="2" a="1"/>
  <c r="E20" i="2" s="1"/>
  <c r="E12" i="2" a="1"/>
  <c r="E12" i="2" s="1"/>
  <c r="E27" i="2" a="1"/>
  <c r="E27" i="2" s="1"/>
  <c r="E31" i="2" a="1"/>
  <c r="E31" i="2" s="1"/>
  <c r="E6" i="2" a="1"/>
  <c r="E6" i="2" s="1"/>
  <c r="E84" i="2" a="1"/>
  <c r="E84" i="2" s="1"/>
  <c r="E76" i="2" a="1"/>
  <c r="E76" i="2" s="1"/>
  <c r="E68" i="2" a="1"/>
  <c r="E68" i="2" s="1"/>
  <c r="E60" i="2" a="1"/>
  <c r="E60" i="2" s="1"/>
  <c r="E52" i="2" a="1"/>
  <c r="E52" i="2" s="1"/>
  <c r="E44" i="2" a="1"/>
  <c r="E44" i="2" s="1"/>
  <c r="E36" i="2" a="1"/>
  <c r="E36" i="2" s="1"/>
  <c r="E19" i="2" a="1"/>
  <c r="E19" i="2" s="1"/>
  <c r="E11" i="2" a="1"/>
  <c r="E11" i="2" s="1"/>
  <c r="E48" i="2" a="1"/>
  <c r="E48" i="2" s="1"/>
  <c r="E39" i="2" a="1"/>
  <c r="E39" i="2" s="1"/>
  <c r="E26" i="2" a="1"/>
  <c r="E26" i="2" s="1"/>
  <c r="E64" i="2" a="1"/>
  <c r="E64" i="2" s="1"/>
  <c r="E71" i="2" a="1"/>
  <c r="E71" i="2" s="1"/>
  <c r="E83" i="2" a="1"/>
  <c r="E83" i="2" s="1"/>
  <c r="E75" i="2" a="1"/>
  <c r="E75" i="2" s="1"/>
  <c r="E67" i="2" a="1"/>
  <c r="E67" i="2" s="1"/>
  <c r="E59" i="2" a="1"/>
  <c r="E59" i="2" s="1"/>
  <c r="E51" i="2" a="1"/>
  <c r="E51" i="2" s="1"/>
  <c r="E43" i="2" a="1"/>
  <c r="E43" i="2" s="1"/>
  <c r="E34" i="2" a="1"/>
  <c r="E34" i="2" s="1"/>
  <c r="E18" i="2" a="1"/>
  <c r="E18" i="2" s="1"/>
  <c r="E10" i="2" a="1"/>
  <c r="E10" i="2" s="1"/>
  <c r="E23" i="2" a="1"/>
  <c r="E23" i="2" s="1"/>
  <c r="E22" i="2" a="1"/>
  <c r="E22" i="2" s="1"/>
  <c r="E25" i="2" a="1"/>
  <c r="E25" i="2" s="1"/>
  <c r="E56" i="2" a="1"/>
  <c r="E56" i="2" s="1"/>
  <c r="E82" i="2" a="1"/>
  <c r="E82" i="2" s="1"/>
  <c r="E74" i="2" a="1"/>
  <c r="E74" i="2" s="1"/>
  <c r="E66" i="2" a="1"/>
  <c r="E66" i="2" s="1"/>
  <c r="E58" i="2" a="1"/>
  <c r="E58" i="2" s="1"/>
  <c r="E50" i="2" a="1"/>
  <c r="E50" i="2" s="1"/>
  <c r="E42" i="2" a="1"/>
  <c r="E42" i="2" s="1"/>
  <c r="E33" i="2" a="1"/>
  <c r="E33" i="2" s="1"/>
  <c r="E17" i="2" a="1"/>
  <c r="E17" i="2" s="1"/>
  <c r="E9" i="2" a="1"/>
  <c r="E9" i="2" s="1"/>
  <c r="E40" i="2" a="1"/>
  <c r="E40" i="2" s="1"/>
  <c r="E7" i="2" a="1"/>
  <c r="E7" i="2" s="1"/>
  <c r="E47" i="2" a="1"/>
  <c r="E47" i="2" s="1"/>
  <c r="E41" i="2" a="1"/>
  <c r="E41" i="2" s="1"/>
  <c r="E16" i="2" a="1"/>
  <c r="E16" i="2" s="1"/>
  <c r="E72" i="2" a="1"/>
  <c r="E72" i="2" s="1"/>
  <c r="E15" i="2" a="1"/>
  <c r="E15" i="2" s="1"/>
  <c r="E55" i="2" a="1"/>
  <c r="E55" i="2" s="1"/>
  <c r="E81" i="2" a="1"/>
  <c r="E81" i="2" s="1"/>
  <c r="E73" i="2" a="1"/>
  <c r="E73" i="2" s="1"/>
  <c r="E65" i="2" a="1"/>
  <c r="E65" i="2" s="1"/>
  <c r="E57" i="2" a="1"/>
  <c r="E57" i="2" s="1"/>
  <c r="E49" i="2" a="1"/>
  <c r="E49" i="2" s="1"/>
  <c r="E32" i="2" a="1"/>
  <c r="E32" i="2" s="1"/>
  <c r="E24" i="2" a="1"/>
  <c r="E24" i="2" s="1"/>
  <c r="E8" i="2" a="1"/>
  <c r="E8" i="2" s="1"/>
  <c r="E80" i="2" a="1"/>
  <c r="E80" i="2" s="1"/>
  <c r="E63" i="2" a="1"/>
  <c r="E63" i="2" s="1"/>
  <c r="E79" i="2" a="1"/>
  <c r="E79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<sst xmlns="http://schemas.openxmlformats.org/spreadsheetml/2006/main" count="24" uniqueCount="17">
  <si>
    <t>Asset</t>
  </si>
  <si>
    <t>Cash</t>
  </si>
  <si>
    <t>Bonds</t>
  </si>
  <si>
    <t>Stocks</t>
  </si>
  <si>
    <t>Mean</t>
  </si>
  <si>
    <t>StDev</t>
  </si>
  <si>
    <t>Target Correlation Matrix</t>
  </si>
  <si>
    <t>Cholesky Decomposition</t>
  </si>
  <si>
    <t>Independent Normal Random Numbers</t>
  </si>
  <si>
    <t>Simulated Asset Returns</t>
  </si>
  <si>
    <t>Simulated Correlation Matrix</t>
  </si>
  <si>
    <t>Adjusted Correlation Matrix</t>
  </si>
  <si>
    <t>Adjusted Cholesky Decomposition</t>
  </si>
  <si>
    <t>Correlated Normal Random Numbers</t>
  </si>
  <si>
    <t>Correlation of Independent Randoms</t>
  </si>
  <si>
    <t>Correlation of Correlated Randoms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</si>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</sst>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"/>
    <numFmt numFmtId="166" formatCode="0.0"/>
  </numFmts>
  <fonts count="8"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2"/>
      <name val="Source Sans CAIM"/>
    </font>
    <font>
      <sz val="11"/>
      <color theme="1"/>
      <name val="Source Sans CAIM"/>
    </font>
    <font>
      <i/>
      <sz val="9"/>
      <color theme="0" tint="-0.499984740745262"/>
      <name val="Source Sans CAIM"/>
    </font>
    <font>
      <sz val="9"/>
      <color theme="3"/>
      <name val="Source Sans CAIM"/>
    </font>
    <font>
      <sz val="11"/>
      <color theme="0" tint="-0.499984740745262"/>
      <name val="Source Sans CAIM"/>
    </font>
    <font>
      <sz val="11"/>
      <color theme="0"/>
      <name val="Source Sans CAIM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ECE9E7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2" fillId="2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3" borderId="0" xfId="0" applyFont="1" applyFill="1" applyAlignment="1">
      <alignment horizontal="center"/>
    </xf>
    <xf numFmtId="9" fontId="3" fillId="3" borderId="0" xfId="0" applyNumberFormat="1" applyFont="1" applyFill="1" applyAlignment="1">
      <alignment horizontal="center"/>
    </xf>
    <xf numFmtId="9" fontId="3" fillId="0" borderId="0" xfId="0" applyNumberFormat="1" applyFont="1" applyAlignment="1">
      <alignment horizontal="center"/>
    </xf>
    <xf numFmtId="0" fontId="3" fillId="0" borderId="0" xfId="0" applyFont="1" applyAlignment="1">
      <alignment horizontal="left"/>
    </xf>
    <xf numFmtId="165" fontId="3" fillId="3" borderId="0" xfId="0" applyNumberFormat="1" applyFont="1" applyFill="1" applyAlignment="1">
      <alignment horizontal="center"/>
    </xf>
    <xf numFmtId="165" fontId="3" fillId="0" borderId="0" xfId="0" applyNumberFormat="1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5" fillId="0" borderId="0" xfId="0" applyFont="1" applyAlignment="1">
      <alignment horizontal="right"/>
    </xf>
    <xf numFmtId="0" fontId="6" fillId="0" borderId="0" xfId="0" applyFont="1" applyAlignment="1">
      <alignment horizontal="center"/>
    </xf>
    <xf numFmtId="164" fontId="3" fillId="0" borderId="0" xfId="0" applyNumberFormat="1" applyFont="1" applyAlignment="1">
      <alignment horizontal="left"/>
    </xf>
    <xf numFmtId="164" fontId="3" fillId="0" borderId="0" xfId="0" applyNumberFormat="1" applyFont="1" applyAlignment="1">
      <alignment horizontal="center"/>
    </xf>
    <xf numFmtId="1" fontId="6" fillId="0" borderId="0" xfId="0" applyNumberFormat="1" applyFont="1" applyAlignment="1">
      <alignment horizontal="center"/>
    </xf>
    <xf numFmtId="166" fontId="3" fillId="3" borderId="0" xfId="0" applyNumberFormat="1" applyFont="1" applyFill="1" applyAlignment="1">
      <alignment horizontal="center"/>
    </xf>
    <xf numFmtId="166" fontId="3" fillId="0" borderId="0" xfId="0" applyNumberFormat="1" applyFont="1" applyAlignment="1">
      <alignment horizontal="center"/>
    </xf>
    <xf numFmtId="10" fontId="3" fillId="3" borderId="0" xfId="1" applyNumberFormat="1" applyFont="1" applyFill="1" applyAlignment="1">
      <alignment horizontal="center"/>
    </xf>
    <xf numFmtId="2" fontId="3" fillId="3" borderId="0" xfId="0" applyNumberFormat="1" applyFont="1" applyFill="1" applyAlignment="1">
      <alignment horizontal="center"/>
    </xf>
    <xf numFmtId="2" fontId="3" fillId="0" borderId="0" xfId="0" applyNumberFormat="1" applyFont="1" applyAlignment="1">
      <alignment horizontal="center"/>
    </xf>
    <xf numFmtId="10" fontId="3" fillId="3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1" fontId="7" fillId="0" borderId="0" xfId="0" applyNumberFormat="1" applyFont="1" applyAlignment="1">
      <alignment horizontal="center"/>
    </xf>
    <xf numFmtId="0" fontId="3" fillId="0" borderId="0" xfId="0" applyFont="1"/>
    <xf numFmtId="2" fontId="3" fillId="0" borderId="0" xfId="0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histogram100!$D$5:$D$85</c:f>
              <c:numCache>
                <c:formatCode>General</c:formatCode>
                <c:ptCount val="81"/>
                <c:pt idx="0">
                  <c:v>-3</c:v>
                </c:pt>
                <c:pt idx="1">
                  <c:v>-2.9</c:v>
                </c:pt>
                <c:pt idx="2">
                  <c:v>-2.8</c:v>
                </c:pt>
                <c:pt idx="3">
                  <c:v>-2.7</c:v>
                </c:pt>
                <c:pt idx="4">
                  <c:v>-2.6</c:v>
                </c:pt>
                <c:pt idx="5">
                  <c:v>-2.5</c:v>
                </c:pt>
                <c:pt idx="6">
                  <c:v>-2.4</c:v>
                </c:pt>
                <c:pt idx="7">
                  <c:v>-2.2999999999999998</c:v>
                </c:pt>
                <c:pt idx="8">
                  <c:v>-2.2000000000000002</c:v>
                </c:pt>
                <c:pt idx="9">
                  <c:v>-2.1</c:v>
                </c:pt>
                <c:pt idx="10">
                  <c:v>-2</c:v>
                </c:pt>
                <c:pt idx="11">
                  <c:v>-1.9</c:v>
                </c:pt>
                <c:pt idx="12">
                  <c:v>-1.8</c:v>
                </c:pt>
                <c:pt idx="13">
                  <c:v>-1.7</c:v>
                </c:pt>
                <c:pt idx="14">
                  <c:v>-1.6</c:v>
                </c:pt>
                <c:pt idx="15">
                  <c:v>-1.5</c:v>
                </c:pt>
                <c:pt idx="16">
                  <c:v>-1.4</c:v>
                </c:pt>
                <c:pt idx="17">
                  <c:v>-1.3</c:v>
                </c:pt>
                <c:pt idx="18">
                  <c:v>-1.2</c:v>
                </c:pt>
                <c:pt idx="19">
                  <c:v>-1.1000000000000001</c:v>
                </c:pt>
                <c:pt idx="20">
                  <c:v>-1</c:v>
                </c:pt>
                <c:pt idx="21">
                  <c:v>-0.9</c:v>
                </c:pt>
                <c:pt idx="22">
                  <c:v>-0.8</c:v>
                </c:pt>
                <c:pt idx="23">
                  <c:v>-0.7</c:v>
                </c:pt>
                <c:pt idx="24">
                  <c:v>-0.6</c:v>
                </c:pt>
                <c:pt idx="25">
                  <c:v>-0.5</c:v>
                </c:pt>
                <c:pt idx="26">
                  <c:v>-0.4</c:v>
                </c:pt>
                <c:pt idx="27">
                  <c:v>-0.3</c:v>
                </c:pt>
                <c:pt idx="28">
                  <c:v>-0.2</c:v>
                </c:pt>
                <c:pt idx="29">
                  <c:v>-0.1</c:v>
                </c:pt>
                <c:pt idx="30">
                  <c:v>0</c:v>
                </c:pt>
                <c:pt idx="31">
                  <c:v>0.1</c:v>
                </c:pt>
                <c:pt idx="32">
                  <c:v>0.2</c:v>
                </c:pt>
                <c:pt idx="33">
                  <c:v>0.3</c:v>
                </c:pt>
                <c:pt idx="34">
                  <c:v>0.4</c:v>
                </c:pt>
                <c:pt idx="35">
                  <c:v>0.5</c:v>
                </c:pt>
                <c:pt idx="36">
                  <c:v>0.6</c:v>
                </c:pt>
                <c:pt idx="37">
                  <c:v>0.7</c:v>
                </c:pt>
                <c:pt idx="38">
                  <c:v>0.8</c:v>
                </c:pt>
                <c:pt idx="39">
                  <c:v>0.9</c:v>
                </c:pt>
                <c:pt idx="40">
                  <c:v>1</c:v>
                </c:pt>
                <c:pt idx="41">
                  <c:v>1.1000000000000001</c:v>
                </c:pt>
                <c:pt idx="42">
                  <c:v>1.2</c:v>
                </c:pt>
                <c:pt idx="43">
                  <c:v>1.3</c:v>
                </c:pt>
                <c:pt idx="44">
                  <c:v>1.4</c:v>
                </c:pt>
                <c:pt idx="45">
                  <c:v>1.5</c:v>
                </c:pt>
                <c:pt idx="46">
                  <c:v>1.6</c:v>
                </c:pt>
                <c:pt idx="47">
                  <c:v>1.7</c:v>
                </c:pt>
                <c:pt idx="48">
                  <c:v>1.8</c:v>
                </c:pt>
                <c:pt idx="49">
                  <c:v>1.9</c:v>
                </c:pt>
                <c:pt idx="50">
                  <c:v>2</c:v>
                </c:pt>
                <c:pt idx="51">
                  <c:v>2.1</c:v>
                </c:pt>
                <c:pt idx="52">
                  <c:v>2.2000000000000002</c:v>
                </c:pt>
                <c:pt idx="53">
                  <c:v>2.2999999999999998</c:v>
                </c:pt>
                <c:pt idx="54">
                  <c:v>2.4</c:v>
                </c:pt>
                <c:pt idx="55">
                  <c:v>2.5000000000000102</c:v>
                </c:pt>
                <c:pt idx="56">
                  <c:v>2.6</c:v>
                </c:pt>
                <c:pt idx="57">
                  <c:v>2.7</c:v>
                </c:pt>
                <c:pt idx="58">
                  <c:v>2.80000000000001</c:v>
                </c:pt>
                <c:pt idx="59">
                  <c:v>2.9000000000000101</c:v>
                </c:pt>
                <c:pt idx="60">
                  <c:v>3.0000000000000102</c:v>
                </c:pt>
                <c:pt idx="61">
                  <c:v>3.1</c:v>
                </c:pt>
                <c:pt idx="62">
                  <c:v>3.2000000000000099</c:v>
                </c:pt>
                <c:pt idx="63">
                  <c:v>3.30000000000001</c:v>
                </c:pt>
                <c:pt idx="64">
                  <c:v>3.4000000000000101</c:v>
                </c:pt>
                <c:pt idx="65">
                  <c:v>3.5000000000000102</c:v>
                </c:pt>
                <c:pt idx="66">
                  <c:v>3.6000000000000099</c:v>
                </c:pt>
                <c:pt idx="67">
                  <c:v>3.7000000000000099</c:v>
                </c:pt>
                <c:pt idx="68">
                  <c:v>3.80000000000001</c:v>
                </c:pt>
                <c:pt idx="69">
                  <c:v>3.9000000000000101</c:v>
                </c:pt>
                <c:pt idx="70">
                  <c:v>4.0000000000000098</c:v>
                </c:pt>
                <c:pt idx="71">
                  <c:v>4.1000000000000103</c:v>
                </c:pt>
                <c:pt idx="72">
                  <c:v>4.2000000000000099</c:v>
                </c:pt>
                <c:pt idx="73">
                  <c:v>4.3000000000000096</c:v>
                </c:pt>
                <c:pt idx="74">
                  <c:v>4.4000000000000101</c:v>
                </c:pt>
                <c:pt idx="75">
                  <c:v>4.5000000000000098</c:v>
                </c:pt>
                <c:pt idx="76">
                  <c:v>4.6000000000000103</c:v>
                </c:pt>
                <c:pt idx="77">
                  <c:v>4.7000000000000099</c:v>
                </c:pt>
                <c:pt idx="78">
                  <c:v>4.8000000000000096</c:v>
                </c:pt>
                <c:pt idx="79">
                  <c:v>4.9000000000000101</c:v>
                </c:pt>
                <c:pt idx="80">
                  <c:v>5.0000000000000098</c:v>
                </c:pt>
              </c:numCache>
            </c:numRef>
          </c:cat>
          <c:val>
            <c:numRef>
              <c:f>histogram100!$E$5:$E$85</c:f>
              <c:numCache>
                <c:formatCode>General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2</c:v>
                </c:pt>
                <c:pt idx="32">
                  <c:v>0</c:v>
                </c:pt>
                <c:pt idx="33">
                  <c:v>2</c:v>
                </c:pt>
                <c:pt idx="34">
                  <c:v>1</c:v>
                </c:pt>
                <c:pt idx="35">
                  <c:v>1</c:v>
                </c:pt>
                <c:pt idx="36">
                  <c:v>0</c:v>
                </c:pt>
                <c:pt idx="37">
                  <c:v>4</c:v>
                </c:pt>
                <c:pt idx="38">
                  <c:v>2</c:v>
                </c:pt>
                <c:pt idx="39">
                  <c:v>1</c:v>
                </c:pt>
                <c:pt idx="40">
                  <c:v>0</c:v>
                </c:pt>
                <c:pt idx="41">
                  <c:v>1</c:v>
                </c:pt>
                <c:pt idx="42">
                  <c:v>2</c:v>
                </c:pt>
                <c:pt idx="43">
                  <c:v>4</c:v>
                </c:pt>
                <c:pt idx="44">
                  <c:v>3</c:v>
                </c:pt>
                <c:pt idx="45">
                  <c:v>5</c:v>
                </c:pt>
                <c:pt idx="46">
                  <c:v>9</c:v>
                </c:pt>
                <c:pt idx="47">
                  <c:v>3</c:v>
                </c:pt>
                <c:pt idx="48">
                  <c:v>3</c:v>
                </c:pt>
                <c:pt idx="49">
                  <c:v>5</c:v>
                </c:pt>
                <c:pt idx="50">
                  <c:v>6</c:v>
                </c:pt>
                <c:pt idx="51">
                  <c:v>3</c:v>
                </c:pt>
                <c:pt idx="52">
                  <c:v>1</c:v>
                </c:pt>
                <c:pt idx="53">
                  <c:v>3</c:v>
                </c:pt>
                <c:pt idx="54">
                  <c:v>8</c:v>
                </c:pt>
                <c:pt idx="55">
                  <c:v>4</c:v>
                </c:pt>
                <c:pt idx="56">
                  <c:v>1</c:v>
                </c:pt>
                <c:pt idx="57">
                  <c:v>2</c:v>
                </c:pt>
                <c:pt idx="58">
                  <c:v>3</c:v>
                </c:pt>
                <c:pt idx="59">
                  <c:v>1</c:v>
                </c:pt>
                <c:pt idx="60">
                  <c:v>3</c:v>
                </c:pt>
                <c:pt idx="61">
                  <c:v>2</c:v>
                </c:pt>
                <c:pt idx="62">
                  <c:v>5</c:v>
                </c:pt>
                <c:pt idx="63">
                  <c:v>2</c:v>
                </c:pt>
                <c:pt idx="64">
                  <c:v>1</c:v>
                </c:pt>
                <c:pt idx="65">
                  <c:v>1</c:v>
                </c:pt>
                <c:pt idx="66">
                  <c:v>2</c:v>
                </c:pt>
                <c:pt idx="67">
                  <c:v>0</c:v>
                </c:pt>
                <c:pt idx="68">
                  <c:v>1</c:v>
                </c:pt>
                <c:pt idx="69">
                  <c:v>1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4F-4B6C-9477-A37DDDDB5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57820592"/>
        <c:axId val="1"/>
      </c:barChart>
      <c:catAx>
        <c:axId val="157820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Source Sans CAIM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Source Sans CAIM"/>
                <a:ea typeface="Source Sans CAIM Black" panose="020B0303030403090204" pitchFamily="34" charset="0"/>
                <a:cs typeface="Calibri"/>
              </a:defRPr>
            </a:pPr>
            <a:endParaRPr lang="en-US"/>
          </a:p>
        </c:txPr>
        <c:crossAx val="157820592"/>
        <c:crosses val="autoZero"/>
        <c:crossBetween val="between"/>
      </c:valAx>
      <c:spPr>
        <a:solidFill>
          <a:schemeClr val="bg1">
            <a:lumMod val="95000"/>
          </a:schemeClr>
        </a:solidFill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histogram500!$D$5:$D$85</c:f>
              <c:numCache>
                <c:formatCode>General</c:formatCode>
                <c:ptCount val="81"/>
                <c:pt idx="0">
                  <c:v>-3</c:v>
                </c:pt>
                <c:pt idx="1">
                  <c:v>-2.9</c:v>
                </c:pt>
                <c:pt idx="2">
                  <c:v>-2.8</c:v>
                </c:pt>
                <c:pt idx="3">
                  <c:v>-2.7</c:v>
                </c:pt>
                <c:pt idx="4">
                  <c:v>-2.6</c:v>
                </c:pt>
                <c:pt idx="5">
                  <c:v>-2.5</c:v>
                </c:pt>
                <c:pt idx="6">
                  <c:v>-2.4</c:v>
                </c:pt>
                <c:pt idx="7">
                  <c:v>-2.2999999999999998</c:v>
                </c:pt>
                <c:pt idx="8">
                  <c:v>-2.2000000000000002</c:v>
                </c:pt>
                <c:pt idx="9">
                  <c:v>-2.1</c:v>
                </c:pt>
                <c:pt idx="10">
                  <c:v>-2</c:v>
                </c:pt>
                <c:pt idx="11">
                  <c:v>-1.9</c:v>
                </c:pt>
                <c:pt idx="12">
                  <c:v>-1.8</c:v>
                </c:pt>
                <c:pt idx="13">
                  <c:v>-1.7</c:v>
                </c:pt>
                <c:pt idx="14">
                  <c:v>-1.6</c:v>
                </c:pt>
                <c:pt idx="15">
                  <c:v>-1.5</c:v>
                </c:pt>
                <c:pt idx="16">
                  <c:v>-1.4</c:v>
                </c:pt>
                <c:pt idx="17">
                  <c:v>-1.3</c:v>
                </c:pt>
                <c:pt idx="18">
                  <c:v>-1.2</c:v>
                </c:pt>
                <c:pt idx="19">
                  <c:v>-1.1000000000000001</c:v>
                </c:pt>
                <c:pt idx="20">
                  <c:v>-1</c:v>
                </c:pt>
                <c:pt idx="21">
                  <c:v>-0.9</c:v>
                </c:pt>
                <c:pt idx="22">
                  <c:v>-0.8</c:v>
                </c:pt>
                <c:pt idx="23">
                  <c:v>-0.7</c:v>
                </c:pt>
                <c:pt idx="24">
                  <c:v>-0.6</c:v>
                </c:pt>
                <c:pt idx="25">
                  <c:v>-0.5</c:v>
                </c:pt>
                <c:pt idx="26">
                  <c:v>-0.4</c:v>
                </c:pt>
                <c:pt idx="27">
                  <c:v>-0.3</c:v>
                </c:pt>
                <c:pt idx="28">
                  <c:v>-0.2</c:v>
                </c:pt>
                <c:pt idx="29">
                  <c:v>-0.1</c:v>
                </c:pt>
                <c:pt idx="30">
                  <c:v>0</c:v>
                </c:pt>
                <c:pt idx="31">
                  <c:v>0.1</c:v>
                </c:pt>
                <c:pt idx="32">
                  <c:v>0.2</c:v>
                </c:pt>
                <c:pt idx="33">
                  <c:v>0.3</c:v>
                </c:pt>
                <c:pt idx="34">
                  <c:v>0.4</c:v>
                </c:pt>
                <c:pt idx="35">
                  <c:v>0.5</c:v>
                </c:pt>
                <c:pt idx="36">
                  <c:v>0.6</c:v>
                </c:pt>
                <c:pt idx="37">
                  <c:v>0.7</c:v>
                </c:pt>
                <c:pt idx="38">
                  <c:v>0.8</c:v>
                </c:pt>
                <c:pt idx="39">
                  <c:v>0.9</c:v>
                </c:pt>
                <c:pt idx="40">
                  <c:v>1</c:v>
                </c:pt>
                <c:pt idx="41">
                  <c:v>1.1000000000000001</c:v>
                </c:pt>
                <c:pt idx="42">
                  <c:v>1.2</c:v>
                </c:pt>
                <c:pt idx="43">
                  <c:v>1.3</c:v>
                </c:pt>
                <c:pt idx="44">
                  <c:v>1.4</c:v>
                </c:pt>
                <c:pt idx="45">
                  <c:v>1.5</c:v>
                </c:pt>
                <c:pt idx="46">
                  <c:v>1.6</c:v>
                </c:pt>
                <c:pt idx="47">
                  <c:v>1.7</c:v>
                </c:pt>
                <c:pt idx="48">
                  <c:v>1.8</c:v>
                </c:pt>
                <c:pt idx="49">
                  <c:v>1.9</c:v>
                </c:pt>
                <c:pt idx="50">
                  <c:v>2</c:v>
                </c:pt>
                <c:pt idx="51">
                  <c:v>2.1</c:v>
                </c:pt>
                <c:pt idx="52">
                  <c:v>2.2000000000000002</c:v>
                </c:pt>
                <c:pt idx="53">
                  <c:v>2.2999999999999998</c:v>
                </c:pt>
                <c:pt idx="54">
                  <c:v>2.4</c:v>
                </c:pt>
                <c:pt idx="55">
                  <c:v>2.5000000000000102</c:v>
                </c:pt>
                <c:pt idx="56">
                  <c:v>2.6</c:v>
                </c:pt>
                <c:pt idx="57">
                  <c:v>2.7</c:v>
                </c:pt>
                <c:pt idx="58">
                  <c:v>2.80000000000001</c:v>
                </c:pt>
                <c:pt idx="59">
                  <c:v>2.9000000000000101</c:v>
                </c:pt>
                <c:pt idx="60">
                  <c:v>3.0000000000000102</c:v>
                </c:pt>
                <c:pt idx="61">
                  <c:v>3.1</c:v>
                </c:pt>
                <c:pt idx="62">
                  <c:v>3.2000000000000099</c:v>
                </c:pt>
                <c:pt idx="63">
                  <c:v>3.30000000000001</c:v>
                </c:pt>
                <c:pt idx="64">
                  <c:v>3.4000000000000101</c:v>
                </c:pt>
                <c:pt idx="65">
                  <c:v>3.5000000000000102</c:v>
                </c:pt>
                <c:pt idx="66">
                  <c:v>3.6000000000000099</c:v>
                </c:pt>
                <c:pt idx="67">
                  <c:v>3.7000000000000099</c:v>
                </c:pt>
                <c:pt idx="68">
                  <c:v>3.80000000000001</c:v>
                </c:pt>
                <c:pt idx="69">
                  <c:v>3.9000000000000101</c:v>
                </c:pt>
                <c:pt idx="70">
                  <c:v>4.0000000000000098</c:v>
                </c:pt>
                <c:pt idx="71">
                  <c:v>4.1000000000000103</c:v>
                </c:pt>
                <c:pt idx="72">
                  <c:v>4.2000000000000099</c:v>
                </c:pt>
                <c:pt idx="73">
                  <c:v>4.3000000000000096</c:v>
                </c:pt>
                <c:pt idx="74">
                  <c:v>4.4000000000000101</c:v>
                </c:pt>
                <c:pt idx="75">
                  <c:v>4.5000000000000098</c:v>
                </c:pt>
                <c:pt idx="76">
                  <c:v>4.6000000000000103</c:v>
                </c:pt>
                <c:pt idx="77">
                  <c:v>4.7000000000000099</c:v>
                </c:pt>
                <c:pt idx="78">
                  <c:v>4.8000000000000096</c:v>
                </c:pt>
                <c:pt idx="79">
                  <c:v>4.9000000000000101</c:v>
                </c:pt>
                <c:pt idx="80">
                  <c:v>5.0000000000000098</c:v>
                </c:pt>
              </c:numCache>
            </c:numRef>
          </c:cat>
          <c:val>
            <c:numRef>
              <c:f>histogram500!$E$5:$E$85</c:f>
              <c:numCache>
                <c:formatCode>General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3</c:v>
                </c:pt>
                <c:pt idx="27">
                  <c:v>2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4</c:v>
                </c:pt>
                <c:pt idx="32">
                  <c:v>4</c:v>
                </c:pt>
                <c:pt idx="33">
                  <c:v>2</c:v>
                </c:pt>
                <c:pt idx="34">
                  <c:v>7</c:v>
                </c:pt>
                <c:pt idx="35">
                  <c:v>4</c:v>
                </c:pt>
                <c:pt idx="36">
                  <c:v>7</c:v>
                </c:pt>
                <c:pt idx="37">
                  <c:v>9</c:v>
                </c:pt>
                <c:pt idx="38">
                  <c:v>9</c:v>
                </c:pt>
                <c:pt idx="39">
                  <c:v>11</c:v>
                </c:pt>
                <c:pt idx="40">
                  <c:v>10</c:v>
                </c:pt>
                <c:pt idx="41">
                  <c:v>12</c:v>
                </c:pt>
                <c:pt idx="42">
                  <c:v>12</c:v>
                </c:pt>
                <c:pt idx="43">
                  <c:v>20</c:v>
                </c:pt>
                <c:pt idx="44">
                  <c:v>15</c:v>
                </c:pt>
                <c:pt idx="45">
                  <c:v>9</c:v>
                </c:pt>
                <c:pt idx="46">
                  <c:v>14</c:v>
                </c:pt>
                <c:pt idx="47">
                  <c:v>29</c:v>
                </c:pt>
                <c:pt idx="48">
                  <c:v>15</c:v>
                </c:pt>
                <c:pt idx="49">
                  <c:v>19</c:v>
                </c:pt>
                <c:pt idx="50">
                  <c:v>19</c:v>
                </c:pt>
                <c:pt idx="51">
                  <c:v>15</c:v>
                </c:pt>
                <c:pt idx="52">
                  <c:v>23</c:v>
                </c:pt>
                <c:pt idx="53">
                  <c:v>21</c:v>
                </c:pt>
                <c:pt idx="54">
                  <c:v>19</c:v>
                </c:pt>
                <c:pt idx="55">
                  <c:v>19</c:v>
                </c:pt>
                <c:pt idx="56">
                  <c:v>22</c:v>
                </c:pt>
                <c:pt idx="57">
                  <c:v>16</c:v>
                </c:pt>
                <c:pt idx="58">
                  <c:v>21</c:v>
                </c:pt>
                <c:pt idx="59">
                  <c:v>17</c:v>
                </c:pt>
                <c:pt idx="60">
                  <c:v>11</c:v>
                </c:pt>
                <c:pt idx="61">
                  <c:v>11</c:v>
                </c:pt>
                <c:pt idx="62">
                  <c:v>12</c:v>
                </c:pt>
                <c:pt idx="63">
                  <c:v>7</c:v>
                </c:pt>
                <c:pt idx="64">
                  <c:v>8</c:v>
                </c:pt>
                <c:pt idx="65">
                  <c:v>11</c:v>
                </c:pt>
                <c:pt idx="66">
                  <c:v>3</c:v>
                </c:pt>
                <c:pt idx="67">
                  <c:v>8</c:v>
                </c:pt>
                <c:pt idx="68">
                  <c:v>5</c:v>
                </c:pt>
                <c:pt idx="69">
                  <c:v>3</c:v>
                </c:pt>
                <c:pt idx="70">
                  <c:v>2</c:v>
                </c:pt>
                <c:pt idx="71">
                  <c:v>2</c:v>
                </c:pt>
                <c:pt idx="72">
                  <c:v>0</c:v>
                </c:pt>
                <c:pt idx="73">
                  <c:v>1</c:v>
                </c:pt>
                <c:pt idx="74">
                  <c:v>1</c:v>
                </c:pt>
                <c:pt idx="75">
                  <c:v>2</c:v>
                </c:pt>
                <c:pt idx="76">
                  <c:v>1</c:v>
                </c:pt>
                <c:pt idx="77">
                  <c:v>1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82-4D26-9834-FC519CDB1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57820592"/>
        <c:axId val="1"/>
      </c:barChart>
      <c:catAx>
        <c:axId val="157820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Source Sans CAIM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Source Sans CAIM"/>
                <a:ea typeface="Source Sans CAIM Black" panose="020B0303030403090204" pitchFamily="34" charset="0"/>
                <a:cs typeface="Calibri"/>
              </a:defRPr>
            </a:pPr>
            <a:endParaRPr lang="en-US"/>
          </a:p>
        </c:txPr>
        <c:crossAx val="157820592"/>
        <c:crosses val="autoZero"/>
        <c:crossBetween val="between"/>
      </c:valAx>
      <c:spPr>
        <a:solidFill>
          <a:schemeClr val="bg1">
            <a:lumMod val="95000"/>
          </a:schemeClr>
        </a:solidFill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histogram500!$N$5:$N$37</c:f>
              <c:numCache>
                <c:formatCode>General</c:formatCode>
                <c:ptCount val="33"/>
                <c:pt idx="0">
                  <c:v>-3</c:v>
                </c:pt>
                <c:pt idx="1">
                  <c:v>-2.75</c:v>
                </c:pt>
                <c:pt idx="2">
                  <c:v>-2.5</c:v>
                </c:pt>
                <c:pt idx="3">
                  <c:v>-2.25</c:v>
                </c:pt>
                <c:pt idx="4">
                  <c:v>-2</c:v>
                </c:pt>
                <c:pt idx="5">
                  <c:v>-1.75</c:v>
                </c:pt>
                <c:pt idx="6">
                  <c:v>-1.5</c:v>
                </c:pt>
                <c:pt idx="7">
                  <c:v>-1.25</c:v>
                </c:pt>
                <c:pt idx="8">
                  <c:v>-1</c:v>
                </c:pt>
                <c:pt idx="9">
                  <c:v>-0.75</c:v>
                </c:pt>
                <c:pt idx="10">
                  <c:v>-0.5</c:v>
                </c:pt>
                <c:pt idx="11">
                  <c:v>-0.25</c:v>
                </c:pt>
                <c:pt idx="12">
                  <c:v>0</c:v>
                </c:pt>
                <c:pt idx="13">
                  <c:v>0.25</c:v>
                </c:pt>
                <c:pt idx="14">
                  <c:v>0.5</c:v>
                </c:pt>
                <c:pt idx="15">
                  <c:v>0.75</c:v>
                </c:pt>
                <c:pt idx="16">
                  <c:v>1</c:v>
                </c:pt>
                <c:pt idx="17">
                  <c:v>1.25</c:v>
                </c:pt>
                <c:pt idx="18">
                  <c:v>1.5</c:v>
                </c:pt>
                <c:pt idx="19">
                  <c:v>1.75</c:v>
                </c:pt>
                <c:pt idx="20">
                  <c:v>2</c:v>
                </c:pt>
                <c:pt idx="21">
                  <c:v>2.25</c:v>
                </c:pt>
                <c:pt idx="22">
                  <c:v>2.5</c:v>
                </c:pt>
                <c:pt idx="23">
                  <c:v>2.75</c:v>
                </c:pt>
                <c:pt idx="24">
                  <c:v>3</c:v>
                </c:pt>
                <c:pt idx="25">
                  <c:v>3.25</c:v>
                </c:pt>
                <c:pt idx="26">
                  <c:v>3.5</c:v>
                </c:pt>
                <c:pt idx="27">
                  <c:v>3.75</c:v>
                </c:pt>
                <c:pt idx="28">
                  <c:v>4</c:v>
                </c:pt>
                <c:pt idx="29">
                  <c:v>4.25</c:v>
                </c:pt>
                <c:pt idx="30">
                  <c:v>4.5</c:v>
                </c:pt>
                <c:pt idx="31">
                  <c:v>4.75</c:v>
                </c:pt>
                <c:pt idx="32">
                  <c:v>5</c:v>
                </c:pt>
              </c:numCache>
            </c:numRef>
          </c:cat>
          <c:val>
            <c:numRef>
              <c:f>histogram500!$O$5:$O$37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5</c:v>
                </c:pt>
                <c:pt idx="12">
                  <c:v>1</c:v>
                </c:pt>
                <c:pt idx="13">
                  <c:v>8</c:v>
                </c:pt>
                <c:pt idx="14">
                  <c:v>13</c:v>
                </c:pt>
                <c:pt idx="15">
                  <c:v>19</c:v>
                </c:pt>
                <c:pt idx="16">
                  <c:v>27</c:v>
                </c:pt>
                <c:pt idx="17">
                  <c:v>34</c:v>
                </c:pt>
                <c:pt idx="18">
                  <c:v>34</c:v>
                </c:pt>
                <c:pt idx="19">
                  <c:v>49</c:v>
                </c:pt>
                <c:pt idx="20">
                  <c:v>47</c:v>
                </c:pt>
                <c:pt idx="21">
                  <c:v>52</c:v>
                </c:pt>
                <c:pt idx="22">
                  <c:v>45</c:v>
                </c:pt>
                <c:pt idx="23">
                  <c:v>50</c:v>
                </c:pt>
                <c:pt idx="24">
                  <c:v>37</c:v>
                </c:pt>
                <c:pt idx="25">
                  <c:v>27</c:v>
                </c:pt>
                <c:pt idx="26">
                  <c:v>22</c:v>
                </c:pt>
                <c:pt idx="27">
                  <c:v>12</c:v>
                </c:pt>
                <c:pt idx="28">
                  <c:v>9</c:v>
                </c:pt>
                <c:pt idx="29">
                  <c:v>3</c:v>
                </c:pt>
                <c:pt idx="30">
                  <c:v>3</c:v>
                </c:pt>
                <c:pt idx="31">
                  <c:v>2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E3-4DEC-B164-B0A5821C8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57820592"/>
        <c:axId val="1"/>
      </c:barChart>
      <c:catAx>
        <c:axId val="157820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Source Sans CAIM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Source Sans CAIM"/>
                <a:ea typeface="Source Sans CAIM Black" panose="020B0303030403090204" pitchFamily="34" charset="0"/>
                <a:cs typeface="Calibri"/>
              </a:defRPr>
            </a:pPr>
            <a:endParaRPr lang="en-US"/>
          </a:p>
        </c:txPr>
        <c:crossAx val="157820592"/>
        <c:crosses val="autoZero"/>
        <c:crossBetween val="between"/>
      </c:valAx>
      <c:spPr>
        <a:solidFill>
          <a:schemeClr val="bg1">
            <a:lumMod val="95000"/>
          </a:schemeClr>
        </a:solidFill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127000</xdr:colOff>
      <xdr:row>4</xdr:row>
      <xdr:rowOff>19050</xdr:rowOff>
    </xdr:from>
    <xdr:to>
      <xdr:col>12</xdr:col>
      <xdr:colOff>431800</xdr:colOff>
      <xdr:row>18</xdr:row>
      <xdr:rowOff>95250</xdr:rowOff>
    </xdr:to>
    <xdr:graphicFrame macro="">
      <xdr:nvGraphicFramePr>
        <xdr:cNvPr id="2054" name="Chart 1">
          <a:extLst>
            <a:ext uri="{FF2B5EF4-FFF2-40B4-BE49-F238E27FC236}">
              <a16:creationId xmlns:a16="http://schemas.microsoft.com/office/drawing/2014/main" id="{8170418C-EFFD-58EA-5F0B-504FC1B772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127000</xdr:colOff>
      <xdr:row>4</xdr:row>
      <xdr:rowOff>19050</xdr:rowOff>
    </xdr:from>
    <xdr:to>
      <xdr:col>12</xdr:col>
      <xdr:colOff>431800</xdr:colOff>
      <xdr:row>18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246B07-D2D8-490B-A1B2-CB94FA2CDD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419100</xdr:colOff>
      <xdr:row>4</xdr:row>
      <xdr:rowOff>0</xdr:rowOff>
    </xdr:from>
    <xdr:to>
      <xdr:col>23</xdr:col>
      <xdr:colOff>142875</xdr:colOff>
      <xdr:row>18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208FF3-BC39-4754-AEBA-976D6393A9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CAIM">
  <a:themeElements>
    <a:clrScheme name="CAIM">
      <a:dk1>
        <a:srgbClr val="2C2824"/>
      </a:dk1>
      <a:lt1>
        <a:srgbClr val="FFFFFF"/>
      </a:lt1>
      <a:dk2>
        <a:srgbClr val="D12E28"/>
      </a:dk2>
      <a:lt2>
        <a:srgbClr val="69B578"/>
      </a:lt2>
      <a:accent1>
        <a:srgbClr val="28264B"/>
      </a:accent1>
      <a:accent2>
        <a:srgbClr val="9A221D"/>
      </a:accent2>
      <a:accent3>
        <a:srgbClr val="707070"/>
      </a:accent3>
      <a:accent4>
        <a:srgbClr val="548BE9"/>
      </a:accent4>
      <a:accent5>
        <a:srgbClr val="82ACB3"/>
      </a:accent5>
      <a:accent6>
        <a:srgbClr val="E6BE8A"/>
      </a:accent6>
      <a:hlink>
        <a:srgbClr val="675D54"/>
      </a:hlink>
      <a:folHlink>
        <a:srgbClr val="9E9388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Q127"/>
  <sheetViews>
    <sheetView showGridLines="0" tabSelected="1" zoomScale="87" zoomScaleNormal="87" workbookViewId="0">
      <selection activeCell="S14" sqref="S14"/>
    </sheetView>
  </sheetViews>
  <sheetFormatPr defaultColWidth="9.140625" defaultRowHeight="14.25"/>
  <cols>
    <col min="1" max="1" width="9.140625" style="2"/>
    <col min="2" max="2" width="9.28515625" style="2" bestFit="1" customWidth="1"/>
    <col min="3" max="5" width="9.42578125" style="2" bestFit="1" customWidth="1"/>
    <col min="6" max="6" width="9.140625" style="2"/>
    <col min="7" max="11" width="9.28515625" style="2" bestFit="1" customWidth="1"/>
    <col min="12" max="12" width="9.140625" style="2"/>
    <col min="13" max="13" width="10.7109375" style="2" customWidth="1"/>
    <col min="14" max="15" width="9.28515625" style="2" bestFit="1" customWidth="1"/>
    <col min="16" max="16384" width="9.140625" style="2"/>
  </cols>
  <sheetData>
    <row r="2" spans="2:15">
      <c r="B2" s="22" t="s">
        <v>0</v>
      </c>
      <c r="C2" s="22" t="s">
        <v>1</v>
      </c>
      <c r="D2" s="22" t="s">
        <v>2</v>
      </c>
      <c r="E2" s="22" t="s">
        <v>3</v>
      </c>
    </row>
    <row r="3" spans="2:15">
      <c r="B3" s="3" t="s">
        <v>4</v>
      </c>
      <c r="C3" s="4">
        <v>0.02</v>
      </c>
      <c r="D3" s="4">
        <v>0.03</v>
      </c>
      <c r="E3" s="4">
        <v>0.09</v>
      </c>
      <c r="F3" s="5"/>
    </row>
    <row r="4" spans="2:15">
      <c r="B4" s="3" t="s">
        <v>5</v>
      </c>
      <c r="C4" s="4">
        <v>0.01</v>
      </c>
      <c r="D4" s="4">
        <v>0.04</v>
      </c>
      <c r="E4" s="4">
        <v>0.15</v>
      </c>
      <c r="F4" s="5"/>
    </row>
    <row r="6" spans="2:15" s="6" customFormat="1">
      <c r="C6" s="6" t="s">
        <v>6</v>
      </c>
      <c r="H6" s="6" t="s">
        <v>11</v>
      </c>
    </row>
    <row r="7" spans="2:15">
      <c r="B7" s="22"/>
      <c r="C7" s="22" t="str">
        <f t="array" ref="C7:E7">assetnames</f>
        <v>Cash</v>
      </c>
      <c r="D7" s="22" t="str">
        <v>Bonds</v>
      </c>
      <c r="E7" s="22" t="str">
        <v>Stocks</v>
      </c>
      <c r="G7" s="1"/>
      <c r="H7" s="22" t="str">
        <f t="array" ref="H7:J7">assetnames</f>
        <v>Cash</v>
      </c>
      <c r="I7" s="22" t="str">
        <v>Bonds</v>
      </c>
      <c r="J7" s="22" t="str">
        <v>Stocks</v>
      </c>
    </row>
    <row r="8" spans="2:15">
      <c r="B8" s="22" t="str">
        <f t="array" ref="B8:B10">TRANSPOSE(assetnames)</f>
        <v>Cash</v>
      </c>
      <c r="C8" s="7">
        <v>1</v>
      </c>
      <c r="D8" s="7">
        <v>0.9</v>
      </c>
      <c r="E8" s="7">
        <v>0.7</v>
      </c>
      <c r="F8" s="8"/>
      <c r="G8" s="22" t="str">
        <f t="array" ref="G8:G10">TRANSPOSE(assetnames)</f>
        <v>Cash</v>
      </c>
      <c r="H8" s="8">
        <f t="array" ref="H8:J10">CorrAdj(corrs)</f>
        <v>1</v>
      </c>
      <c r="I8" s="8">
        <v>0.9</v>
      </c>
      <c r="J8" s="8">
        <v>0.70000000000000007</v>
      </c>
      <c r="K8" s="9"/>
    </row>
    <row r="9" spans="2:15">
      <c r="B9" s="22" t="str">
        <v>Bonds</v>
      </c>
      <c r="C9" s="7">
        <v>0.9</v>
      </c>
      <c r="D9" s="7">
        <v>1</v>
      </c>
      <c r="E9" s="7">
        <v>0.4</v>
      </c>
      <c r="F9" s="8"/>
      <c r="G9" s="22" t="str">
        <v>Bonds</v>
      </c>
      <c r="H9" s="8">
        <v>0.9</v>
      </c>
      <c r="I9" s="8">
        <v>1</v>
      </c>
      <c r="J9" s="8">
        <v>0.4000000000000003</v>
      </c>
      <c r="K9" s="9"/>
    </row>
    <row r="10" spans="2:15">
      <c r="B10" s="22" t="str">
        <v>Stocks</v>
      </c>
      <c r="C10" s="7">
        <v>0.7</v>
      </c>
      <c r="D10" s="7">
        <v>0.4</v>
      </c>
      <c r="E10" s="7">
        <v>1</v>
      </c>
      <c r="F10" s="8"/>
      <c r="G10" s="22" t="str">
        <v>Stocks</v>
      </c>
      <c r="H10" s="8">
        <v>0.70000000000000007</v>
      </c>
      <c r="I10" s="8">
        <v>0.4000000000000003</v>
      </c>
      <c r="J10" s="8">
        <v>0.99999999999999978</v>
      </c>
      <c r="K10" s="9"/>
    </row>
    <row r="12" spans="2:15" s="6" customFormat="1">
      <c r="C12" s="6" t="s">
        <v>7</v>
      </c>
      <c r="H12" s="6" t="s">
        <v>12</v>
      </c>
    </row>
    <row r="13" spans="2:15">
      <c r="B13" s="10"/>
      <c r="C13" s="7">
        <f t="array" ref="C13:E15">CholeskyDecomp(corrs)</f>
        <v>1</v>
      </c>
      <c r="D13" s="7">
        <v>0</v>
      </c>
      <c r="E13" s="7">
        <v>0</v>
      </c>
      <c r="H13" s="7">
        <f t="array" ref="H13:J15">CholeskyDecomp(adjcorrs)</f>
        <v>1</v>
      </c>
      <c r="I13" s="7">
        <v>0</v>
      </c>
      <c r="J13" s="7">
        <v>0</v>
      </c>
    </row>
    <row r="14" spans="2:15">
      <c r="B14" s="10"/>
      <c r="C14" s="7">
        <v>0.9</v>
      </c>
      <c r="D14" s="7">
        <v>0.43588989435406728</v>
      </c>
      <c r="E14" s="7">
        <v>0</v>
      </c>
      <c r="H14" s="7">
        <v>0.9</v>
      </c>
      <c r="I14" s="7">
        <v>0.43588989435406728</v>
      </c>
      <c r="J14" s="7">
        <v>0</v>
      </c>
    </row>
    <row r="15" spans="2:15">
      <c r="B15" s="11"/>
      <c r="C15" s="7">
        <v>0.7</v>
      </c>
      <c r="D15" s="7">
        <v>-0.52765618790229207</v>
      </c>
      <c r="E15" s="7">
        <v>0.48122650318578786</v>
      </c>
      <c r="H15" s="7">
        <v>0.70000000000000007</v>
      </c>
      <c r="I15" s="7">
        <v>-0.52765618790229174</v>
      </c>
      <c r="J15" s="7">
        <v>0.48122650318578808</v>
      </c>
    </row>
    <row r="16" spans="2:15">
      <c r="C16" s="8"/>
      <c r="D16" s="8"/>
      <c r="E16" s="8"/>
      <c r="H16" s="8"/>
      <c r="I16" s="8"/>
      <c r="J16" s="8"/>
      <c r="M16" s="12">
        <v>1</v>
      </c>
      <c r="N16" s="12">
        <v>2</v>
      </c>
      <c r="O16" s="12">
        <v>3</v>
      </c>
    </row>
    <row r="17" spans="2:17">
      <c r="C17" s="6" t="s">
        <v>14</v>
      </c>
      <c r="H17" s="13" t="s">
        <v>15</v>
      </c>
      <c r="I17" s="14"/>
      <c r="J17" s="14"/>
      <c r="L17" s="6"/>
      <c r="M17" s="6" t="s">
        <v>10</v>
      </c>
      <c r="N17" s="6"/>
      <c r="O17" s="6"/>
      <c r="P17" s="6"/>
    </row>
    <row r="18" spans="2:17">
      <c r="B18" s="1"/>
      <c r="C18" s="22">
        <v>1</v>
      </c>
      <c r="D18" s="22">
        <v>2</v>
      </c>
      <c r="E18" s="22">
        <v>3</v>
      </c>
      <c r="F18" s="12"/>
      <c r="G18" s="1"/>
      <c r="H18" s="22">
        <v>1</v>
      </c>
      <c r="I18" s="22">
        <v>2</v>
      </c>
      <c r="J18" s="22">
        <v>3</v>
      </c>
      <c r="L18" s="1"/>
      <c r="M18" s="22" t="str">
        <f t="array" ref="M18:O18">assetnames</f>
        <v>Cash</v>
      </c>
      <c r="N18" s="22" t="str">
        <v>Bonds</v>
      </c>
      <c r="O18" s="22" t="str">
        <v>Stocks</v>
      </c>
    </row>
    <row r="19" spans="2:17">
      <c r="B19" s="22">
        <v>1</v>
      </c>
      <c r="C19" s="7">
        <f t="shared" ref="C19:E21" ca="1" si="0">CORREL(INDEX(rands,,C$18),INDEX(rands,,$K19))</f>
        <v>1.0000000000000002</v>
      </c>
      <c r="D19" s="7">
        <f t="shared" ca="1" si="0"/>
        <v>-8.195855437433823E-2</v>
      </c>
      <c r="E19" s="7">
        <f t="shared" ca="1" si="0"/>
        <v>-0.11755399481784722</v>
      </c>
      <c r="F19" s="8"/>
      <c r="G19" s="22">
        <v>1</v>
      </c>
      <c r="H19" s="7">
        <f t="shared" ref="H19:J21" ca="1" si="1">CORREL(INDEX(randscorrel,,H$18),INDEX(randscorrel,,$K19))</f>
        <v>1.0000000000000002</v>
      </c>
      <c r="I19" s="7">
        <f t="shared" ca="1" si="1"/>
        <v>0.88546537436545858</v>
      </c>
      <c r="J19" s="7">
        <f t="shared" ca="1" si="1"/>
        <v>0.67549464678516857</v>
      </c>
      <c r="K19" s="15">
        <v>1</v>
      </c>
      <c r="L19" s="22" t="str">
        <f t="array" ref="L19:L21">TRANSPOSE(assetnames)</f>
        <v>Cash</v>
      </c>
      <c r="M19" s="7">
        <f t="shared" ref="M19:O21" ca="1" si="2">CORREL(INDEX(simreturns,,M$16),INDEX(simreturns,,$K19))</f>
        <v>1.0000000000000002</v>
      </c>
      <c r="N19" s="7">
        <f t="shared" ca="1" si="2"/>
        <v>0.88546537436545791</v>
      </c>
      <c r="O19" s="7">
        <f t="shared" ca="1" si="2"/>
        <v>0.67549464678516824</v>
      </c>
    </row>
    <row r="20" spans="2:17">
      <c r="B20" s="22">
        <v>2</v>
      </c>
      <c r="C20" s="7">
        <f t="shared" ca="1" si="0"/>
        <v>-8.195855437433823E-2</v>
      </c>
      <c r="D20" s="7">
        <f t="shared" ca="1" si="0"/>
        <v>0.99999999999999989</v>
      </c>
      <c r="E20" s="7">
        <f t="shared" ca="1" si="0"/>
        <v>3.2549043583110795E-2</v>
      </c>
      <c r="F20" s="8"/>
      <c r="G20" s="22">
        <v>2</v>
      </c>
      <c r="H20" s="7">
        <f t="shared" ca="1" si="1"/>
        <v>0.88546537436545858</v>
      </c>
      <c r="I20" s="7">
        <f t="shared" ca="1" si="1"/>
        <v>1</v>
      </c>
      <c r="J20" s="7">
        <f t="shared" ca="1" si="1"/>
        <v>0.35195877034670575</v>
      </c>
      <c r="K20" s="15">
        <v>2</v>
      </c>
      <c r="L20" s="22" t="str">
        <v>Bonds</v>
      </c>
      <c r="M20" s="7">
        <f t="shared" ca="1" si="2"/>
        <v>0.88546537436545791</v>
      </c>
      <c r="N20" s="7">
        <f t="shared" ca="1" si="2"/>
        <v>1.0000000000000002</v>
      </c>
      <c r="O20" s="7">
        <f t="shared" ca="1" si="2"/>
        <v>0.35195877034670575</v>
      </c>
    </row>
    <row r="21" spans="2:17">
      <c r="B21" s="22">
        <v>3</v>
      </c>
      <c r="C21" s="7">
        <f t="shared" ca="1" si="0"/>
        <v>-0.11755399481784722</v>
      </c>
      <c r="D21" s="7">
        <f t="shared" ca="1" si="0"/>
        <v>3.2549043583110795E-2</v>
      </c>
      <c r="E21" s="7">
        <f t="shared" ca="1" si="0"/>
        <v>1</v>
      </c>
      <c r="F21" s="8"/>
      <c r="G21" s="22">
        <v>3</v>
      </c>
      <c r="H21" s="7">
        <f t="shared" ca="1" si="1"/>
        <v>0.67549464678516857</v>
      </c>
      <c r="I21" s="7">
        <f t="shared" ca="1" si="1"/>
        <v>0.35195877034670575</v>
      </c>
      <c r="J21" s="7">
        <f t="shared" ca="1" si="1"/>
        <v>1.0000000000000002</v>
      </c>
      <c r="K21" s="15">
        <v>3</v>
      </c>
      <c r="L21" s="22" t="str">
        <v>Stocks</v>
      </c>
      <c r="M21" s="7">
        <f t="shared" ca="1" si="2"/>
        <v>0.67549464678516824</v>
      </c>
      <c r="N21" s="7">
        <f t="shared" ca="1" si="2"/>
        <v>0.35195877034670575</v>
      </c>
      <c r="O21" s="7">
        <f t="shared" ca="1" si="2"/>
        <v>1</v>
      </c>
    </row>
    <row r="22" spans="2:17">
      <c r="B22" s="23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</row>
    <row r="23" spans="2:17">
      <c r="C23" s="22">
        <v>1</v>
      </c>
      <c r="D23" s="22">
        <v>2</v>
      </c>
      <c r="E23" s="22">
        <v>3</v>
      </c>
      <c r="F23" s="12"/>
      <c r="G23" s="12"/>
      <c r="H23" s="22">
        <v>1</v>
      </c>
      <c r="I23" s="22">
        <v>2</v>
      </c>
      <c r="J23" s="22">
        <v>3</v>
      </c>
      <c r="M23" s="22" t="str">
        <f t="array" ref="M23:O23">assetnames</f>
        <v>Cash</v>
      </c>
      <c r="N23" s="22" t="str">
        <v>Bonds</v>
      </c>
      <c r="O23" s="22" t="str">
        <v>Stocks</v>
      </c>
    </row>
    <row r="24" spans="2:17">
      <c r="B24" s="3" t="s">
        <v>4</v>
      </c>
      <c r="C24" s="16">
        <f ca="1">AVERAGE(C28:C127)</f>
        <v>-3.1635293730311147E-2</v>
      </c>
      <c r="D24" s="16">
        <f ca="1">AVERAGE(D28:D127)</f>
        <v>8.6760122417980957E-3</v>
      </c>
      <c r="E24" s="16">
        <f ca="1">AVERAGE(E28:E127)</f>
        <v>-3.2609981377204507E-2</v>
      </c>
      <c r="F24" s="17"/>
      <c r="G24" s="3" t="s">
        <v>4</v>
      </c>
      <c r="H24" s="16">
        <f ca="1">AVERAGE(H28:H127)</f>
        <v>-3.1635293730311147E-2</v>
      </c>
      <c r="I24" s="16">
        <f ca="1">AVERAGE(I28:I127)</f>
        <v>-2.4689978297788087E-2</v>
      </c>
      <c r="J24" s="16">
        <f ca="1">AVERAGE(J28:J127)</f>
        <v>-4.2415444464024378E-2</v>
      </c>
      <c r="K24" s="17"/>
      <c r="L24" s="3" t="s">
        <v>4</v>
      </c>
      <c r="M24" s="18">
        <f ca="1">AVERAGE(M28:M127)</f>
        <v>1.9683647062696884E-2</v>
      </c>
      <c r="N24" s="18">
        <f ca="1">AVERAGE(N28:N127)</f>
        <v>2.901240086808847E-2</v>
      </c>
      <c r="O24" s="18">
        <f ca="1">AVERAGE(O28:O127)</f>
        <v>8.363768333039634E-2</v>
      </c>
    </row>
    <row r="25" spans="2:17">
      <c r="B25" s="3" t="s">
        <v>5</v>
      </c>
      <c r="C25" s="16">
        <f ca="1">STDEV(C28:C127)</f>
        <v>0.93128286526083492</v>
      </c>
      <c r="D25" s="16">
        <f ca="1">STDEV(D28:D127)</f>
        <v>0.97065916897892501</v>
      </c>
      <c r="E25" s="16">
        <f ca="1">STDEV(E28:E127)</f>
        <v>1.0118404670104573</v>
      </c>
      <c r="F25" s="17"/>
      <c r="G25" s="3" t="s">
        <v>5</v>
      </c>
      <c r="H25" s="16">
        <f ca="1">STDEV(H28:H127)</f>
        <v>0.93128286526083492</v>
      </c>
      <c r="I25" s="16">
        <f ca="1">STDEV(I28:I127)</f>
        <v>0.90740744337018842</v>
      </c>
      <c r="J25" s="16">
        <f ca="1">STDEV(J28:J127)</f>
        <v>0.94247254374319667</v>
      </c>
      <c r="K25" s="17"/>
      <c r="L25" s="3" t="s">
        <v>5</v>
      </c>
      <c r="M25" s="18">
        <f ca="1">STDEV(M28:M127)</f>
        <v>9.3128286526083532E-3</v>
      </c>
      <c r="N25" s="18">
        <f ca="1">STDEV(N28:N127)</f>
        <v>3.6296297734807553E-2</v>
      </c>
      <c r="O25" s="18">
        <f ca="1">STDEV(O28:O127)</f>
        <v>0.14137088156147948</v>
      </c>
    </row>
    <row r="27" spans="2:17" s="6" customFormat="1">
      <c r="C27" s="6" t="s">
        <v>8</v>
      </c>
      <c r="H27" s="6" t="s">
        <v>13</v>
      </c>
      <c r="M27" s="6" t="s">
        <v>9</v>
      </c>
    </row>
    <row r="28" spans="2:17">
      <c r="B28" s="12">
        <v>1</v>
      </c>
      <c r="C28" s="19">
        <f ca="1">NORMSINV(RAND())</f>
        <v>-1.321189462422887</v>
      </c>
      <c r="D28" s="19">
        <f t="shared" ref="D28:E43" ca="1" si="3">NORMSINV(RAND())</f>
        <v>1.131983168837785</v>
      </c>
      <c r="E28" s="19">
        <f t="shared" ca="1" si="3"/>
        <v>0.57971332290168265</v>
      </c>
      <c r="F28" s="20"/>
      <c r="H28" s="19">
        <f t="array" aca="1" ref="H28:J28" ca="1">TRANSPOSE(MMULT(adjchol,TRANSPOSE(C28:E28)))</f>
        <v>-1.321189462422887</v>
      </c>
      <c r="I28" s="19">
        <f ca="1"/>
        <v>-0.69565049230531395</v>
      </c>
      <c r="J28" s="19">
        <f ca="1"/>
        <v>-1.2431571321043327</v>
      </c>
      <c r="K28" s="20"/>
      <c r="M28" s="21">
        <f t="shared" ref="M28:M91" ca="1" si="4">C$3+H28*C$4</f>
        <v>6.7881053757711304E-3</v>
      </c>
      <c r="N28" s="21">
        <f t="shared" ref="N28:N91" ca="1" si="5">D$3+I28*D$4</f>
        <v>2.1739803077874403E-3</v>
      </c>
      <c r="O28" s="21">
        <f t="shared" ref="O28:O91" ca="1" si="6">E$3+J28*E$4</f>
        <v>-9.647356981564989E-2</v>
      </c>
    </row>
    <row r="29" spans="2:17">
      <c r="B29" s="12">
        <v>2</v>
      </c>
      <c r="C29" s="19">
        <f t="shared" ref="C29:E92" ca="1" si="7">NORMSINV(RAND())</f>
        <v>2.1112223348003601E-2</v>
      </c>
      <c r="D29" s="19">
        <f t="shared" ca="1" si="3"/>
        <v>-0.29083354661932631</v>
      </c>
      <c r="E29" s="19">
        <f t="shared" ca="1" si="3"/>
        <v>6.1177140993633E-2</v>
      </c>
      <c r="F29" s="20"/>
      <c r="H29" s="19">
        <f t="array" aca="1" ref="H29:J29" ca="1">TRANSPOSE(MMULT(adjchol,TRANSPOSE(C29:E29)))</f>
        <v>2.1112223348003601E-2</v>
      </c>
      <c r="I29" s="19">
        <f ca="1"/>
        <v>-0.1077704028973136</v>
      </c>
      <c r="J29" s="19">
        <f ca="1"/>
        <v>0.19767873850212964</v>
      </c>
      <c r="K29" s="20"/>
      <c r="M29" s="21">
        <f t="shared" ca="1" si="4"/>
        <v>2.0211122233480035E-2</v>
      </c>
      <c r="N29" s="21">
        <f t="shared" ca="1" si="5"/>
        <v>2.5689183884107455E-2</v>
      </c>
      <c r="O29" s="21">
        <f t="shared" ca="1" si="6"/>
        <v>0.11965181077531944</v>
      </c>
    </row>
    <row r="30" spans="2:17">
      <c r="B30" s="12">
        <v>3</v>
      </c>
      <c r="C30" s="19">
        <f t="shared" ca="1" si="7"/>
        <v>-0.49235236768778562</v>
      </c>
      <c r="D30" s="19">
        <f t="shared" ca="1" si="3"/>
        <v>0.90827599240059842</v>
      </c>
      <c r="E30" s="19">
        <f t="shared" ca="1" si="3"/>
        <v>1.1332585777827071</v>
      </c>
      <c r="F30" s="20"/>
      <c r="H30" s="19">
        <f t="array" aca="1" ref="H30:J30" ca="1">TRANSPOSE(MMULT(adjchol,TRANSPOSE(C30:E30)))</f>
        <v>-0.49235236768778562</v>
      </c>
      <c r="I30" s="19">
        <f ca="1"/>
        <v>-4.7208804547174632E-2</v>
      </c>
      <c r="J30" s="19">
        <f ca="1"/>
        <v>-0.27855004250304916</v>
      </c>
      <c r="K30" s="20"/>
      <c r="M30" s="21">
        <f t="shared" ca="1" si="4"/>
        <v>1.5076476323122144E-2</v>
      </c>
      <c r="N30" s="21">
        <f t="shared" ca="1" si="5"/>
        <v>2.8111647818113015E-2</v>
      </c>
      <c r="O30" s="21">
        <f t="shared" ca="1" si="6"/>
        <v>4.8217493624542626E-2</v>
      </c>
    </row>
    <row r="31" spans="2:17">
      <c r="B31" s="12">
        <v>4</v>
      </c>
      <c r="C31" s="19">
        <f t="shared" ca="1" si="7"/>
        <v>0.60648964773210257</v>
      </c>
      <c r="D31" s="19">
        <f t="shared" ca="1" si="3"/>
        <v>-1.241517538691419</v>
      </c>
      <c r="E31" s="19">
        <f t="shared" ca="1" si="3"/>
        <v>-1.3489503912366263</v>
      </c>
      <c r="F31" s="20"/>
      <c r="H31" s="19">
        <f t="array" aca="1" ref="H31:J31" ca="1">TRANSPOSE(MMULT(adjchol,TRANSPOSE(C31:E31)))</f>
        <v>0.60648964773210257</v>
      </c>
      <c r="I31" s="19">
        <f ca="1"/>
        <v>4.6757341799680274E-3</v>
      </c>
      <c r="J31" s="19">
        <f ca="1"/>
        <v>0.43048648534631961</v>
      </c>
      <c r="K31" s="20"/>
      <c r="M31" s="21">
        <f t="shared" ca="1" si="4"/>
        <v>2.6064896477321027E-2</v>
      </c>
      <c r="N31" s="21">
        <f t="shared" ca="1" si="5"/>
        <v>3.018702936719872E-2</v>
      </c>
      <c r="O31" s="21">
        <f t="shared" ca="1" si="6"/>
        <v>0.15457297280194793</v>
      </c>
    </row>
    <row r="32" spans="2:17">
      <c r="B32" s="12">
        <v>5</v>
      </c>
      <c r="C32" s="19">
        <f t="shared" ca="1" si="7"/>
        <v>1.2910638754467296</v>
      </c>
      <c r="D32" s="19">
        <f t="shared" ca="1" si="3"/>
        <v>-0.42973667924609449</v>
      </c>
      <c r="E32" s="19">
        <f t="shared" ca="1" si="3"/>
        <v>-0.15793401239641613</v>
      </c>
      <c r="F32" s="20"/>
      <c r="H32" s="19">
        <f t="array" aca="1" ref="H32:J32" ca="1">TRANSPOSE(MMULT(adjchol,TRANSPOSE(C32:E32)))</f>
        <v>1.2910638754467296</v>
      </c>
      <c r="I32" s="19">
        <f ca="1"/>
        <v>0.97463961218540884</v>
      </c>
      <c r="J32" s="19">
        <f ca="1"/>
        <v>1.0544958982658668</v>
      </c>
      <c r="K32" s="20"/>
      <c r="M32" s="21">
        <f t="shared" ca="1" si="4"/>
        <v>3.29106387544673E-2</v>
      </c>
      <c r="N32" s="21">
        <f t="shared" ca="1" si="5"/>
        <v>6.8985584487416346E-2</v>
      </c>
      <c r="O32" s="21">
        <f t="shared" ca="1" si="6"/>
        <v>0.24817438473988002</v>
      </c>
    </row>
    <row r="33" spans="2:15">
      <c r="B33" s="12">
        <v>6</v>
      </c>
      <c r="C33" s="19">
        <f t="shared" ca="1" si="7"/>
        <v>-6.4191002708919045E-2</v>
      </c>
      <c r="D33" s="19">
        <f t="shared" ca="1" si="3"/>
        <v>-1.9202617411018998</v>
      </c>
      <c r="E33" s="19">
        <f t="shared" ca="1" si="3"/>
        <v>-0.12212235737358787</v>
      </c>
      <c r="F33" s="20"/>
      <c r="H33" s="19">
        <f t="array" aca="1" ref="H33:J33" ca="1">TRANSPOSE(MMULT(adjchol,TRANSPOSE(C33:E33)))</f>
        <v>-6.4191002708919045E-2</v>
      </c>
      <c r="I33" s="19">
        <f ca="1"/>
        <v>-0.89479458989909155</v>
      </c>
      <c r="J33" s="19">
        <f ca="1"/>
        <v>0.90953577318850576</v>
      </c>
      <c r="K33" s="20"/>
      <c r="M33" s="21">
        <f t="shared" ca="1" si="4"/>
        <v>1.9358089972910809E-2</v>
      </c>
      <c r="N33" s="21">
        <f t="shared" ca="1" si="5"/>
        <v>-5.7917835959636621E-3</v>
      </c>
      <c r="O33" s="21">
        <f t="shared" ca="1" si="6"/>
        <v>0.22643036597827584</v>
      </c>
    </row>
    <row r="34" spans="2:15">
      <c r="B34" s="12">
        <v>7</v>
      </c>
      <c r="C34" s="19">
        <f t="shared" ca="1" si="7"/>
        <v>-1.7022439815323698</v>
      </c>
      <c r="D34" s="19">
        <f t="shared" ca="1" si="3"/>
        <v>-0.60584661291779074</v>
      </c>
      <c r="E34" s="19">
        <f t="shared" ca="1" si="3"/>
        <v>-1.4576394658494509</v>
      </c>
      <c r="F34" s="20"/>
      <c r="H34" s="19">
        <f t="array" aca="1" ref="H34:J34" ca="1">TRANSPOSE(MMULT(adjchol,TRANSPOSE(C34:E34)))</f>
        <v>-1.7022439815323698</v>
      </c>
      <c r="I34" s="19">
        <f ca="1"/>
        <v>-1.796101999478638</v>
      </c>
      <c r="J34" s="19">
        <f ca="1"/>
        <v>-1.5733468159032735</v>
      </c>
      <c r="K34" s="20"/>
      <c r="M34" s="21">
        <f t="shared" ca="1" si="4"/>
        <v>2.9775601846763027E-3</v>
      </c>
      <c r="N34" s="21">
        <f t="shared" ca="1" si="5"/>
        <v>-4.1844079979145521E-2</v>
      </c>
      <c r="O34" s="21">
        <f t="shared" ca="1" si="6"/>
        <v>-0.14600202238549101</v>
      </c>
    </row>
    <row r="35" spans="2:15">
      <c r="B35" s="12">
        <v>8</v>
      </c>
      <c r="C35" s="19">
        <f t="shared" ca="1" si="7"/>
        <v>1.1285063796087931</v>
      </c>
      <c r="D35" s="19">
        <f t="shared" ca="1" si="3"/>
        <v>-1.4205130372686479</v>
      </c>
      <c r="E35" s="19">
        <f t="shared" ca="1" si="3"/>
        <v>0.67493581930524793</v>
      </c>
      <c r="F35" s="20"/>
      <c r="H35" s="19">
        <f t="array" aca="1" ref="H35:J35" ca="1">TRANSPOSE(MMULT(adjchol,TRANSPOSE(C35:E35)))</f>
        <v>1.1285063796087931</v>
      </c>
      <c r="I35" s="19">
        <f ca="1"/>
        <v>0.39646846390430757</v>
      </c>
      <c r="J35" s="19">
        <f ca="1"/>
        <v>1.8642939640359355</v>
      </c>
      <c r="K35" s="20"/>
      <c r="M35" s="21">
        <f t="shared" ca="1" si="4"/>
        <v>3.1285063796087934E-2</v>
      </c>
      <c r="N35" s="21">
        <f t="shared" ca="1" si="5"/>
        <v>4.5858738556172299E-2</v>
      </c>
      <c r="O35" s="21">
        <f t="shared" ca="1" si="6"/>
        <v>0.36964409460539027</v>
      </c>
    </row>
    <row r="36" spans="2:15">
      <c r="B36" s="12">
        <v>9</v>
      </c>
      <c r="C36" s="19">
        <f t="shared" ca="1" si="7"/>
        <v>0.85918676379113945</v>
      </c>
      <c r="D36" s="19">
        <f t="shared" ca="1" si="3"/>
        <v>-2.0782214618856467</v>
      </c>
      <c r="E36" s="19">
        <f t="shared" ca="1" si="3"/>
        <v>0.99370509192988288</v>
      </c>
      <c r="F36" s="20"/>
      <c r="H36" s="19">
        <f t="array" aca="1" ref="H36:J36" ca="1">TRANSPOSE(MMULT(adjchol,TRANSPOSE(C36:E36)))</f>
        <v>0.85918676379113945</v>
      </c>
      <c r="I36" s="19">
        <f ca="1"/>
        <v>-0.13260764605366426</v>
      </c>
      <c r="J36" s="19">
        <f ca="1"/>
        <v>2.1762143754364356</v>
      </c>
      <c r="K36" s="20"/>
      <c r="M36" s="21">
        <f t="shared" ca="1" si="4"/>
        <v>2.8591867637911397E-2</v>
      </c>
      <c r="N36" s="21">
        <f t="shared" ca="1" si="5"/>
        <v>2.4695694157853429E-2</v>
      </c>
      <c r="O36" s="21">
        <f t="shared" ca="1" si="6"/>
        <v>0.41643215631546537</v>
      </c>
    </row>
    <row r="37" spans="2:15">
      <c r="B37" s="12">
        <v>10</v>
      </c>
      <c r="C37" s="19">
        <f t="shared" ca="1" si="7"/>
        <v>0.38099331278171439</v>
      </c>
      <c r="D37" s="19">
        <f t="shared" ca="1" si="3"/>
        <v>0.53814708121233501</v>
      </c>
      <c r="E37" s="19">
        <f t="shared" ca="1" si="3"/>
        <v>2.217939124605711</v>
      </c>
      <c r="F37" s="20"/>
      <c r="H37" s="19">
        <f t="array" aca="1" ref="H37:J37" ca="1">TRANSPOSE(MMULT(adjchol,TRANSPOSE(C37:E37)))</f>
        <v>0.38099331278171439</v>
      </c>
      <c r="I37" s="19">
        <f ca="1"/>
        <v>0.57746685588013735</v>
      </c>
      <c r="J37" s="19">
        <f ca="1"/>
        <v>1.0500697707569087</v>
      </c>
      <c r="K37" s="20"/>
      <c r="M37" s="21">
        <f t="shared" ca="1" si="4"/>
        <v>2.3809933127817144E-2</v>
      </c>
      <c r="N37" s="21">
        <f t="shared" ca="1" si="5"/>
        <v>5.3098674235205492E-2</v>
      </c>
      <c r="O37" s="21">
        <f t="shared" ca="1" si="6"/>
        <v>0.24751046561353629</v>
      </c>
    </row>
    <row r="38" spans="2:15">
      <c r="B38" s="12">
        <v>11</v>
      </c>
      <c r="C38" s="19">
        <f t="shared" ca="1" si="7"/>
        <v>0.70520400695222452</v>
      </c>
      <c r="D38" s="19">
        <f t="shared" ca="1" si="3"/>
        <v>-1.5572140226650775</v>
      </c>
      <c r="E38" s="19">
        <f t="shared" ca="1" si="3"/>
        <v>-0.34728202350516502</v>
      </c>
      <c r="F38" s="20"/>
      <c r="H38" s="19">
        <f t="array" aca="1" ref="H38:J38" ca="1">TRANSPOSE(MMULT(adjchol,TRANSPOSE(C38:E38)))</f>
        <v>0.70520400695222452</v>
      </c>
      <c r="I38" s="19">
        <f ca="1"/>
        <v>-4.4090249569150752E-2</v>
      </c>
      <c r="J38" s="19">
        <f ca="1"/>
        <v>1.1481951060233297</v>
      </c>
      <c r="K38" s="20"/>
      <c r="M38" s="21">
        <f t="shared" ca="1" si="4"/>
        <v>2.7052040069522245E-2</v>
      </c>
      <c r="N38" s="21">
        <f t="shared" ca="1" si="5"/>
        <v>2.8236390017233968E-2</v>
      </c>
      <c r="O38" s="21">
        <f t="shared" ca="1" si="6"/>
        <v>0.26222926590349949</v>
      </c>
    </row>
    <row r="39" spans="2:15">
      <c r="B39" s="12">
        <v>12</v>
      </c>
      <c r="C39" s="19">
        <f t="shared" ca="1" si="7"/>
        <v>0.95496298574549388</v>
      </c>
      <c r="D39" s="19">
        <f t="shared" ca="1" si="3"/>
        <v>0.77706276397186447</v>
      </c>
      <c r="E39" s="19">
        <f t="shared" ca="1" si="3"/>
        <v>1.3209324015518671</v>
      </c>
      <c r="F39" s="20"/>
      <c r="H39" s="19">
        <f t="array" aca="1" ref="H39:J39" ca="1">TRANSPOSE(MMULT(adjchol,TRANSPOSE(C39:E39)))</f>
        <v>0.95496298574549388</v>
      </c>
      <c r="I39" s="19">
        <f ca="1"/>
        <v>1.1981804932651201</v>
      </c>
      <c r="J39" s="19">
        <f ca="1"/>
        <v>0.89411979476724368</v>
      </c>
      <c r="K39" s="20"/>
      <c r="M39" s="21">
        <f t="shared" ca="1" si="4"/>
        <v>2.9549629857454941E-2</v>
      </c>
      <c r="N39" s="21">
        <f t="shared" ca="1" si="5"/>
        <v>7.7927219730604805E-2</v>
      </c>
      <c r="O39" s="21">
        <f t="shared" ca="1" si="6"/>
        <v>0.22411796921508653</v>
      </c>
    </row>
    <row r="40" spans="2:15">
      <c r="B40" s="12">
        <v>13</v>
      </c>
      <c r="C40" s="19">
        <f t="shared" ca="1" si="7"/>
        <v>-0.50130212404610974</v>
      </c>
      <c r="D40" s="19">
        <f t="shared" ca="1" si="3"/>
        <v>-1.148057909642205</v>
      </c>
      <c r="E40" s="19">
        <f t="shared" ca="1" si="3"/>
        <v>0.20614631162606098</v>
      </c>
      <c r="F40" s="20"/>
      <c r="H40" s="19">
        <f t="array" aca="1" ref="H40:J40" ca="1">TRANSPOSE(MMULT(adjchol,TRANSPOSE(C40:E40)))</f>
        <v>-0.50130212404610974</v>
      </c>
      <c r="I40" s="19">
        <f ca="1"/>
        <v>-0.95159875258779092</v>
      </c>
      <c r="J40" s="19">
        <f ca="1"/>
        <v>0.35407144194905982</v>
      </c>
      <c r="K40" s="20"/>
      <c r="M40" s="21">
        <f t="shared" ca="1" si="4"/>
        <v>1.4986978759538902E-2</v>
      </c>
      <c r="N40" s="21">
        <f t="shared" ca="1" si="5"/>
        <v>-8.063950103511637E-3</v>
      </c>
      <c r="O40" s="21">
        <f t="shared" ca="1" si="6"/>
        <v>0.14311071629235897</v>
      </c>
    </row>
    <row r="41" spans="2:15">
      <c r="B41" s="12">
        <v>14</v>
      </c>
      <c r="C41" s="19">
        <f t="shared" ca="1" si="7"/>
        <v>-0.12471518758146358</v>
      </c>
      <c r="D41" s="19">
        <f t="shared" ca="1" si="3"/>
        <v>5.511592660702864E-3</v>
      </c>
      <c r="E41" s="19">
        <f t="shared" ca="1" si="3"/>
        <v>-1.217233526070538</v>
      </c>
      <c r="F41" s="20"/>
      <c r="H41" s="19">
        <f t="array" aca="1" ref="H41:J41" ca="1">TRANSPOSE(MMULT(adjchol,TRANSPOSE(C41:E41)))</f>
        <v>-0.12471518758146358</v>
      </c>
      <c r="I41" s="19">
        <f ca="1"/>
        <v>-0.1098412212807208</v>
      </c>
      <c r="J41" s="19">
        <f ca="1"/>
        <v>-0.67597389059107305</v>
      </c>
      <c r="K41" s="20"/>
      <c r="M41" s="21">
        <f t="shared" ca="1" si="4"/>
        <v>1.8752848124185366E-2</v>
      </c>
      <c r="N41" s="21">
        <f t="shared" ca="1" si="5"/>
        <v>2.5606351148771168E-2</v>
      </c>
      <c r="O41" s="21">
        <f t="shared" ca="1" si="6"/>
        <v>-1.1396083588660955E-2</v>
      </c>
    </row>
    <row r="42" spans="2:15">
      <c r="B42" s="12">
        <v>15</v>
      </c>
      <c r="C42" s="19">
        <f t="shared" ca="1" si="7"/>
        <v>-1.2167866920551647</v>
      </c>
      <c r="D42" s="19">
        <f t="shared" ca="1" si="3"/>
        <v>0.74430425657302635</v>
      </c>
      <c r="E42" s="19">
        <f t="shared" ca="1" si="3"/>
        <v>-1.5050370364480155</v>
      </c>
      <c r="F42" s="20"/>
      <c r="H42" s="19">
        <f t="array" aca="1" ref="H42:J42" ca="1">TRANSPOSE(MMULT(adjchol,TRANSPOSE(C42:E42)))</f>
        <v>-1.2167866920551647</v>
      </c>
      <c r="I42" s="19">
        <f ca="1"/>
        <v>-0.77067331908474912</v>
      </c>
      <c r="J42" s="19">
        <f ca="1"/>
        <v>-1.9687511413163676</v>
      </c>
      <c r="K42" s="20"/>
      <c r="M42" s="21">
        <f t="shared" ca="1" si="4"/>
        <v>7.8321330794483539E-3</v>
      </c>
      <c r="N42" s="21">
        <f t="shared" ca="1" si="5"/>
        <v>-8.2693276338996827E-4</v>
      </c>
      <c r="O42" s="21">
        <f t="shared" ca="1" si="6"/>
        <v>-0.20531267119745514</v>
      </c>
    </row>
    <row r="43" spans="2:15">
      <c r="B43" s="12">
        <v>16</v>
      </c>
      <c r="C43" s="19">
        <f t="shared" ca="1" si="7"/>
        <v>0.37886924515887976</v>
      </c>
      <c r="D43" s="19">
        <f t="shared" ca="1" si="3"/>
        <v>-0.30965639643392756</v>
      </c>
      <c r="E43" s="19">
        <f t="shared" ca="1" si="3"/>
        <v>-0.62639960179664433</v>
      </c>
      <c r="F43" s="20"/>
      <c r="H43" s="19">
        <f t="array" aca="1" ref="H43:J43" ca="1">TRANSPOSE(MMULT(adjchol,TRANSPOSE(C43:E43)))</f>
        <v>0.37886924515887976</v>
      </c>
      <c r="I43" s="19">
        <f ca="1"/>
        <v>0.20600622671534591</v>
      </c>
      <c r="J43" s="19">
        <f ca="1"/>
        <v>0.12716049534353363</v>
      </c>
      <c r="K43" s="20"/>
      <c r="M43" s="21">
        <f t="shared" ca="1" si="4"/>
        <v>2.3788692451588798E-2</v>
      </c>
      <c r="N43" s="21">
        <f t="shared" ca="1" si="5"/>
        <v>3.8240249068613834E-2</v>
      </c>
      <c r="O43" s="21">
        <f t="shared" ca="1" si="6"/>
        <v>0.10907407430153004</v>
      </c>
    </row>
    <row r="44" spans="2:15">
      <c r="B44" s="12">
        <v>17</v>
      </c>
      <c r="C44" s="19">
        <f t="shared" ca="1" si="7"/>
        <v>-0.58518901047979144</v>
      </c>
      <c r="D44" s="19">
        <f t="shared" ca="1" si="7"/>
        <v>0.3168071890376864</v>
      </c>
      <c r="E44" s="19">
        <f t="shared" ca="1" si="7"/>
        <v>-0.83505549359519782</v>
      </c>
      <c r="F44" s="20"/>
      <c r="H44" s="19">
        <f t="array" aca="1" ref="H44:J44" ca="1">TRANSPOSE(MMULT(adjchol,TRANSPOSE(C44:E44)))</f>
        <v>-0.58518901047979144</v>
      </c>
      <c r="I44" s="19">
        <f ca="1"/>
        <v>-0.38857705727156622</v>
      </c>
      <c r="J44" s="19">
        <f ca="1"/>
        <v>-0.97864841615241971</v>
      </c>
      <c r="K44" s="20"/>
      <c r="M44" s="21">
        <f t="shared" ca="1" si="4"/>
        <v>1.4148109895202085E-2</v>
      </c>
      <c r="N44" s="21">
        <f t="shared" ca="1" si="5"/>
        <v>1.4456917709137349E-2</v>
      </c>
      <c r="O44" s="21">
        <f t="shared" ca="1" si="6"/>
        <v>-5.6797262422862954E-2</v>
      </c>
    </row>
    <row r="45" spans="2:15">
      <c r="B45" s="12">
        <v>18</v>
      </c>
      <c r="C45" s="19">
        <f t="shared" ca="1" si="7"/>
        <v>1.153798132385579</v>
      </c>
      <c r="D45" s="19">
        <f t="shared" ca="1" si="7"/>
        <v>-0.55048406473132039</v>
      </c>
      <c r="E45" s="19">
        <f t="shared" ca="1" si="7"/>
        <v>8.6423426309252732E-2</v>
      </c>
      <c r="F45" s="20"/>
      <c r="H45" s="19">
        <f t="array" aca="1" ref="H45:J45" ca="1">TRANSPOSE(MMULT(adjchol,TRANSPOSE(C45:E45)))</f>
        <v>1.153798132385579</v>
      </c>
      <c r="I45" s="19">
        <f ca="1"/>
        <v>0.79846787832768829</v>
      </c>
      <c r="J45" s="19">
        <f ca="1"/>
        <v>1.1397142590031288</v>
      </c>
      <c r="K45" s="20"/>
      <c r="M45" s="21">
        <f t="shared" ca="1" si="4"/>
        <v>3.1537981323855789E-2</v>
      </c>
      <c r="N45" s="21">
        <f t="shared" ca="1" si="5"/>
        <v>6.193871513310753E-2</v>
      </c>
      <c r="O45" s="21">
        <f t="shared" ca="1" si="6"/>
        <v>0.26095713885046934</v>
      </c>
    </row>
    <row r="46" spans="2:15">
      <c r="B46" s="12">
        <v>19</v>
      </c>
      <c r="C46" s="19">
        <f t="shared" ca="1" si="7"/>
        <v>0.34195359835455014</v>
      </c>
      <c r="D46" s="19">
        <f t="shared" ca="1" si="7"/>
        <v>-0.49858412381065659</v>
      </c>
      <c r="E46" s="19">
        <f t="shared" ca="1" si="7"/>
        <v>-1.2041722600664175</v>
      </c>
      <c r="F46" s="20"/>
      <c r="H46" s="19">
        <f t="array" aca="1" ref="H46:J46" ca="1">TRANSPOSE(MMULT(adjchol,TRANSPOSE(C46:E46)))</f>
        <v>0.34195359835455014</v>
      </c>
      <c r="I46" s="19">
        <f ca="1"/>
        <v>9.0430457464652808E-2</v>
      </c>
      <c r="J46" s="19">
        <f ca="1"/>
        <v>-7.7031088978369078E-2</v>
      </c>
      <c r="K46" s="20"/>
      <c r="M46" s="21">
        <f t="shared" ca="1" si="4"/>
        <v>2.34195359835455E-2</v>
      </c>
      <c r="N46" s="21">
        <f t="shared" ca="1" si="5"/>
        <v>3.3617218298586111E-2</v>
      </c>
      <c r="O46" s="21">
        <f t="shared" ca="1" si="6"/>
        <v>7.8445336653244629E-2</v>
      </c>
    </row>
    <row r="47" spans="2:15">
      <c r="B47" s="12">
        <v>20</v>
      </c>
      <c r="C47" s="19">
        <f t="shared" ca="1" si="7"/>
        <v>-0.31420550686325033</v>
      </c>
      <c r="D47" s="19">
        <f t="shared" ca="1" si="7"/>
        <v>-3.3064088906026148E-2</v>
      </c>
      <c r="E47" s="19">
        <f t="shared" ca="1" si="7"/>
        <v>1.5601116462769473</v>
      </c>
      <c r="F47" s="20"/>
      <c r="H47" s="19">
        <f t="array" aca="1" ref="H47:J47" ca="1">TRANSPOSE(MMULT(adjchol,TRANSPOSE(C47:E47)))</f>
        <v>-0.31420550686325033</v>
      </c>
      <c r="I47" s="19">
        <f ca="1"/>
        <v>-0.29719725839708649</v>
      </c>
      <c r="J47" s="19">
        <f ca="1"/>
        <v>0.54826968842161938</v>
      </c>
      <c r="K47" s="20"/>
      <c r="M47" s="21">
        <f t="shared" ca="1" si="4"/>
        <v>1.6857944931367497E-2</v>
      </c>
      <c r="N47" s="21">
        <f t="shared" ca="1" si="5"/>
        <v>1.8112109664116541E-2</v>
      </c>
      <c r="O47" s="21">
        <f t="shared" ca="1" si="6"/>
        <v>0.17224045326324289</v>
      </c>
    </row>
    <row r="48" spans="2:15">
      <c r="B48" s="12">
        <v>21</v>
      </c>
      <c r="C48" s="19">
        <f t="shared" ca="1" si="7"/>
        <v>-0.26218655694360526</v>
      </c>
      <c r="D48" s="19">
        <f t="shared" ca="1" si="7"/>
        <v>-1.8545081542120827</v>
      </c>
      <c r="E48" s="19">
        <f t="shared" ca="1" si="7"/>
        <v>-0.1089100156650117</v>
      </c>
      <c r="F48" s="20"/>
      <c r="H48" s="19">
        <f t="array" aca="1" ref="H48:J48" ca="1">TRANSPOSE(MMULT(adjchol,TRANSPOSE(C48:E48)))</f>
        <v>-0.26218655694360526</v>
      </c>
      <c r="I48" s="19">
        <f ca="1"/>
        <v>-1.0443292646675058</v>
      </c>
      <c r="J48" s="19">
        <f ca="1"/>
        <v>0.74260172722435625</v>
      </c>
      <c r="K48" s="20"/>
      <c r="M48" s="21">
        <f t="shared" ca="1" si="4"/>
        <v>1.7378134430563949E-2</v>
      </c>
      <c r="N48" s="21">
        <f t="shared" ca="1" si="5"/>
        <v>-1.177317058670023E-2</v>
      </c>
      <c r="O48" s="21">
        <f t="shared" ca="1" si="6"/>
        <v>0.20139025908365343</v>
      </c>
    </row>
    <row r="49" spans="2:15">
      <c r="B49" s="12">
        <v>22</v>
      </c>
      <c r="C49" s="19">
        <f t="shared" ca="1" si="7"/>
        <v>-0.12625280851206683</v>
      </c>
      <c r="D49" s="19">
        <f t="shared" ca="1" si="7"/>
        <v>-0.97073659140980095</v>
      </c>
      <c r="E49" s="19">
        <f t="shared" ca="1" si="7"/>
        <v>-0.90531148939448836</v>
      </c>
      <c r="F49" s="20"/>
      <c r="H49" s="19">
        <f t="array" aca="1" ref="H49:J49" ca="1">TRANSPOSE(MMULT(adjchol,TRANSPOSE(C49:E49)))</f>
        <v>-0.12625280851206683</v>
      </c>
      <c r="I49" s="19">
        <f ca="1"/>
        <v>-0.53676179793610568</v>
      </c>
      <c r="J49" s="19">
        <f ca="1"/>
        <v>-1.1821679013113984E-2</v>
      </c>
      <c r="K49" s="20"/>
      <c r="M49" s="21">
        <f t="shared" ca="1" si="4"/>
        <v>1.8737471914879331E-2</v>
      </c>
      <c r="N49" s="21">
        <f t="shared" ca="1" si="5"/>
        <v>8.5295280825557727E-3</v>
      </c>
      <c r="O49" s="21">
        <f t="shared" ca="1" si="6"/>
        <v>8.8226748148032899E-2</v>
      </c>
    </row>
    <row r="50" spans="2:15">
      <c r="B50" s="12">
        <v>23</v>
      </c>
      <c r="C50" s="19">
        <f t="shared" ca="1" si="7"/>
        <v>-0.36805002136482984</v>
      </c>
      <c r="D50" s="19">
        <f t="shared" ca="1" si="7"/>
        <v>-0.46778485234041117</v>
      </c>
      <c r="E50" s="19">
        <f t="shared" ca="1" si="7"/>
        <v>-1.6285880325184736E-2</v>
      </c>
      <c r="F50" s="20"/>
      <c r="H50" s="19">
        <f t="array" aca="1" ref="H50:J50" ca="1">TRANSPOSE(MMULT(adjchol,TRANSPOSE(C50:E50)))</f>
        <v>-0.36805002136482984</v>
      </c>
      <c r="I50" s="19">
        <f ca="1"/>
        <v>-0.53514770909544163</v>
      </c>
      <c r="J50" s="19">
        <f ca="1"/>
        <v>-1.8642640251194019E-2</v>
      </c>
      <c r="K50" s="20"/>
      <c r="M50" s="21">
        <f t="shared" ca="1" si="4"/>
        <v>1.63194997863517E-2</v>
      </c>
      <c r="N50" s="21">
        <f t="shared" ca="1" si="5"/>
        <v>8.5940916361823341E-3</v>
      </c>
      <c r="O50" s="21">
        <f t="shared" ca="1" si="6"/>
        <v>8.7203603962320894E-2</v>
      </c>
    </row>
    <row r="51" spans="2:15">
      <c r="B51" s="12">
        <v>24</v>
      </c>
      <c r="C51" s="19">
        <f t="shared" ca="1" si="7"/>
        <v>-0.45691287162595823</v>
      </c>
      <c r="D51" s="19">
        <f t="shared" ca="1" si="7"/>
        <v>-1.0837373397015773</v>
      </c>
      <c r="E51" s="19">
        <f t="shared" ca="1" si="7"/>
        <v>0.34448745527270946</v>
      </c>
      <c r="F51" s="20"/>
      <c r="H51" s="19">
        <f t="array" aca="1" ref="H51:J51" ca="1">TRANSPOSE(MMULT(adjchol,TRANSPOSE(C51:E51)))</f>
        <v>-0.45691287162595823</v>
      </c>
      <c r="I51" s="19">
        <f ca="1"/>
        <v>-0.88361173897344081</v>
      </c>
      <c r="J51" s="19">
        <f ca="1"/>
        <v>0.41777819670839095</v>
      </c>
      <c r="K51" s="20"/>
      <c r="M51" s="21">
        <f t="shared" ca="1" si="4"/>
        <v>1.5430871283740419E-2</v>
      </c>
      <c r="N51" s="21">
        <f t="shared" ca="1" si="5"/>
        <v>-5.3444695589376368E-3</v>
      </c>
      <c r="O51" s="21">
        <f t="shared" ca="1" si="6"/>
        <v>0.15266672950625865</v>
      </c>
    </row>
    <row r="52" spans="2:15">
      <c r="B52" s="12">
        <v>25</v>
      </c>
      <c r="C52" s="19">
        <f t="shared" ca="1" si="7"/>
        <v>-0.46054755193084507</v>
      </c>
      <c r="D52" s="19">
        <f t="shared" ca="1" si="7"/>
        <v>0.69574000677613212</v>
      </c>
      <c r="E52" s="19">
        <f t="shared" ca="1" si="7"/>
        <v>2.0514907155520596</v>
      </c>
      <c r="F52" s="20"/>
      <c r="H52" s="19">
        <f t="array" aca="1" ref="H52:J52" ca="1">TRANSPOSE(MMULT(adjchol,TRANSPOSE(C52:E52)))</f>
        <v>-0.46054755193084507</v>
      </c>
      <c r="I52" s="19">
        <f ca="1"/>
        <v>-0.11122675868621429</v>
      </c>
      <c r="J52" s="19">
        <f ca="1"/>
        <v>0.29773689726502783</v>
      </c>
      <c r="K52" s="20"/>
      <c r="M52" s="21">
        <f t="shared" ca="1" si="4"/>
        <v>1.5394524480691549E-2</v>
      </c>
      <c r="N52" s="21">
        <f t="shared" ca="1" si="5"/>
        <v>2.5550929652551426E-2</v>
      </c>
      <c r="O52" s="21">
        <f t="shared" ca="1" si="6"/>
        <v>0.13466053458975416</v>
      </c>
    </row>
    <row r="53" spans="2:15">
      <c r="B53" s="12">
        <v>26</v>
      </c>
      <c r="C53" s="19">
        <f t="shared" ca="1" si="7"/>
        <v>-1.3008391027552013</v>
      </c>
      <c r="D53" s="19">
        <f t="shared" ca="1" si="7"/>
        <v>1.124337859219074</v>
      </c>
      <c r="E53" s="19">
        <f t="shared" ca="1" si="7"/>
        <v>0.53426226179061509</v>
      </c>
      <c r="F53" s="20"/>
      <c r="H53" s="19">
        <f t="array" aca="1" ref="H53:J53" ca="1">TRANSPOSE(MMULT(adjchol,TRANSPOSE(C53:E53)))</f>
        <v>-1.3008391027552013</v>
      </c>
      <c r="I53" s="19">
        <f ca="1"/>
        <v>-0.68066768180640103</v>
      </c>
      <c r="J53" s="19">
        <f ca="1"/>
        <v>-1.2467500406127732</v>
      </c>
      <c r="K53" s="20"/>
      <c r="M53" s="21">
        <f t="shared" ca="1" si="4"/>
        <v>6.9916089724479866E-3</v>
      </c>
      <c r="N53" s="21">
        <f t="shared" ca="1" si="5"/>
        <v>2.773292727743959E-3</v>
      </c>
      <c r="O53" s="21">
        <f t="shared" ca="1" si="6"/>
        <v>-9.7012506091915973E-2</v>
      </c>
    </row>
    <row r="54" spans="2:15">
      <c r="B54" s="12">
        <v>27</v>
      </c>
      <c r="C54" s="19">
        <f t="shared" ca="1" si="7"/>
        <v>0.4644146221172798</v>
      </c>
      <c r="D54" s="19">
        <f t="shared" ca="1" si="7"/>
        <v>0.11017641159767659</v>
      </c>
      <c r="E54" s="19">
        <f t="shared" ca="1" si="7"/>
        <v>1.0988366796675306</v>
      </c>
      <c r="F54" s="20"/>
      <c r="H54" s="19">
        <f t="array" aca="1" ref="H54:J54" ca="1">TRANSPOSE(MMULT(adjchol,TRANSPOSE(C54:E54)))</f>
        <v>0.4644146221172798</v>
      </c>
      <c r="I54" s="19">
        <f ca="1"/>
        <v>0.46599794431717334</v>
      </c>
      <c r="J54" s="19">
        <f ca="1"/>
        <v>0.79574430307039967</v>
      </c>
      <c r="K54" s="20"/>
      <c r="M54" s="21">
        <f t="shared" ca="1" si="4"/>
        <v>2.4644146221172798E-2</v>
      </c>
      <c r="N54" s="21">
        <f t="shared" ca="1" si="5"/>
        <v>4.8639917772686933E-2</v>
      </c>
      <c r="O54" s="21">
        <f t="shared" ca="1" si="6"/>
        <v>0.20936164546055994</v>
      </c>
    </row>
    <row r="55" spans="2:15">
      <c r="B55" s="12">
        <v>28</v>
      </c>
      <c r="C55" s="19">
        <f t="shared" ca="1" si="7"/>
        <v>-0.51246927696418776</v>
      </c>
      <c r="D55" s="19">
        <f t="shared" ca="1" si="7"/>
        <v>-0.3942493528345814</v>
      </c>
      <c r="E55" s="19">
        <f t="shared" ca="1" si="7"/>
        <v>-0.71573636001268348</v>
      </c>
      <c r="F55" s="20"/>
      <c r="H55" s="19">
        <f t="array" aca="1" ref="H55:J55" ca="1">TRANSPOSE(MMULT(adjchol,TRANSPOSE(C55:E55)))</f>
        <v>-0.51246927696418776</v>
      </c>
      <c r="I55" s="19">
        <f ca="1"/>
        <v>-0.63307165802399412</v>
      </c>
      <c r="J55" s="19">
        <f ca="1"/>
        <v>-0.49513168900711868</v>
      </c>
      <c r="K55" s="20"/>
      <c r="M55" s="21">
        <f t="shared" ca="1" si="4"/>
        <v>1.4875307230358122E-2</v>
      </c>
      <c r="N55" s="21">
        <f t="shared" ca="1" si="5"/>
        <v>4.6771336790402337E-3</v>
      </c>
      <c r="O55" s="21">
        <f t="shared" ca="1" si="6"/>
        <v>1.5730246648932203E-2</v>
      </c>
    </row>
    <row r="56" spans="2:15">
      <c r="B56" s="12">
        <v>29</v>
      </c>
      <c r="C56" s="19">
        <f t="shared" ca="1" si="7"/>
        <v>1.1176085166908161</v>
      </c>
      <c r="D56" s="19">
        <f t="shared" ca="1" si="7"/>
        <v>-0.3848409273705094</v>
      </c>
      <c r="E56" s="19">
        <f t="shared" ca="1" si="7"/>
        <v>-1.3011827623717027</v>
      </c>
      <c r="F56" s="20"/>
      <c r="H56" s="19">
        <f t="array" aca="1" ref="H56:J56" ca="1">TRANSPOSE(MMULT(adjchol,TRANSPOSE(C56:E56)))</f>
        <v>1.1176085166908161</v>
      </c>
      <c r="I56" s="19">
        <f ca="1"/>
        <v>0.83809939384708187</v>
      </c>
      <c r="J56" s="19">
        <f ca="1"/>
        <v>0.35922602762691824</v>
      </c>
      <c r="K56" s="20"/>
      <c r="M56" s="21">
        <f t="shared" ca="1" si="4"/>
        <v>3.117608516690816E-2</v>
      </c>
      <c r="N56" s="21">
        <f t="shared" ca="1" si="5"/>
        <v>6.3523975753883272E-2</v>
      </c>
      <c r="O56" s="21">
        <f t="shared" ca="1" si="6"/>
        <v>0.14388390414403773</v>
      </c>
    </row>
    <row r="57" spans="2:15">
      <c r="B57" s="12">
        <v>30</v>
      </c>
      <c r="C57" s="19">
        <f t="shared" ca="1" si="7"/>
        <v>0.10156249187000956</v>
      </c>
      <c r="D57" s="19">
        <f t="shared" ca="1" si="7"/>
        <v>-0.2378232884448836</v>
      </c>
      <c r="E57" s="19">
        <f t="shared" ca="1" si="7"/>
        <v>0.24749625902367203</v>
      </c>
      <c r="F57" s="20"/>
      <c r="H57" s="19">
        <f t="array" aca="1" ref="H57:J57" ca="1">TRANSPOSE(MMULT(adjchol,TRANSPOSE(C57:E57)))</f>
        <v>0.10156249187000956</v>
      </c>
      <c r="I57" s="19">
        <f ca="1"/>
        <v>-1.2258525392168568E-2</v>
      </c>
      <c r="J57" s="19">
        <f ca="1"/>
        <v>0.31568443336574686</v>
      </c>
      <c r="K57" s="20"/>
      <c r="M57" s="21">
        <f t="shared" ca="1" si="4"/>
        <v>2.1015624918700095E-2</v>
      </c>
      <c r="N57" s="21">
        <f t="shared" ca="1" si="5"/>
        <v>2.9509658984313257E-2</v>
      </c>
      <c r="O57" s="21">
        <f t="shared" ca="1" si="6"/>
        <v>0.13735266500486204</v>
      </c>
    </row>
    <row r="58" spans="2:15">
      <c r="B58" s="12">
        <v>31</v>
      </c>
      <c r="C58" s="19">
        <f t="shared" ca="1" si="7"/>
        <v>1.824449513241027</v>
      </c>
      <c r="D58" s="19">
        <f t="shared" ca="1" si="7"/>
        <v>0.47104793550066743</v>
      </c>
      <c r="E58" s="19">
        <f t="shared" ca="1" si="7"/>
        <v>-1.0019909604662158</v>
      </c>
      <c r="F58" s="20"/>
      <c r="H58" s="19">
        <f t="array" aca="1" ref="H58:J58" ca="1">TRANSPOSE(MMULT(adjchol,TRANSPOSE(C58:E58)))</f>
        <v>1.824449513241027</v>
      </c>
      <c r="I58" s="19">
        <f ca="1"/>
        <v>1.8473295967580117</v>
      </c>
      <c r="J58" s="19">
        <f ca="1"/>
        <v>0.54637869517426596</v>
      </c>
      <c r="K58" s="20"/>
      <c r="M58" s="21">
        <f t="shared" ca="1" si="4"/>
        <v>3.8244495132410267E-2</v>
      </c>
      <c r="N58" s="21">
        <f t="shared" ca="1" si="5"/>
        <v>0.10389318387032047</v>
      </c>
      <c r="O58" s="21">
        <f t="shared" ca="1" si="6"/>
        <v>0.17195680427613991</v>
      </c>
    </row>
    <row r="59" spans="2:15">
      <c r="B59" s="12">
        <v>32</v>
      </c>
      <c r="C59" s="19">
        <f t="shared" ca="1" si="7"/>
        <v>-9.57572382551857E-2</v>
      </c>
      <c r="D59" s="19">
        <f t="shared" ca="1" si="7"/>
        <v>0.27017119789985528</v>
      </c>
      <c r="E59" s="19">
        <f t="shared" ca="1" si="7"/>
        <v>-0.5413390118916912</v>
      </c>
      <c r="F59" s="20"/>
      <c r="H59" s="19">
        <f t="array" aca="1" ref="H59:J59" ca="1">TRANSPOSE(MMULT(adjchol,TRANSPOSE(C59:E59)))</f>
        <v>-9.57572382551857E-2</v>
      </c>
      <c r="I59" s="19">
        <f ca="1"/>
        <v>3.1583380480412579E-2</v>
      </c>
      <c r="J59" s="19">
        <f ca="1"/>
        <v>-0.47009425087415158</v>
      </c>
      <c r="K59" s="20"/>
      <c r="M59" s="21">
        <f t="shared" ca="1" si="4"/>
        <v>1.9042427617448142E-2</v>
      </c>
      <c r="N59" s="21">
        <f t="shared" ca="1" si="5"/>
        <v>3.1263335219216502E-2</v>
      </c>
      <c r="O59" s="21">
        <f t="shared" ca="1" si="6"/>
        <v>1.9485862368877269E-2</v>
      </c>
    </row>
    <row r="60" spans="2:15">
      <c r="B60" s="12">
        <v>33</v>
      </c>
      <c r="C60" s="19">
        <f t="shared" ca="1" si="7"/>
        <v>-0.6958870096612112</v>
      </c>
      <c r="D60" s="19">
        <f t="shared" ca="1" si="7"/>
        <v>-0.14674660620042745</v>
      </c>
      <c r="E60" s="19">
        <f t="shared" ca="1" si="7"/>
        <v>0.81976008663729272</v>
      </c>
      <c r="F60" s="20"/>
      <c r="H60" s="19">
        <f t="array" aca="1" ref="H60:J60" ca="1">TRANSPOSE(MMULT(adjchol,TRANSPOSE(C60:E60)))</f>
        <v>-0.6958870096612112</v>
      </c>
      <c r="I60" s="19">
        <f ca="1"/>
        <v>-0.69026367136861233</v>
      </c>
      <c r="J60" s="19">
        <f ca="1"/>
        <v>-1.5198872003788444E-2</v>
      </c>
      <c r="K60" s="20"/>
      <c r="M60" s="21">
        <f t="shared" ca="1" si="4"/>
        <v>1.3041129903387887E-2</v>
      </c>
      <c r="N60" s="21">
        <f t="shared" ca="1" si="5"/>
        <v>2.3894531452555053E-3</v>
      </c>
      <c r="O60" s="21">
        <f t="shared" ca="1" si="6"/>
        <v>8.7720169199431736E-2</v>
      </c>
    </row>
    <row r="61" spans="2:15">
      <c r="B61" s="12">
        <v>34</v>
      </c>
      <c r="C61" s="19">
        <f t="shared" ca="1" si="7"/>
        <v>-0.76367488105555414</v>
      </c>
      <c r="D61" s="19">
        <f t="shared" ca="1" si="7"/>
        <v>-1.5599656962201625</v>
      </c>
      <c r="E61" s="19">
        <f t="shared" ca="1" si="7"/>
        <v>-1.0223342961343609</v>
      </c>
      <c r="F61" s="20"/>
      <c r="H61" s="19">
        <f t="array" aca="1" ref="H61:J61" ca="1">TRANSPOSE(MMULT(adjchol,TRANSPOSE(C61:E61)))</f>
        <v>-0.76367488105555414</v>
      </c>
      <c r="I61" s="19">
        <f ca="1"/>
        <v>-1.3672806754713744</v>
      </c>
      <c r="J61" s="19">
        <f ca="1"/>
        <v>-0.20342122262865503</v>
      </c>
      <c r="K61" s="20"/>
      <c r="M61" s="21">
        <f t="shared" ca="1" si="4"/>
        <v>1.2363251189444459E-2</v>
      </c>
      <c r="N61" s="21">
        <f t="shared" ca="1" si="5"/>
        <v>-2.4691227018854983E-2</v>
      </c>
      <c r="O61" s="21">
        <f t="shared" ca="1" si="6"/>
        <v>5.9486816605701744E-2</v>
      </c>
    </row>
    <row r="62" spans="2:15">
      <c r="B62" s="12">
        <v>35</v>
      </c>
      <c r="C62" s="19">
        <f t="shared" ca="1" si="7"/>
        <v>-1.755111403019864</v>
      </c>
      <c r="D62" s="19">
        <f t="shared" ca="1" si="7"/>
        <v>1.2901050845390374</v>
      </c>
      <c r="E62" s="19">
        <f t="shared" ca="1" si="7"/>
        <v>-0.90473043347124926</v>
      </c>
      <c r="F62" s="20"/>
      <c r="H62" s="19">
        <f t="array" aca="1" ref="H62:J62" ca="1">TRANSPOSE(MMULT(adjchol,TRANSPOSE(C62:E62)))</f>
        <v>-1.755111403019864</v>
      </c>
      <c r="I62" s="19">
        <f ca="1"/>
        <v>-1.0172564937125115</v>
      </c>
      <c r="J62" s="19">
        <f ca="1"/>
        <v>-2.3446901758402685</v>
      </c>
      <c r="K62" s="20"/>
      <c r="M62" s="21">
        <f t="shared" ca="1" si="4"/>
        <v>2.4488859698013586E-3</v>
      </c>
      <c r="N62" s="21">
        <f t="shared" ca="1" si="5"/>
        <v>-1.0690259748500464E-2</v>
      </c>
      <c r="O62" s="21">
        <f t="shared" ca="1" si="6"/>
        <v>-0.26170352637604022</v>
      </c>
    </row>
    <row r="63" spans="2:15">
      <c r="B63" s="12">
        <v>36</v>
      </c>
      <c r="C63" s="19">
        <f t="shared" ca="1" si="7"/>
        <v>-0.80551834432814218</v>
      </c>
      <c r="D63" s="19">
        <f t="shared" ca="1" si="7"/>
        <v>-0.63550831476842384</v>
      </c>
      <c r="E63" s="19">
        <f t="shared" ca="1" si="7"/>
        <v>2.0038587035603337</v>
      </c>
      <c r="F63" s="20"/>
      <c r="H63" s="19">
        <f t="array" aca="1" ref="H63:J63" ca="1">TRANSPOSE(MMULT(adjchol,TRANSPOSE(C63:E63)))</f>
        <v>-0.80551834432814218</v>
      </c>
      <c r="I63" s="19">
        <f ca="1"/>
        <v>-1.0019781620808677</v>
      </c>
      <c r="J63" s="19">
        <f ca="1"/>
        <v>0.73577697051396285</v>
      </c>
      <c r="K63" s="20"/>
      <c r="M63" s="21">
        <f t="shared" ca="1" si="4"/>
        <v>1.1944816556718578E-2</v>
      </c>
      <c r="N63" s="21">
        <f t="shared" ca="1" si="5"/>
        <v>-1.007912648323471E-2</v>
      </c>
      <c r="O63" s="21">
        <f t="shared" ca="1" si="6"/>
        <v>0.20036654557709443</v>
      </c>
    </row>
    <row r="64" spans="2:15">
      <c r="B64" s="12">
        <v>37</v>
      </c>
      <c r="C64" s="19">
        <f t="shared" ca="1" si="7"/>
        <v>-0.41851074142950639</v>
      </c>
      <c r="D64" s="19">
        <f t="shared" ca="1" si="7"/>
        <v>0.9562618735011299</v>
      </c>
      <c r="E64" s="19">
        <f t="shared" ca="1" si="7"/>
        <v>-1.5899399064166355</v>
      </c>
      <c r="F64" s="20"/>
      <c r="H64" s="19">
        <f t="array" aca="1" ref="H64:J64" ca="1">TRANSPOSE(MMULT(adjchol,TRANSPOSE(C64:E64)))</f>
        <v>-0.41851074142950639</v>
      </c>
      <c r="I64" s="19">
        <f ca="1"/>
        <v>4.0165219728674206E-2</v>
      </c>
      <c r="J64" s="19">
        <f ca="1"/>
        <v>-1.5626562352489808</v>
      </c>
      <c r="K64" s="20"/>
      <c r="M64" s="21">
        <f t="shared" ca="1" si="4"/>
        <v>1.5814892585704936E-2</v>
      </c>
      <c r="N64" s="21">
        <f t="shared" ca="1" si="5"/>
        <v>3.1606608789146964E-2</v>
      </c>
      <c r="O64" s="21">
        <f t="shared" ca="1" si="6"/>
        <v>-0.14439843528734711</v>
      </c>
    </row>
    <row r="65" spans="2:15">
      <c r="B65" s="12">
        <v>38</v>
      </c>
      <c r="C65" s="19">
        <f t="shared" ca="1" si="7"/>
        <v>0.34892099619843375</v>
      </c>
      <c r="D65" s="19">
        <f t="shared" ca="1" si="7"/>
        <v>-0.6288901985461125</v>
      </c>
      <c r="E65" s="19">
        <f t="shared" ca="1" si="7"/>
        <v>-0.76192374354416015</v>
      </c>
      <c r="F65" s="20"/>
      <c r="H65" s="19">
        <f t="array" aca="1" ref="H65:J65" ca="1">TRANSPOSE(MMULT(adjchol,TRANSPOSE(C65:E65)))</f>
        <v>0.34892099619843375</v>
      </c>
      <c r="I65" s="19">
        <f ca="1"/>
        <v>3.9902014374017025E-2</v>
      </c>
      <c r="J65" s="19">
        <f ca="1"/>
        <v>0.20942460331287938</v>
      </c>
      <c r="K65" s="20"/>
      <c r="M65" s="21">
        <f t="shared" ca="1" si="4"/>
        <v>2.3489209961984336E-2</v>
      </c>
      <c r="N65" s="21">
        <f t="shared" ca="1" si="5"/>
        <v>3.1596080574960682E-2</v>
      </c>
      <c r="O65" s="21">
        <f t="shared" ca="1" si="6"/>
        <v>0.1214136904969319</v>
      </c>
    </row>
    <row r="66" spans="2:15">
      <c r="B66" s="12">
        <v>39</v>
      </c>
      <c r="C66" s="19">
        <f t="shared" ca="1" si="7"/>
        <v>-1.3397141492712095</v>
      </c>
      <c r="D66" s="19">
        <f t="shared" ca="1" si="7"/>
        <v>-0.29787680697745555</v>
      </c>
      <c r="E66" s="19">
        <f t="shared" ca="1" si="7"/>
        <v>-0.6257986869381057</v>
      </c>
      <c r="F66" s="20"/>
      <c r="H66" s="19">
        <f t="array" aca="1" ref="H66:J66" ca="1">TRANSPOSE(MMULT(adjchol,TRANSPOSE(C66:E66)))</f>
        <v>-1.3397141492712095</v>
      </c>
      <c r="I66" s="19">
        <f ca="1"/>
        <v>-1.3355842242680185</v>
      </c>
      <c r="J66" s="19">
        <f ca="1"/>
        <v>-1.081774277869098</v>
      </c>
      <c r="K66" s="20"/>
      <c r="M66" s="21">
        <f t="shared" ca="1" si="4"/>
        <v>6.6028585072879058E-3</v>
      </c>
      <c r="N66" s="21">
        <f t="shared" ca="1" si="5"/>
        <v>-2.342336897072074E-2</v>
      </c>
      <c r="O66" s="21">
        <f t="shared" ca="1" si="6"/>
        <v>-7.2266141680364687E-2</v>
      </c>
    </row>
    <row r="67" spans="2:15">
      <c r="B67" s="12">
        <v>40</v>
      </c>
      <c r="C67" s="19">
        <f t="shared" ca="1" si="7"/>
        <v>0.64126826694171835</v>
      </c>
      <c r="D67" s="19">
        <f t="shared" ca="1" si="7"/>
        <v>3.4946660989954685E-2</v>
      </c>
      <c r="E67" s="19">
        <f t="shared" ca="1" si="7"/>
        <v>-0.40649568665386082</v>
      </c>
      <c r="F67" s="20"/>
      <c r="H67" s="19">
        <f t="array" aca="1" ref="H67:J67" ca="1">TRANSPOSE(MMULT(adjchol,TRANSPOSE(C67:E67)))</f>
        <v>0.64126826694171835</v>
      </c>
      <c r="I67" s="19">
        <f ca="1"/>
        <v>0.59237433661448524</v>
      </c>
      <c r="J67" s="19">
        <f ca="1"/>
        <v>0.23483146709278638</v>
      </c>
      <c r="K67" s="20"/>
      <c r="M67" s="21">
        <f t="shared" ca="1" si="4"/>
        <v>2.6412682669417185E-2</v>
      </c>
      <c r="N67" s="21">
        <f t="shared" ca="1" si="5"/>
        <v>5.369497346457941E-2</v>
      </c>
      <c r="O67" s="21">
        <f t="shared" ca="1" si="6"/>
        <v>0.12522472006391794</v>
      </c>
    </row>
    <row r="68" spans="2:15">
      <c r="B68" s="12">
        <v>41</v>
      </c>
      <c r="C68" s="19">
        <f t="shared" ca="1" si="7"/>
        <v>0.34714495801028045</v>
      </c>
      <c r="D68" s="19">
        <f t="shared" ca="1" si="7"/>
        <v>-6.9661286962549265E-2</v>
      </c>
      <c r="E68" s="19">
        <f t="shared" ca="1" si="7"/>
        <v>-6.21478453269214E-2</v>
      </c>
      <c r="F68" s="20"/>
      <c r="H68" s="19">
        <f t="array" aca="1" ref="H68:J68" ca="1">TRANSPOSE(MMULT(adjchol,TRANSPOSE(C68:E68)))</f>
        <v>0.34714495801028045</v>
      </c>
      <c r="I68" s="19">
        <f ca="1"/>
        <v>0.28206581119457846</v>
      </c>
      <c r="J68" s="19">
        <f ca="1"/>
        <v>0.24985148944301711</v>
      </c>
      <c r="K68" s="20"/>
      <c r="M68" s="21">
        <f t="shared" ca="1" si="4"/>
        <v>2.3471449580102804E-2</v>
      </c>
      <c r="N68" s="21">
        <f t="shared" ca="1" si="5"/>
        <v>4.1282632447783137E-2</v>
      </c>
      <c r="O68" s="21">
        <f t="shared" ca="1" si="6"/>
        <v>0.12747772341645255</v>
      </c>
    </row>
    <row r="69" spans="2:15">
      <c r="B69" s="12">
        <v>42</v>
      </c>
      <c r="C69" s="19">
        <f t="shared" ca="1" si="7"/>
        <v>-0.45511035587418847</v>
      </c>
      <c r="D69" s="19">
        <f t="shared" ca="1" si="7"/>
        <v>0.80724570479859281</v>
      </c>
      <c r="E69" s="19">
        <f t="shared" ca="1" si="7"/>
        <v>0.83738217401254234</v>
      </c>
      <c r="F69" s="20"/>
      <c r="H69" s="19">
        <f t="array" aca="1" ref="H69:J69" ca="1">TRANSPOSE(MMULT(adjchol,TRANSPOSE(C69:E69)))</f>
        <v>-0.45511035587418847</v>
      </c>
      <c r="I69" s="19">
        <f ca="1"/>
        <v>-5.7729075304336464E-2</v>
      </c>
      <c r="J69" s="19">
        <f ca="1"/>
        <v>-0.34155494497628736</v>
      </c>
      <c r="K69" s="20"/>
      <c r="M69" s="21">
        <f t="shared" ca="1" si="4"/>
        <v>1.5448896441258115E-2</v>
      </c>
      <c r="N69" s="21">
        <f t="shared" ca="1" si="5"/>
        <v>2.7690836987826539E-2</v>
      </c>
      <c r="O69" s="21">
        <f t="shared" ca="1" si="6"/>
        <v>3.8766758253556896E-2</v>
      </c>
    </row>
    <row r="70" spans="2:15">
      <c r="B70" s="12">
        <v>43</v>
      </c>
      <c r="C70" s="19">
        <f t="shared" ca="1" si="7"/>
        <v>1.5482790091697223</v>
      </c>
      <c r="D70" s="19">
        <f t="shared" ca="1" si="7"/>
        <v>-1.0734908695836085</v>
      </c>
      <c r="E70" s="19">
        <f t="shared" ca="1" si="7"/>
        <v>-0.35583792297823241</v>
      </c>
      <c r="F70" s="20"/>
      <c r="H70" s="19">
        <f t="array" aca="1" ref="H70:J70" ca="1">TRANSPOSE(MMULT(adjchol,TRANSPOSE(C70:E70)))</f>
        <v>1.5482790091697223</v>
      </c>
      <c r="I70" s="19">
        <f ca="1"/>
        <v>0.92552728651989513</v>
      </c>
      <c r="J70" s="19">
        <f ca="1"/>
        <v>1.4789907670355003</v>
      </c>
      <c r="K70" s="20"/>
      <c r="M70" s="21">
        <f t="shared" ca="1" si="4"/>
        <v>3.5482790091697219E-2</v>
      </c>
      <c r="N70" s="21">
        <f t="shared" ca="1" si="5"/>
        <v>6.7021091460795795E-2</v>
      </c>
      <c r="O70" s="21">
        <f t="shared" ca="1" si="6"/>
        <v>0.31184861505532502</v>
      </c>
    </row>
    <row r="71" spans="2:15">
      <c r="B71" s="12">
        <v>44</v>
      </c>
      <c r="C71" s="19">
        <f t="shared" ca="1" si="7"/>
        <v>0.36540603444644493</v>
      </c>
      <c r="D71" s="19">
        <f t="shared" ca="1" si="7"/>
        <v>-0.45601646108768423</v>
      </c>
      <c r="E71" s="19">
        <f t="shared" ca="1" si="7"/>
        <v>-0.19695878720434029</v>
      </c>
      <c r="F71" s="20"/>
      <c r="H71" s="19">
        <f t="array" aca="1" ref="H71:J71" ca="1">TRANSPOSE(MMULT(adjchol,TRANSPOSE(C71:E71)))</f>
        <v>0.36540603444644493</v>
      </c>
      <c r="I71" s="19">
        <f ca="1"/>
        <v>0.13009246395457413</v>
      </c>
      <c r="J71" s="19">
        <f ca="1"/>
        <v>0.40162234315267431</v>
      </c>
      <c r="K71" s="20"/>
      <c r="M71" s="21">
        <f t="shared" ca="1" si="4"/>
        <v>2.3654060344464451E-2</v>
      </c>
      <c r="N71" s="21">
        <f t="shared" ca="1" si="5"/>
        <v>3.5203698558182964E-2</v>
      </c>
      <c r="O71" s="21">
        <f t="shared" ca="1" si="6"/>
        <v>0.15024335147290113</v>
      </c>
    </row>
    <row r="72" spans="2:15">
      <c r="B72" s="12">
        <v>45</v>
      </c>
      <c r="C72" s="19">
        <f t="shared" ca="1" si="7"/>
        <v>0.90207674280725703</v>
      </c>
      <c r="D72" s="19">
        <f t="shared" ca="1" si="7"/>
        <v>-1.1335375019104439</v>
      </c>
      <c r="E72" s="19">
        <f t="shared" ca="1" si="7"/>
        <v>-0.26589393237195691</v>
      </c>
      <c r="F72" s="20"/>
      <c r="H72" s="19">
        <f t="array" aca="1" ref="H72:J72" ca="1">TRANSPOSE(MMULT(adjchol,TRANSPOSE(C72:E72)))</f>
        <v>0.90207674280725703</v>
      </c>
      <c r="I72" s="19">
        <f ca="1"/>
        <v>0.31777152657241459</v>
      </c>
      <c r="J72" s="19">
        <f ca="1"/>
        <v>1.1016165897737564</v>
      </c>
      <c r="K72" s="20"/>
      <c r="M72" s="21">
        <f t="shared" ca="1" si="4"/>
        <v>2.9020767428072573E-2</v>
      </c>
      <c r="N72" s="21">
        <f t="shared" ca="1" si="5"/>
        <v>4.271086106289658E-2</v>
      </c>
      <c r="O72" s="21">
        <f t="shared" ca="1" si="6"/>
        <v>0.25524248846606346</v>
      </c>
    </row>
    <row r="73" spans="2:15">
      <c r="B73" s="12">
        <v>46</v>
      </c>
      <c r="C73" s="19">
        <f t="shared" ca="1" si="7"/>
        <v>-0.19517269915020555</v>
      </c>
      <c r="D73" s="19">
        <f t="shared" ca="1" si="7"/>
        <v>-0.12502143904879073</v>
      </c>
      <c r="E73" s="19">
        <f t="shared" ca="1" si="7"/>
        <v>0.53223317137745751</v>
      </c>
      <c r="F73" s="20"/>
      <c r="H73" s="19">
        <f t="array" aca="1" ref="H73:J73" ca="1">TRANSPOSE(MMULT(adjchol,TRANSPOSE(C73:E73)))</f>
        <v>-0.19517269915020555</v>
      </c>
      <c r="I73" s="19">
        <f ca="1"/>
        <v>-0.23015101109415584</v>
      </c>
      <c r="J73" s="19">
        <f ca="1"/>
        <v>0.18547215447085591</v>
      </c>
      <c r="K73" s="20"/>
      <c r="M73" s="21">
        <f t="shared" ca="1" si="4"/>
        <v>1.8048273008497945E-2</v>
      </c>
      <c r="N73" s="21">
        <f t="shared" ca="1" si="5"/>
        <v>2.0793959556233765E-2</v>
      </c>
      <c r="O73" s="21">
        <f t="shared" ca="1" si="6"/>
        <v>0.11782082317062838</v>
      </c>
    </row>
    <row r="74" spans="2:15">
      <c r="B74" s="12">
        <v>47</v>
      </c>
      <c r="C74" s="19">
        <f t="shared" ca="1" si="7"/>
        <v>0.74383219967605196</v>
      </c>
      <c r="D74" s="19">
        <f t="shared" ca="1" si="7"/>
        <v>1.0749263950452326</v>
      </c>
      <c r="E74" s="19">
        <f t="shared" ca="1" si="7"/>
        <v>-1.3476155455910441</v>
      </c>
      <c r="F74" s="20"/>
      <c r="H74" s="19">
        <f t="array" aca="1" ref="H74:J74" ca="1">TRANSPOSE(MMULT(adjchol,TRANSPOSE(C74:E74)))</f>
        <v>0.74383219967605196</v>
      </c>
      <c r="I74" s="19">
        <f ca="1"/>
        <v>1.1379985324831114</v>
      </c>
      <c r="J74" s="19">
        <f ca="1"/>
        <v>-0.69501734075547006</v>
      </c>
      <c r="K74" s="20"/>
      <c r="M74" s="21">
        <f t="shared" ca="1" si="4"/>
        <v>2.7438321996760519E-2</v>
      </c>
      <c r="N74" s="21">
        <f t="shared" ca="1" si="5"/>
        <v>7.5519941299324461E-2</v>
      </c>
      <c r="O74" s="21">
        <f t="shared" ca="1" si="6"/>
        <v>-1.4252601113320509E-2</v>
      </c>
    </row>
    <row r="75" spans="2:15">
      <c r="B75" s="12">
        <v>48</v>
      </c>
      <c r="C75" s="19">
        <f t="shared" ca="1" si="7"/>
        <v>0.76805910354318174</v>
      </c>
      <c r="D75" s="19">
        <f t="shared" ca="1" si="7"/>
        <v>0.29052523831293331</v>
      </c>
      <c r="E75" s="19">
        <f t="shared" ca="1" si="7"/>
        <v>-0.69465407379200039</v>
      </c>
      <c r="F75" s="20"/>
      <c r="H75" s="19">
        <f t="array" aca="1" ref="H75:J75" ca="1">TRANSPOSE(MMULT(adjchol,TRANSPOSE(C75:E75)))</f>
        <v>0.76805910354318174</v>
      </c>
      <c r="I75" s="19">
        <f ca="1"/>
        <v>0.8178902086242783</v>
      </c>
      <c r="J75" s="19">
        <f ca="1"/>
        <v>5.0057981887933256E-2</v>
      </c>
      <c r="K75" s="20"/>
      <c r="M75" s="21">
        <f t="shared" ca="1" si="4"/>
        <v>2.7680591035431818E-2</v>
      </c>
      <c r="N75" s="21">
        <f t="shared" ca="1" si="5"/>
        <v>6.2715608344971141E-2</v>
      </c>
      <c r="O75" s="21">
        <f t="shared" ca="1" si="6"/>
        <v>9.7508697283189991E-2</v>
      </c>
    </row>
    <row r="76" spans="2:15">
      <c r="B76" s="12">
        <v>49</v>
      </c>
      <c r="C76" s="19">
        <f t="shared" ca="1" si="7"/>
        <v>-0.59158070690799602</v>
      </c>
      <c r="D76" s="19">
        <f t="shared" ca="1" si="7"/>
        <v>2.6441816773077664</v>
      </c>
      <c r="E76" s="19">
        <f t="shared" ca="1" si="7"/>
        <v>0.45691464562944695</v>
      </c>
      <c r="F76" s="20"/>
      <c r="H76" s="19">
        <f t="array" aca="1" ref="H76:J76" ca="1">TRANSPOSE(MMULT(adjchol,TRANSPOSE(C76:E76)))</f>
        <v>-0.59158070690799602</v>
      </c>
      <c r="I76" s="19">
        <f ca="1"/>
        <v>0.62014943575744619</v>
      </c>
      <c r="J76" s="19">
        <f ca="1"/>
        <v>-1.5894458816342687</v>
      </c>
      <c r="K76" s="20"/>
      <c r="M76" s="21">
        <f t="shared" ca="1" si="4"/>
        <v>1.4084192930920041E-2</v>
      </c>
      <c r="N76" s="21">
        <f t="shared" ca="1" si="5"/>
        <v>5.4805977430297845E-2</v>
      </c>
      <c r="O76" s="21">
        <f t="shared" ca="1" si="6"/>
        <v>-0.1484168822451403</v>
      </c>
    </row>
    <row r="77" spans="2:15">
      <c r="B77" s="12">
        <v>50</v>
      </c>
      <c r="C77" s="19">
        <f t="shared" ca="1" si="7"/>
        <v>1.3866833505778138</v>
      </c>
      <c r="D77" s="19">
        <f t="shared" ca="1" si="7"/>
        <v>-0.4806957740647741</v>
      </c>
      <c r="E77" s="19">
        <f t="shared" ca="1" si="7"/>
        <v>-0.81055011615232353</v>
      </c>
      <c r="F77" s="20"/>
      <c r="H77" s="19">
        <f t="array" aca="1" ref="H77:J77" ca="1">TRANSPOSE(MMULT(adjchol,TRANSPOSE(C77:E77)))</f>
        <v>1.3866833505778138</v>
      </c>
      <c r="I77" s="19">
        <f ca="1"/>
        <v>1.0384845853464915</v>
      </c>
      <c r="J77" s="19">
        <f ca="1"/>
        <v>0.83426224703541263</v>
      </c>
      <c r="K77" s="20"/>
      <c r="M77" s="21">
        <f t="shared" ca="1" si="4"/>
        <v>3.3866833505778141E-2</v>
      </c>
      <c r="N77" s="21">
        <f t="shared" ca="1" si="5"/>
        <v>7.1539383413859653E-2</v>
      </c>
      <c r="O77" s="21">
        <f t="shared" ca="1" si="6"/>
        <v>0.21513933705531188</v>
      </c>
    </row>
    <row r="78" spans="2:15">
      <c r="B78" s="12">
        <v>51</v>
      </c>
      <c r="C78" s="19">
        <f t="shared" ca="1" si="7"/>
        <v>-0.46172021735906643</v>
      </c>
      <c r="D78" s="19">
        <f t="shared" ca="1" si="7"/>
        <v>0.53654740363054032</v>
      </c>
      <c r="E78" s="19">
        <f t="shared" ca="1" si="7"/>
        <v>-0.18596563532812194</v>
      </c>
      <c r="F78" s="20"/>
      <c r="H78" s="19">
        <f t="array" aca="1" ref="H78:J78" ca="1">TRANSPOSE(MMULT(adjchol,TRANSPOSE(C78:E78)))</f>
        <v>-0.46172021735906643</v>
      </c>
      <c r="I78" s="19">
        <f ca="1"/>
        <v>-0.18167260453869449</v>
      </c>
      <c r="J78" s="19">
        <f ca="1"/>
        <v>-0.69580830218158518</v>
      </c>
      <c r="K78" s="20"/>
      <c r="M78" s="21">
        <f t="shared" ca="1" si="4"/>
        <v>1.5382797826409337E-2</v>
      </c>
      <c r="N78" s="21">
        <f t="shared" ca="1" si="5"/>
        <v>2.2733095818452217E-2</v>
      </c>
      <c r="O78" s="21">
        <f t="shared" ca="1" si="6"/>
        <v>-1.4371245327237783E-2</v>
      </c>
    </row>
    <row r="79" spans="2:15">
      <c r="B79" s="12">
        <v>52</v>
      </c>
      <c r="C79" s="19">
        <f t="shared" ca="1" si="7"/>
        <v>-1.956978469260666</v>
      </c>
      <c r="D79" s="19">
        <f t="shared" ca="1" si="7"/>
        <v>-3.7082527744713295E-3</v>
      </c>
      <c r="E79" s="19">
        <f t="shared" ca="1" si="7"/>
        <v>-0.14716550303049075</v>
      </c>
      <c r="F79" s="20"/>
      <c r="H79" s="19">
        <f t="array" aca="1" ref="H79:J79" ca="1">TRANSPOSE(MMULT(adjchol,TRANSPOSE(C79:E79)))</f>
        <v>-1.956978469260666</v>
      </c>
      <c r="I79" s="19">
        <f ca="1"/>
        <v>-1.7628970122447019</v>
      </c>
      <c r="J79" s="19">
        <f ca="1"/>
        <v>-1.4387481863726512</v>
      </c>
      <c r="K79" s="20"/>
      <c r="M79" s="21">
        <f t="shared" ca="1" si="4"/>
        <v>4.302153073933411E-4</v>
      </c>
      <c r="N79" s="21">
        <f t="shared" ca="1" si="5"/>
        <v>-4.0515880489788075E-2</v>
      </c>
      <c r="O79" s="21">
        <f t="shared" ca="1" si="6"/>
        <v>-0.12581222795589769</v>
      </c>
    </row>
    <row r="80" spans="2:15">
      <c r="B80" s="12">
        <v>53</v>
      </c>
      <c r="C80" s="19">
        <f t="shared" ca="1" si="7"/>
        <v>-0.4167664440059542</v>
      </c>
      <c r="D80" s="19">
        <f t="shared" ca="1" si="7"/>
        <v>1.8866676294540436</v>
      </c>
      <c r="E80" s="19">
        <f t="shared" ca="1" si="7"/>
        <v>-0.30084549404096539</v>
      </c>
      <c r="F80" s="20"/>
      <c r="H80" s="19">
        <f t="array" aca="1" ref="H80:J80" ca="1">TRANSPOSE(MMULT(adjchol,TRANSPOSE(C80:E80)))</f>
        <v>-0.4167664440059542</v>
      </c>
      <c r="I80" s="19">
        <f ca="1"/>
        <v>0.44728955407860288</v>
      </c>
      <c r="J80" s="19">
        <f ca="1"/>
        <v>-1.4320231850970768</v>
      </c>
      <c r="K80" s="20"/>
      <c r="M80" s="21">
        <f t="shared" ca="1" si="4"/>
        <v>1.5832335559940458E-2</v>
      </c>
      <c r="N80" s="21">
        <f t="shared" ca="1" si="5"/>
        <v>4.7891582163144111E-2</v>
      </c>
      <c r="O80" s="21">
        <f t="shared" ca="1" si="6"/>
        <v>-0.12480347776456152</v>
      </c>
    </row>
    <row r="81" spans="2:15">
      <c r="B81" s="12">
        <v>54</v>
      </c>
      <c r="C81" s="19">
        <f t="shared" ca="1" si="7"/>
        <v>2.5707148791743624</v>
      </c>
      <c r="D81" s="19">
        <f t="shared" ca="1" si="7"/>
        <v>1.37399330146728</v>
      </c>
      <c r="E81" s="19">
        <f t="shared" ca="1" si="7"/>
        <v>0.43351388442768124</v>
      </c>
      <c r="F81" s="20"/>
      <c r="H81" s="19">
        <f t="array" aca="1" ref="H81:J81" ca="1">TRANSPOSE(MMULT(adjchol,TRANSPOSE(C81:E81)))</f>
        <v>2.5707148791743624</v>
      </c>
      <c r="I81" s="19">
        <f ca="1"/>
        <v>2.9125531862766953</v>
      </c>
      <c r="J81" s="19">
        <f ca="1"/>
        <v>1.2831227184521654</v>
      </c>
      <c r="K81" s="20"/>
      <c r="M81" s="21">
        <f t="shared" ca="1" si="4"/>
        <v>4.5707148791743625E-2</v>
      </c>
      <c r="N81" s="21">
        <f t="shared" ca="1" si="5"/>
        <v>0.14650212745106783</v>
      </c>
      <c r="O81" s="21">
        <f t="shared" ca="1" si="6"/>
        <v>0.28246840776782478</v>
      </c>
    </row>
    <row r="82" spans="2:15">
      <c r="B82" s="12">
        <v>55</v>
      </c>
      <c r="C82" s="19">
        <f t="shared" ca="1" si="7"/>
        <v>1.0283645701351567</v>
      </c>
      <c r="D82" s="19">
        <f t="shared" ca="1" si="7"/>
        <v>-4.2886690806723714E-2</v>
      </c>
      <c r="E82" s="19">
        <f t="shared" ca="1" si="7"/>
        <v>-1.0392244609596415</v>
      </c>
      <c r="F82" s="20"/>
      <c r="H82" s="19">
        <f t="array" aca="1" ref="H82:J82" ca="1">TRANSPOSE(MMULT(adjchol,TRANSPOSE(C82:E82)))</f>
        <v>1.0283645701351567</v>
      </c>
      <c r="I82" s="19">
        <f ca="1"/>
        <v>0.90683423799670271</v>
      </c>
      <c r="J82" s="19">
        <f ca="1"/>
        <v>0.242382273504686</v>
      </c>
      <c r="K82" s="20"/>
      <c r="M82" s="21">
        <f t="shared" ca="1" si="4"/>
        <v>3.0283645701351565E-2</v>
      </c>
      <c r="N82" s="21">
        <f t="shared" ca="1" si="5"/>
        <v>6.6273369519868106E-2</v>
      </c>
      <c r="O82" s="21">
        <f t="shared" ca="1" si="6"/>
        <v>0.1263573410257029</v>
      </c>
    </row>
    <row r="83" spans="2:15">
      <c r="B83" s="12">
        <v>56</v>
      </c>
      <c r="C83" s="19">
        <f t="shared" ca="1" si="7"/>
        <v>1.4490310962611155</v>
      </c>
      <c r="D83" s="19">
        <f t="shared" ca="1" si="7"/>
        <v>-9.2281125756992211E-2</v>
      </c>
      <c r="E83" s="19">
        <f t="shared" ca="1" si="7"/>
        <v>-0.30573048855640028</v>
      </c>
      <c r="F83" s="20"/>
      <c r="H83" s="19">
        <f t="array" aca="1" ref="H83:J83" ca="1">TRANSPOSE(MMULT(adjchol,TRANSPOSE(C83:E83)))</f>
        <v>1.4490310962611155</v>
      </c>
      <c r="I83" s="19">
        <f ca="1"/>
        <v>1.2639035764779143</v>
      </c>
      <c r="J83" s="19">
        <f ca="1"/>
        <v>0.91588886048976825</v>
      </c>
      <c r="K83" s="20"/>
      <c r="M83" s="21">
        <f t="shared" ca="1" si="4"/>
        <v>3.4490310962611154E-2</v>
      </c>
      <c r="N83" s="21">
        <f t="shared" ca="1" si="5"/>
        <v>8.0556143059116569E-2</v>
      </c>
      <c r="O83" s="21">
        <f t="shared" ca="1" si="6"/>
        <v>0.22738332907346523</v>
      </c>
    </row>
    <row r="84" spans="2:15">
      <c r="B84" s="12">
        <v>57</v>
      </c>
      <c r="C84" s="19">
        <f t="shared" ca="1" si="7"/>
        <v>-0.21752321578813397</v>
      </c>
      <c r="D84" s="19">
        <f t="shared" ca="1" si="7"/>
        <v>0.1613064770557063</v>
      </c>
      <c r="E84" s="19">
        <f t="shared" ca="1" si="7"/>
        <v>0.77208564185345185</v>
      </c>
      <c r="F84" s="20"/>
      <c r="H84" s="19">
        <f t="array" aca="1" ref="H84:J84" ca="1">TRANSPOSE(MMULT(adjchol,TRANSPOSE(C84:E84)))</f>
        <v>-0.21752321578813397</v>
      </c>
      <c r="I84" s="19">
        <f ca="1"/>
        <v>-0.12545903096688196</v>
      </c>
      <c r="J84" s="19">
        <f ca="1"/>
        <v>0.13416746177023511</v>
      </c>
      <c r="K84" s="20"/>
      <c r="M84" s="21">
        <f t="shared" ca="1" si="4"/>
        <v>1.7824767842118661E-2</v>
      </c>
      <c r="N84" s="21">
        <f t="shared" ca="1" si="5"/>
        <v>2.4981638761324719E-2</v>
      </c>
      <c r="O84" s="21">
        <f t="shared" ca="1" si="6"/>
        <v>0.11012511926553527</v>
      </c>
    </row>
    <row r="85" spans="2:15">
      <c r="B85" s="12">
        <v>58</v>
      </c>
      <c r="C85" s="19">
        <f t="shared" ca="1" si="7"/>
        <v>1.1487098028924552</v>
      </c>
      <c r="D85" s="19">
        <f t="shared" ca="1" si="7"/>
        <v>-6.3225509839740388E-2</v>
      </c>
      <c r="E85" s="19">
        <f t="shared" ca="1" si="7"/>
        <v>-1.957577600651569</v>
      </c>
      <c r="F85" s="20"/>
      <c r="H85" s="19">
        <f t="array" aca="1" ref="H85:J85" ca="1">TRANSPOSE(MMULT(adjchol,TRANSPOSE(C85:E85)))</f>
        <v>1.1487098028924552</v>
      </c>
      <c r="I85" s="19">
        <f ca="1"/>
        <v>1.006279461798683</v>
      </c>
      <c r="J85" s="19">
        <f ca="1"/>
        <v>-0.10458002995144478</v>
      </c>
      <c r="K85" s="20"/>
      <c r="M85" s="21">
        <f t="shared" ca="1" si="4"/>
        <v>3.1487098028924548E-2</v>
      </c>
      <c r="N85" s="21">
        <f t="shared" ca="1" si="5"/>
        <v>7.0251178471947312E-2</v>
      </c>
      <c r="O85" s="21">
        <f t="shared" ca="1" si="6"/>
        <v>7.4312995507283278E-2</v>
      </c>
    </row>
    <row r="86" spans="2:15">
      <c r="B86" s="12">
        <v>59</v>
      </c>
      <c r="C86" s="19">
        <f t="shared" ca="1" si="7"/>
        <v>0.40508216457318391</v>
      </c>
      <c r="D86" s="19">
        <f t="shared" ca="1" si="7"/>
        <v>-0.39687648410767012</v>
      </c>
      <c r="E86" s="19">
        <f t="shared" ca="1" si="7"/>
        <v>0.27948442430818898</v>
      </c>
      <c r="F86" s="20"/>
      <c r="H86" s="19">
        <f t="array" aca="1" ref="H86:J86" ca="1">TRANSPOSE(MMULT(adjchol,TRANSPOSE(C86:E86)))</f>
        <v>0.40508216457318391</v>
      </c>
      <c r="I86" s="19">
        <f ca="1"/>
        <v>0.19157949938655952</v>
      </c>
      <c r="J86" s="19">
        <f ca="1"/>
        <v>0.6274671600782693</v>
      </c>
      <c r="K86" s="20"/>
      <c r="M86" s="21">
        <f t="shared" ca="1" si="4"/>
        <v>2.405082164573184E-2</v>
      </c>
      <c r="N86" s="21">
        <f t="shared" ca="1" si="5"/>
        <v>3.7663179975462382E-2</v>
      </c>
      <c r="O86" s="21">
        <f t="shared" ca="1" si="6"/>
        <v>0.18412007401174041</v>
      </c>
    </row>
    <row r="87" spans="2:15">
      <c r="B87" s="12">
        <v>60</v>
      </c>
      <c r="C87" s="19">
        <f t="shared" ca="1" si="7"/>
        <v>-3.4721678368177238E-2</v>
      </c>
      <c r="D87" s="19">
        <f t="shared" ca="1" si="7"/>
        <v>0.57479400469726549</v>
      </c>
      <c r="E87" s="19">
        <f t="shared" ca="1" si="7"/>
        <v>0.196769337675299</v>
      </c>
      <c r="F87" s="20"/>
      <c r="H87" s="19">
        <f t="array" aca="1" ref="H87:J87" ca="1">TRANSPOSE(MMULT(adjchol,TRANSPOSE(C87:E87)))</f>
        <v>-3.4721678368177238E-2</v>
      </c>
      <c r="I87" s="19">
        <f ca="1"/>
        <v>0.21929738745148278</v>
      </c>
      <c r="J87" s="19">
        <f ca="1"/>
        <v>-0.23290816790170743</v>
      </c>
      <c r="K87" s="20"/>
      <c r="M87" s="21">
        <f t="shared" ca="1" si="4"/>
        <v>1.9652783216318227E-2</v>
      </c>
      <c r="N87" s="21">
        <f t="shared" ca="1" si="5"/>
        <v>3.877189549805931E-2</v>
      </c>
      <c r="O87" s="21">
        <f t="shared" ca="1" si="6"/>
        <v>5.5063774814743886E-2</v>
      </c>
    </row>
    <row r="88" spans="2:15">
      <c r="B88" s="12">
        <v>61</v>
      </c>
      <c r="C88" s="19">
        <f t="shared" ca="1" si="7"/>
        <v>-1.1476067802267349</v>
      </c>
      <c r="D88" s="19">
        <f t="shared" ca="1" si="7"/>
        <v>0.12509625140386346</v>
      </c>
      <c r="E88" s="19">
        <f t="shared" ca="1" si="7"/>
        <v>-0.49778802759107593</v>
      </c>
      <c r="F88" s="20"/>
      <c r="H88" s="19">
        <f t="array" aca="1" ref="H88:J88" ca="1">TRANSPOSE(MMULT(adjchol,TRANSPOSE(C88:E88)))</f>
        <v>-1.1476067802267349</v>
      </c>
      <c r="I88" s="19">
        <f ca="1"/>
        <v>-0.9783179103955415</v>
      </c>
      <c r="J88" s="19">
        <f ca="1"/>
        <v>-1.1088813491407479</v>
      </c>
      <c r="K88" s="20"/>
      <c r="M88" s="21">
        <f t="shared" ca="1" si="4"/>
        <v>8.5239321977326511E-3</v>
      </c>
      <c r="N88" s="21">
        <f t="shared" ca="1" si="5"/>
        <v>-9.1327164158216609E-3</v>
      </c>
      <c r="O88" s="21">
        <f t="shared" ca="1" si="6"/>
        <v>-7.6332202371112184E-2</v>
      </c>
    </row>
    <row r="89" spans="2:15">
      <c r="B89" s="12">
        <v>62</v>
      </c>
      <c r="C89" s="19">
        <f t="shared" ca="1" si="7"/>
        <v>0.58584069282104689</v>
      </c>
      <c r="D89" s="19">
        <f t="shared" ca="1" si="7"/>
        <v>1.2460253839968332</v>
      </c>
      <c r="E89" s="19">
        <f t="shared" ca="1" si="7"/>
        <v>0.96656620311109942</v>
      </c>
      <c r="F89" s="20"/>
      <c r="H89" s="19">
        <f t="array" aca="1" ref="H89:J89" ca="1">TRANSPOSE(MMULT(adjchol,TRANSPOSE(C89:E89)))</f>
        <v>0.58584069282104689</v>
      </c>
      <c r="I89" s="19">
        <f ca="1"/>
        <v>1.070386496531808</v>
      </c>
      <c r="J89" s="19">
        <f ca="1"/>
        <v>0.21775275484619322</v>
      </c>
      <c r="K89" s="20"/>
      <c r="M89" s="21">
        <f t="shared" ca="1" si="4"/>
        <v>2.5858406928210471E-2</v>
      </c>
      <c r="N89" s="21">
        <f t="shared" ca="1" si="5"/>
        <v>7.2815459861272316E-2</v>
      </c>
      <c r="O89" s="21">
        <f t="shared" ca="1" si="6"/>
        <v>0.12266291322692899</v>
      </c>
    </row>
    <row r="90" spans="2:15">
      <c r="B90" s="12">
        <v>63</v>
      </c>
      <c r="C90" s="19">
        <f t="shared" ca="1" si="7"/>
        <v>-0.70654828318492202</v>
      </c>
      <c r="D90" s="19">
        <f t="shared" ca="1" si="7"/>
        <v>-2.712648487547225E-2</v>
      </c>
      <c r="E90" s="19">
        <f t="shared" ca="1" si="7"/>
        <v>0.69657603663336654</v>
      </c>
      <c r="F90" s="20"/>
      <c r="H90" s="19">
        <f t="array" aca="1" ref="H90:J90" ca="1">TRANSPOSE(MMULT(adjchol,TRANSPOSE(C90:E90)))</f>
        <v>-0.70654828318492202</v>
      </c>
      <c r="I90" s="19">
        <f ca="1"/>
        <v>-0.64771761549299656</v>
      </c>
      <c r="J90" s="19">
        <f ca="1"/>
        <v>-0.14505949031677423</v>
      </c>
      <c r="K90" s="20"/>
      <c r="M90" s="21">
        <f t="shared" ca="1" si="4"/>
        <v>1.2934517168150781E-2</v>
      </c>
      <c r="N90" s="21">
        <f t="shared" ca="1" si="5"/>
        <v>4.0912953802801355E-3</v>
      </c>
      <c r="O90" s="21">
        <f t="shared" ca="1" si="6"/>
        <v>6.8241076452483868E-2</v>
      </c>
    </row>
    <row r="91" spans="2:15">
      <c r="B91" s="12">
        <v>64</v>
      </c>
      <c r="C91" s="19">
        <f t="shared" ca="1" si="7"/>
        <v>6.2100743514934872E-2</v>
      </c>
      <c r="D91" s="19">
        <f t="shared" ca="1" si="7"/>
        <v>-0.27457653205246024</v>
      </c>
      <c r="E91" s="19">
        <f t="shared" ca="1" si="7"/>
        <v>-0.18206190845690762</v>
      </c>
      <c r="F91" s="20"/>
      <c r="H91" s="19">
        <f t="array" aca="1" ref="H91:J91" ca="1">TRANSPOSE(MMULT(adjchol,TRANSPOSE(C91:E91)))</f>
        <v>6.2100743514934872E-2</v>
      </c>
      <c r="I91" s="19">
        <f ca="1"/>
        <v>-6.3794466385011669E-2</v>
      </c>
      <c r="J91" s="19">
        <f ca="1"/>
        <v>0.10073951108063829</v>
      </c>
      <c r="K91" s="20"/>
      <c r="M91" s="21">
        <f t="shared" ca="1" si="4"/>
        <v>2.0621007435149351E-2</v>
      </c>
      <c r="N91" s="21">
        <f t="shared" ca="1" si="5"/>
        <v>2.7448221344599531E-2</v>
      </c>
      <c r="O91" s="21">
        <f t="shared" ca="1" si="6"/>
        <v>0.10511092666209573</v>
      </c>
    </row>
    <row r="92" spans="2:15">
      <c r="B92" s="12">
        <v>65</v>
      </c>
      <c r="C92" s="19">
        <f t="shared" ca="1" si="7"/>
        <v>-0.71566237529556342</v>
      </c>
      <c r="D92" s="19">
        <f t="shared" ca="1" si="7"/>
        <v>0.53757960494222645</v>
      </c>
      <c r="E92" s="19">
        <f t="shared" ca="1" si="7"/>
        <v>1.1984070860932747</v>
      </c>
      <c r="F92" s="20"/>
      <c r="H92" s="19">
        <f t="array" aca="1" ref="H92:J92" ca="1">TRANSPOSE(MMULT(adjchol,TRANSPOSE(C92:E92)))</f>
        <v>-0.71566237529556342</v>
      </c>
      <c r="I92" s="19">
        <f ca="1"/>
        <v>-0.40977062056083874</v>
      </c>
      <c r="J92" s="19">
        <f ca="1"/>
        <v>-0.20791561631099331</v>
      </c>
      <c r="K92" s="20"/>
      <c r="M92" s="21">
        <f t="shared" ref="M92:M127" ca="1" si="8">C$3+H92*C$4</f>
        <v>1.2843376247044366E-2</v>
      </c>
      <c r="N92" s="21">
        <f t="shared" ref="N92:N127" ca="1" si="9">D$3+I92*D$4</f>
        <v>1.3609175177566449E-2</v>
      </c>
      <c r="O92" s="21">
        <f t="shared" ref="O92:O127" ca="1" si="10">E$3+J92*E$4</f>
        <v>5.8812657553351001E-2</v>
      </c>
    </row>
    <row r="93" spans="2:15">
      <c r="B93" s="12">
        <v>66</v>
      </c>
      <c r="C93" s="19">
        <f t="shared" ref="C93:E127" ca="1" si="11">NORMSINV(RAND())</f>
        <v>0.32150098033497737</v>
      </c>
      <c r="D93" s="19">
        <f t="shared" ca="1" si="11"/>
        <v>-1.4583882823501804</v>
      </c>
      <c r="E93" s="19">
        <f t="shared" ca="1" si="11"/>
        <v>1.2941088673792023</v>
      </c>
      <c r="F93" s="20"/>
      <c r="H93" s="19">
        <f t="array" aca="1" ref="H93:J93" ca="1">TRANSPOSE(MMULT(adjchol,TRANSPOSE(C93:E93)))</f>
        <v>0.32150098033497737</v>
      </c>
      <c r="I93" s="19">
        <f ca="1"/>
        <v>-0.3463458320193501</v>
      </c>
      <c r="J93" s="19">
        <f ca="1"/>
        <v>1.6173377727713658</v>
      </c>
      <c r="K93" s="20"/>
      <c r="M93" s="21">
        <f t="shared" ca="1" si="8"/>
        <v>2.3215009803349774E-2</v>
      </c>
      <c r="N93" s="21">
        <f t="shared" ca="1" si="9"/>
        <v>1.6146166719225995E-2</v>
      </c>
      <c r="O93" s="21">
        <f t="shared" ca="1" si="10"/>
        <v>0.33260066591570486</v>
      </c>
    </row>
    <row r="94" spans="2:15">
      <c r="B94" s="12">
        <v>67</v>
      </c>
      <c r="C94" s="19">
        <f t="shared" ca="1" si="11"/>
        <v>0.46603013830400219</v>
      </c>
      <c r="D94" s="19">
        <f t="shared" ca="1" si="11"/>
        <v>-0.9714768336393349</v>
      </c>
      <c r="E94" s="19">
        <f t="shared" ca="1" si="11"/>
        <v>-0.55481683284583605</v>
      </c>
      <c r="F94" s="20"/>
      <c r="H94" s="19">
        <f t="array" aca="1" ref="H94:J94" ca="1">TRANSPOSE(MMULT(adjchol,TRANSPOSE(C94:E94)))</f>
        <v>0.46603013830400219</v>
      </c>
      <c r="I94" s="19">
        <f ca="1"/>
        <v>-4.0298099088715289E-3</v>
      </c>
      <c r="J94" s="19">
        <f ca="1"/>
        <v>0.57183429510730632</v>
      </c>
      <c r="K94" s="20"/>
      <c r="M94" s="21">
        <f t="shared" ca="1" si="8"/>
        <v>2.4660301383040022E-2</v>
      </c>
      <c r="N94" s="21">
        <f t="shared" ca="1" si="9"/>
        <v>2.9838807603645139E-2</v>
      </c>
      <c r="O94" s="21">
        <f t="shared" ca="1" si="10"/>
        <v>0.17577514426609595</v>
      </c>
    </row>
    <row r="95" spans="2:15">
      <c r="B95" s="12">
        <v>68</v>
      </c>
      <c r="C95" s="19">
        <f t="shared" ca="1" si="11"/>
        <v>-9.656026035306739E-2</v>
      </c>
      <c r="D95" s="19">
        <f t="shared" ca="1" si="11"/>
        <v>0.54547908910042164</v>
      </c>
      <c r="E95" s="19">
        <f t="shared" ca="1" si="11"/>
        <v>-0.81812222041238158</v>
      </c>
      <c r="F95" s="20"/>
      <c r="H95" s="19">
        <f t="array" aca="1" ref="H95:J95" ca="1">TRANSPOSE(MMULT(adjchol,TRANSPOSE(C95:E95)))</f>
        <v>-9.656026035306739E-2</v>
      </c>
      <c r="I95" s="19">
        <f ca="1"/>
        <v>0.15086458820257501</v>
      </c>
      <c r="J95" s="19">
        <f ca="1"/>
        <v>-0.74911969428993319</v>
      </c>
      <c r="K95" s="20"/>
      <c r="M95" s="21">
        <f t="shared" ca="1" si="8"/>
        <v>1.9034397396469328E-2</v>
      </c>
      <c r="N95" s="21">
        <f t="shared" ca="1" si="9"/>
        <v>3.6034583528103001E-2</v>
      </c>
      <c r="O95" s="21">
        <f t="shared" ca="1" si="10"/>
        <v>-2.2367954143489979E-2</v>
      </c>
    </row>
    <row r="96" spans="2:15">
      <c r="B96" s="12">
        <v>69</v>
      </c>
      <c r="C96" s="19">
        <f t="shared" ca="1" si="11"/>
        <v>0.24124753204278632</v>
      </c>
      <c r="D96" s="19">
        <f t="shared" ca="1" si="11"/>
        <v>-4.2478469044391495E-2</v>
      </c>
      <c r="E96" s="19">
        <f t="shared" ca="1" si="11"/>
        <v>-9.2247810103638653E-2</v>
      </c>
      <c r="F96" s="20"/>
      <c r="H96" s="19">
        <f t="array" aca="1" ref="H96:J96" ca="1">TRANSPOSE(MMULT(adjchol,TRANSPOSE(C96:E96)))</f>
        <v>0.24124753204278632</v>
      </c>
      <c r="I96" s="19">
        <f ca="1"/>
        <v>0.19860684345442536</v>
      </c>
      <c r="J96" s="19">
        <f ca="1"/>
        <v>0.14689520839111891</v>
      </c>
      <c r="K96" s="20"/>
      <c r="M96" s="21">
        <f t="shared" ca="1" si="8"/>
        <v>2.2412475320427862E-2</v>
      </c>
      <c r="N96" s="21">
        <f t="shared" ca="1" si="9"/>
        <v>3.7944273738177013E-2</v>
      </c>
      <c r="O96" s="21">
        <f t="shared" ca="1" si="10"/>
        <v>0.11203428125866784</v>
      </c>
    </row>
    <row r="97" spans="2:15">
      <c r="B97" s="12">
        <v>70</v>
      </c>
      <c r="C97" s="19">
        <f t="shared" ca="1" si="11"/>
        <v>-0.93681534268492106</v>
      </c>
      <c r="D97" s="19">
        <f t="shared" ca="1" si="11"/>
        <v>1.1478206753328732</v>
      </c>
      <c r="E97" s="19">
        <f t="shared" ca="1" si="11"/>
        <v>0.30585919968642972</v>
      </c>
      <c r="F97" s="20"/>
      <c r="H97" s="19">
        <f t="array" aca="1" ref="H97:J97" ca="1">TRANSPOSE(MMULT(adjchol,TRANSPOSE(C97:E97)))</f>
        <v>-0.93681534268492106</v>
      </c>
      <c r="I97" s="19">
        <f ca="1"/>
        <v>-0.34281037550816862</v>
      </c>
      <c r="J97" s="19">
        <f ca="1"/>
        <v>-1.1142378686887184</v>
      </c>
      <c r="K97" s="20"/>
      <c r="M97" s="21">
        <f t="shared" ca="1" si="8"/>
        <v>1.0631846573150789E-2</v>
      </c>
      <c r="N97" s="21">
        <f t="shared" ca="1" si="9"/>
        <v>1.6287584979673253E-2</v>
      </c>
      <c r="O97" s="21">
        <f t="shared" ca="1" si="10"/>
        <v>-7.7135680303307752E-2</v>
      </c>
    </row>
    <row r="98" spans="2:15">
      <c r="B98" s="12">
        <v>71</v>
      </c>
      <c r="C98" s="19">
        <f t="shared" ca="1" si="11"/>
        <v>0.42232075499419258</v>
      </c>
      <c r="D98" s="19">
        <f t="shared" ca="1" si="11"/>
        <v>1.465624208587087</v>
      </c>
      <c r="E98" s="19">
        <f t="shared" ca="1" si="11"/>
        <v>1.1329156988266733</v>
      </c>
      <c r="F98" s="20"/>
      <c r="H98" s="19">
        <f t="array" aca="1" ref="H98:J98" ca="1">TRANSPOSE(MMULT(adjchol,TRANSPOSE(C98:E98)))</f>
        <v>0.42232075499419258</v>
      </c>
      <c r="I98" s="19">
        <f ca="1"/>
        <v>1.018939460938562</v>
      </c>
      <c r="J98" s="19">
        <f ca="1"/>
        <v>6.7467905846202603E-2</v>
      </c>
      <c r="K98" s="20"/>
      <c r="M98" s="21">
        <f t="shared" ca="1" si="8"/>
        <v>2.4223207549941925E-2</v>
      </c>
      <c r="N98" s="21">
        <f t="shared" ca="1" si="9"/>
        <v>7.075757843754249E-2</v>
      </c>
      <c r="O98" s="21">
        <f t="shared" ca="1" si="10"/>
        <v>0.10012018587693039</v>
      </c>
    </row>
    <row r="99" spans="2:15">
      <c r="B99" s="12">
        <v>72</v>
      </c>
      <c r="C99" s="19">
        <f t="shared" ca="1" si="11"/>
        <v>-1.3709506695895748</v>
      </c>
      <c r="D99" s="19">
        <f t="shared" ca="1" si="11"/>
        <v>-0.18013800093526458</v>
      </c>
      <c r="E99" s="19">
        <f t="shared" ca="1" si="11"/>
        <v>1.3592562164477247</v>
      </c>
      <c r="F99" s="20"/>
      <c r="H99" s="19">
        <f t="array" aca="1" ref="H99:J99" ca="1">TRANSPOSE(MMULT(adjchol,TRANSPOSE(C99:E99)))</f>
        <v>-1.3709506695895748</v>
      </c>
      <c r="I99" s="19">
        <f ca="1"/>
        <v>-1.3123759368274426</v>
      </c>
      <c r="J99" s="19">
        <f ca="1"/>
        <v>-0.21050442186817797</v>
      </c>
      <c r="K99" s="20"/>
      <c r="M99" s="21">
        <f t="shared" ca="1" si="8"/>
        <v>6.2904933041042516E-3</v>
      </c>
      <c r="N99" s="21">
        <f t="shared" ca="1" si="9"/>
        <v>-2.2495037473097702E-2</v>
      </c>
      <c r="O99" s="21">
        <f t="shared" ca="1" si="10"/>
        <v>5.8424336719773304E-2</v>
      </c>
    </row>
    <row r="100" spans="2:15">
      <c r="B100" s="12">
        <v>73</v>
      </c>
      <c r="C100" s="19">
        <f t="shared" ca="1" si="11"/>
        <v>-1.9266280470252231</v>
      </c>
      <c r="D100" s="19">
        <f t="shared" ca="1" si="11"/>
        <v>0.7423991855564106</v>
      </c>
      <c r="E100" s="19">
        <f t="shared" ca="1" si="11"/>
        <v>-0.15835823200485238</v>
      </c>
      <c r="F100" s="20"/>
      <c r="H100" s="19">
        <f t="array" aca="1" ref="H100:J100" ca="1">TRANSPOSE(MMULT(adjchol,TRANSPOSE(C100:E100)))</f>
        <v>-1.9266280470252231</v>
      </c>
      <c r="I100" s="19">
        <f ca="1"/>
        <v>-1.4103609397619714</v>
      </c>
      <c r="J100" s="19">
        <f ca="1"/>
        <v>-1.8165773353084969</v>
      </c>
      <c r="K100" s="20"/>
      <c r="M100" s="21">
        <f t="shared" ca="1" si="8"/>
        <v>7.3371952974777069E-4</v>
      </c>
      <c r="N100" s="21">
        <f t="shared" ca="1" si="9"/>
        <v>-2.6414437590478859E-2</v>
      </c>
      <c r="O100" s="21">
        <f t="shared" ca="1" si="10"/>
        <v>-0.18248660029627453</v>
      </c>
    </row>
    <row r="101" spans="2:15">
      <c r="B101" s="12">
        <v>74</v>
      </c>
      <c r="C101" s="19">
        <f t="shared" ca="1" si="11"/>
        <v>-1.6554252857526945</v>
      </c>
      <c r="D101" s="19">
        <f t="shared" ca="1" si="11"/>
        <v>-0.61937292906843766</v>
      </c>
      <c r="E101" s="19">
        <f t="shared" ca="1" si="11"/>
        <v>-0.82223451006832371</v>
      </c>
      <c r="F101" s="20"/>
      <c r="H101" s="19">
        <f t="array" aca="1" ref="H101:J101" ca="1">TRANSPOSE(MMULT(adjchol,TRANSPOSE(C101:E101)))</f>
        <v>-1.6554252857526945</v>
      </c>
      <c r="I101" s="19">
        <f ca="1"/>
        <v>-1.7598611577948358</v>
      </c>
      <c r="J101" s="19">
        <f ca="1"/>
        <v>-1.227662779463617</v>
      </c>
      <c r="K101" s="20"/>
      <c r="M101" s="21">
        <f t="shared" ca="1" si="8"/>
        <v>3.4457471424730532E-3</v>
      </c>
      <c r="N101" s="21">
        <f t="shared" ca="1" si="9"/>
        <v>-4.0394446311793439E-2</v>
      </c>
      <c r="O101" s="21">
        <f t="shared" ca="1" si="10"/>
        <v>-9.4149416919542539E-2</v>
      </c>
    </row>
    <row r="102" spans="2:15">
      <c r="B102" s="12">
        <v>75</v>
      </c>
      <c r="C102" s="19">
        <f t="shared" ca="1" si="11"/>
        <v>-0.8401680121556554</v>
      </c>
      <c r="D102" s="19">
        <f t="shared" ca="1" si="11"/>
        <v>9.6423172353480649E-2</v>
      </c>
      <c r="E102" s="19">
        <f t="shared" ca="1" si="11"/>
        <v>1.4393131544248201</v>
      </c>
      <c r="F102" s="20"/>
      <c r="H102" s="19">
        <f t="array" aca="1" ref="H102:J102" ca="1">TRANSPOSE(MMULT(adjchol,TRANSPOSE(C102:E102)))</f>
        <v>-0.8401680121556554</v>
      </c>
      <c r="I102" s="19">
        <f ca="1"/>
        <v>-0.71412132452964716</v>
      </c>
      <c r="J102" s="19">
        <f ca="1"/>
        <v>5.3639744234720288E-2</v>
      </c>
      <c r="K102" s="20"/>
      <c r="M102" s="21">
        <f t="shared" ca="1" si="8"/>
        <v>1.1598319878443446E-2</v>
      </c>
      <c r="N102" s="21">
        <f t="shared" ca="1" si="9"/>
        <v>1.4351470188141112E-3</v>
      </c>
      <c r="O102" s="21">
        <f t="shared" ca="1" si="10"/>
        <v>9.804596163520804E-2</v>
      </c>
    </row>
    <row r="103" spans="2:15">
      <c r="B103" s="12">
        <v>76</v>
      </c>
      <c r="C103" s="19">
        <f t="shared" ca="1" si="11"/>
        <v>-0.57503315332213101</v>
      </c>
      <c r="D103" s="19">
        <f t="shared" ca="1" si="11"/>
        <v>0.55739834571989311</v>
      </c>
      <c r="E103" s="19">
        <f t="shared" ca="1" si="11"/>
        <v>-1.2247624044030618</v>
      </c>
      <c r="F103" s="20"/>
      <c r="H103" s="19">
        <f t="array" aca="1" ref="H103:J103" ca="1">TRANSPOSE(MMULT(adjchol,TRANSPOSE(C103:E103)))</f>
        <v>-0.57503315332213101</v>
      </c>
      <c r="I103" s="19">
        <f ca="1"/>
        <v>-0.27456553196094186</v>
      </c>
      <c r="J103" s="19">
        <f ca="1"/>
        <v>-1.2860260226753977</v>
      </c>
      <c r="K103" s="20"/>
      <c r="M103" s="21">
        <f t="shared" ca="1" si="8"/>
        <v>1.424966846677869E-2</v>
      </c>
      <c r="N103" s="21">
        <f t="shared" ca="1" si="9"/>
        <v>1.9017378721562325E-2</v>
      </c>
      <c r="O103" s="21">
        <f t="shared" ca="1" si="10"/>
        <v>-0.10290390340130964</v>
      </c>
    </row>
    <row r="104" spans="2:15">
      <c r="B104" s="12">
        <v>77</v>
      </c>
      <c r="C104" s="19">
        <f t="shared" ca="1" si="11"/>
        <v>1.7603011010977836</v>
      </c>
      <c r="D104" s="19">
        <f t="shared" ca="1" si="11"/>
        <v>-1.1811884713274745</v>
      </c>
      <c r="E104" s="19">
        <f t="shared" ca="1" si="11"/>
        <v>-0.80858949749015019</v>
      </c>
      <c r="F104" s="20"/>
      <c r="H104" s="19">
        <f t="array" aca="1" ref="H104:J104" ca="1">TRANSPOSE(MMULT(adjchol,TRANSPOSE(C104:E104)))</f>
        <v>1.7603011010977836</v>
      </c>
      <c r="I104" s="19">
        <f ca="1"/>
        <v>1.0694028730088303</v>
      </c>
      <c r="J104" s="19">
        <f ca="1"/>
        <v>1.4663574803533008</v>
      </c>
      <c r="K104" s="20"/>
      <c r="M104" s="21">
        <f t="shared" ca="1" si="8"/>
        <v>3.7603011010977835E-2</v>
      </c>
      <c r="N104" s="21">
        <f t="shared" ca="1" si="9"/>
        <v>7.2776114920353213E-2</v>
      </c>
      <c r="O104" s="21">
        <f t="shared" ca="1" si="10"/>
        <v>0.30995362205299515</v>
      </c>
    </row>
    <row r="105" spans="2:15">
      <c r="B105" s="12">
        <v>78</v>
      </c>
      <c r="C105" s="19">
        <f t="shared" ca="1" si="11"/>
        <v>3.4542722523919087E-2</v>
      </c>
      <c r="D105" s="19">
        <f t="shared" ca="1" si="11"/>
        <v>-0.48379813506974878</v>
      </c>
      <c r="E105" s="19">
        <f t="shared" ca="1" si="11"/>
        <v>0.38761627921105302</v>
      </c>
      <c r="F105" s="20"/>
      <c r="H105" s="19">
        <f t="array" aca="1" ref="H105:J105" ca="1">TRANSPOSE(MMULT(adjchol,TRANSPOSE(C105:E105)))</f>
        <v>3.4542722523919087E-2</v>
      </c>
      <c r="I105" s="19">
        <f ca="1"/>
        <v>-0.17979426771272039</v>
      </c>
      <c r="J105" s="19">
        <f ca="1"/>
        <v>0.46599021205450614</v>
      </c>
      <c r="K105" s="20"/>
      <c r="M105" s="21">
        <f t="shared" ca="1" si="8"/>
        <v>2.0345427225239191E-2</v>
      </c>
      <c r="N105" s="21">
        <f t="shared" ca="1" si="9"/>
        <v>2.2808229291491185E-2</v>
      </c>
      <c r="O105" s="21">
        <f t="shared" ca="1" si="10"/>
        <v>0.15989853180817593</v>
      </c>
    </row>
    <row r="106" spans="2:15">
      <c r="B106" s="12">
        <v>79</v>
      </c>
      <c r="C106" s="19">
        <f t="shared" ca="1" si="11"/>
        <v>1.1332314006797799</v>
      </c>
      <c r="D106" s="19">
        <f t="shared" ca="1" si="11"/>
        <v>1.3558896129991094</v>
      </c>
      <c r="E106" s="19">
        <f t="shared" ca="1" si="11"/>
        <v>-1.8020692360904231</v>
      </c>
      <c r="F106" s="20"/>
      <c r="H106" s="19">
        <f t="array" aca="1" ref="H106:J106" ca="1">TRANSPOSE(MMULT(adjchol,TRANSPOSE(C106:E106)))</f>
        <v>1.1332314006797799</v>
      </c>
      <c r="I106" s="19">
        <f ca="1"/>
        <v>1.6109268407777608</v>
      </c>
      <c r="J106" s="19">
        <f ca="1"/>
        <v>-0.78938504091805639</v>
      </c>
      <c r="K106" s="20"/>
      <c r="M106" s="21">
        <f t="shared" ca="1" si="8"/>
        <v>3.1332314006797798E-2</v>
      </c>
      <c r="N106" s="21">
        <f t="shared" ca="1" si="9"/>
        <v>9.4437073631110438E-2</v>
      </c>
      <c r="O106" s="21">
        <f t="shared" ca="1" si="10"/>
        <v>-2.8407756137708462E-2</v>
      </c>
    </row>
    <row r="107" spans="2:15">
      <c r="B107" s="12">
        <v>80</v>
      </c>
      <c r="C107" s="19">
        <f t="shared" ca="1" si="11"/>
        <v>-6.2734428155737487E-2</v>
      </c>
      <c r="D107" s="19">
        <f t="shared" ca="1" si="11"/>
        <v>1.3279935877643767</v>
      </c>
      <c r="E107" s="19">
        <f t="shared" ca="1" si="11"/>
        <v>1.5668410259041676</v>
      </c>
      <c r="F107" s="20"/>
      <c r="H107" s="19">
        <f t="array" aca="1" ref="H107:J107" ca="1">TRANSPOSE(MMULT(adjchol,TRANSPOSE(C107:E107)))</f>
        <v>-6.2734428155737487E-2</v>
      </c>
      <c r="I107" s="19">
        <f ca="1"/>
        <v>0.5223979993333292</v>
      </c>
      <c r="J107" s="19">
        <f ca="1"/>
        <v>9.3672941564405532E-3</v>
      </c>
      <c r="K107" s="20"/>
      <c r="M107" s="21">
        <f t="shared" ca="1" si="8"/>
        <v>1.9372655718442624E-2</v>
      </c>
      <c r="N107" s="21">
        <f t="shared" ca="1" si="9"/>
        <v>5.0895919973333169E-2</v>
      </c>
      <c r="O107" s="21">
        <f t="shared" ca="1" si="10"/>
        <v>9.1405094123466077E-2</v>
      </c>
    </row>
    <row r="108" spans="2:15">
      <c r="B108" s="12">
        <v>81</v>
      </c>
      <c r="C108" s="19">
        <f t="shared" ca="1" si="11"/>
        <v>1.2631346249593594</v>
      </c>
      <c r="D108" s="19">
        <f t="shared" ca="1" si="11"/>
        <v>0.69736566075344619</v>
      </c>
      <c r="E108" s="19">
        <f t="shared" ca="1" si="11"/>
        <v>0.27440234275224296</v>
      </c>
      <c r="F108" s="20"/>
      <c r="H108" s="19">
        <f t="array" aca="1" ref="H108:J108" ca="1">TRANSPOSE(MMULT(adjchol,TRANSPOSE(C108:E108)))</f>
        <v>1.2631346249593594</v>
      </c>
      <c r="I108" s="19">
        <f ca="1"/>
        <v>1.4407958066553974</v>
      </c>
      <c r="J108" s="19">
        <f ca="1"/>
        <v>0.64827461121307528</v>
      </c>
      <c r="K108" s="20"/>
      <c r="M108" s="21">
        <f t="shared" ca="1" si="8"/>
        <v>3.2631346249593594E-2</v>
      </c>
      <c r="N108" s="21">
        <f t="shared" ca="1" si="9"/>
        <v>8.7631832266215903E-2</v>
      </c>
      <c r="O108" s="21">
        <f t="shared" ca="1" si="10"/>
        <v>0.18724119168196129</v>
      </c>
    </row>
    <row r="109" spans="2:15">
      <c r="B109" s="12">
        <v>82</v>
      </c>
      <c r="C109" s="19">
        <f t="shared" ca="1" si="11"/>
        <v>-0.22794444340189349</v>
      </c>
      <c r="D109" s="19">
        <f t="shared" ca="1" si="11"/>
        <v>1.9410992688317914</v>
      </c>
      <c r="E109" s="19">
        <f t="shared" ca="1" si="11"/>
        <v>-0.9826932370539132</v>
      </c>
      <c r="F109" s="20"/>
      <c r="H109" s="19">
        <f t="array" aca="1" ref="H109:J109" ca="1">TRANSPOSE(MMULT(adjchol,TRANSPOSE(C109:E109)))</f>
        <v>-0.22794444340189349</v>
      </c>
      <c r="I109" s="19">
        <f ca="1"/>
        <v>0.64095555616014266</v>
      </c>
      <c r="J109" s="19">
        <f ca="1"/>
        <v>-1.6566921810848116</v>
      </c>
      <c r="K109" s="20"/>
      <c r="M109" s="21">
        <f t="shared" ca="1" si="8"/>
        <v>1.7720555565981067E-2</v>
      </c>
      <c r="N109" s="21">
        <f t="shared" ca="1" si="9"/>
        <v>5.5638222246405702E-2</v>
      </c>
      <c r="O109" s="21">
        <f t="shared" ca="1" si="10"/>
        <v>-0.15850382716272174</v>
      </c>
    </row>
    <row r="110" spans="2:15">
      <c r="B110" s="12">
        <v>83</v>
      </c>
      <c r="C110" s="19">
        <f t="shared" ca="1" si="11"/>
        <v>-0.62142072372684976</v>
      </c>
      <c r="D110" s="19">
        <f t="shared" ca="1" si="11"/>
        <v>-0.4869913185059947</v>
      </c>
      <c r="E110" s="19">
        <f t="shared" ca="1" si="11"/>
        <v>-0.30026324496217011</v>
      </c>
      <c r="F110" s="20"/>
      <c r="H110" s="19">
        <f t="array" aca="1" ref="H110:J110" ca="1">TRANSPOSE(MMULT(adjchol,TRANSPOSE(C110:E110)))</f>
        <v>-0.62142072372684976</v>
      </c>
      <c r="I110" s="19">
        <f ca="1"/>
        <v>-0.77155324572909079</v>
      </c>
      <c r="J110" s="19">
        <f ca="1"/>
        <v>-0.32252515535277376</v>
      </c>
      <c r="K110" s="20"/>
      <c r="M110" s="21">
        <f t="shared" ca="1" si="8"/>
        <v>1.3785792762731503E-2</v>
      </c>
      <c r="N110" s="21">
        <f t="shared" ca="1" si="9"/>
        <v>-8.6212982916363326E-4</v>
      </c>
      <c r="O110" s="21">
        <f t="shared" ca="1" si="10"/>
        <v>4.1621226697083936E-2</v>
      </c>
    </row>
    <row r="111" spans="2:15">
      <c r="B111" s="12">
        <v>84</v>
      </c>
      <c r="C111" s="19">
        <f t="shared" ca="1" si="11"/>
        <v>-0.66924774234177242</v>
      </c>
      <c r="D111" s="19">
        <f t="shared" ca="1" si="11"/>
        <v>-5.0200083316707618E-2</v>
      </c>
      <c r="E111" s="19">
        <f t="shared" ca="1" si="11"/>
        <v>0.41376959917919565</v>
      </c>
      <c r="F111" s="20"/>
      <c r="H111" s="19">
        <f t="array" aca="1" ref="H111:J111" ca="1">TRANSPOSE(MMULT(adjchol,TRANSPOSE(C111:E111)))</f>
        <v>-0.66924774234177242</v>
      </c>
      <c r="I111" s="19">
        <f ca="1"/>
        <v>-0.6242046771210803</v>
      </c>
      <c r="J111" s="19">
        <f ca="1"/>
        <v>-0.24286813770637991</v>
      </c>
      <c r="K111" s="20"/>
      <c r="M111" s="21">
        <f t="shared" ca="1" si="8"/>
        <v>1.3307522576582277E-2</v>
      </c>
      <c r="N111" s="21">
        <f t="shared" ca="1" si="9"/>
        <v>5.0318129151567872E-3</v>
      </c>
      <c r="O111" s="21">
        <f t="shared" ca="1" si="10"/>
        <v>5.3569779344043014E-2</v>
      </c>
    </row>
    <row r="112" spans="2:15">
      <c r="B112" s="12">
        <v>85</v>
      </c>
      <c r="C112" s="19">
        <f t="shared" ca="1" si="11"/>
        <v>-0.32308462615520545</v>
      </c>
      <c r="D112" s="19">
        <f t="shared" ca="1" si="11"/>
        <v>-0.91148788119097901</v>
      </c>
      <c r="E112" s="19">
        <f t="shared" ca="1" si="11"/>
        <v>-0.25907573511774945</v>
      </c>
      <c r="F112" s="20"/>
      <c r="H112" s="19">
        <f t="array" aca="1" ref="H112:J112" ca="1">TRANSPOSE(MMULT(adjchol,TRANSPOSE(C112:E112)))</f>
        <v>-0.32308462615520545</v>
      </c>
      <c r="I112" s="19">
        <f ca="1"/>
        <v>-0.68808451977703333</v>
      </c>
      <c r="J112" s="19">
        <f ca="1"/>
        <v>0.1301188723287231</v>
      </c>
      <c r="K112" s="20"/>
      <c r="M112" s="21">
        <f t="shared" ca="1" si="8"/>
        <v>1.6769153738447947E-2</v>
      </c>
      <c r="N112" s="21">
        <f t="shared" ca="1" si="9"/>
        <v>2.4766192089186664E-3</v>
      </c>
      <c r="O112" s="21">
        <f t="shared" ca="1" si="10"/>
        <v>0.10951783084930847</v>
      </c>
    </row>
    <row r="113" spans="2:15">
      <c r="B113" s="12">
        <v>86</v>
      </c>
      <c r="C113" s="19">
        <f t="shared" ca="1" si="11"/>
        <v>0.22677485993803617</v>
      </c>
      <c r="D113" s="19">
        <f t="shared" ca="1" si="11"/>
        <v>-1.6711380839781897</v>
      </c>
      <c r="E113" s="19">
        <f t="shared" ca="1" si="11"/>
        <v>-1.1177481583008271</v>
      </c>
      <c r="F113" s="20"/>
      <c r="H113" s="19">
        <f t="array" aca="1" ref="H113:J113" ca="1">TRANSPOSE(MMULT(adjchol,TRANSPOSE(C113:E113)))</f>
        <v>0.22677485993803617</v>
      </c>
      <c r="I113" s="19">
        <f ca="1"/>
        <v>-0.52433482893207894</v>
      </c>
      <c r="J113" s="19">
        <f ca="1"/>
        <v>0.50263871514543501</v>
      </c>
      <c r="K113" s="20"/>
      <c r="M113" s="21">
        <f t="shared" ca="1" si="8"/>
        <v>2.2267748599380362E-2</v>
      </c>
      <c r="N113" s="21">
        <f t="shared" ca="1" si="9"/>
        <v>9.0266068427168403E-3</v>
      </c>
      <c r="O113" s="21">
        <f t="shared" ca="1" si="10"/>
        <v>0.16539580727181524</v>
      </c>
    </row>
    <row r="114" spans="2:15">
      <c r="B114" s="12">
        <v>87</v>
      </c>
      <c r="C114" s="19">
        <f t="shared" ca="1" si="11"/>
        <v>0.30055911573616567</v>
      </c>
      <c r="D114" s="19">
        <f t="shared" ca="1" si="11"/>
        <v>0.56071280623144082</v>
      </c>
      <c r="E114" s="19">
        <f t="shared" ca="1" si="11"/>
        <v>-0.30091741243625475</v>
      </c>
      <c r="F114" s="20"/>
      <c r="H114" s="19">
        <f t="array" aca="1" ref="H114:J114" ca="1">TRANSPOSE(MMULT(adjchol,TRANSPOSE(C114:E114)))</f>
        <v>0.30055911573616567</v>
      </c>
      <c r="I114" s="19">
        <f ca="1"/>
        <v>0.51491225003374441</v>
      </c>
      <c r="J114" s="19">
        <f ca="1"/>
        <v>-0.23028163496317691</v>
      </c>
      <c r="K114" s="20"/>
      <c r="M114" s="21">
        <f t="shared" ca="1" si="8"/>
        <v>2.3005591157361657E-2</v>
      </c>
      <c r="N114" s="21">
        <f t="shared" ca="1" si="9"/>
        <v>5.0596490001349775E-2</v>
      </c>
      <c r="O114" s="21">
        <f t="shared" ca="1" si="10"/>
        <v>5.5457754755523461E-2</v>
      </c>
    </row>
    <row r="115" spans="2:15">
      <c r="B115" s="12">
        <v>88</v>
      </c>
      <c r="C115" s="19">
        <f t="shared" ca="1" si="11"/>
        <v>-0.73043772002088525</v>
      </c>
      <c r="D115" s="19">
        <f t="shared" ca="1" si="11"/>
        <v>0.61157869419769817</v>
      </c>
      <c r="E115" s="19">
        <f t="shared" ca="1" si="11"/>
        <v>0.59305861281695815</v>
      </c>
      <c r="F115" s="20"/>
      <c r="H115" s="19">
        <f t="array" aca="1" ref="H115:J115" ca="1">TRANSPOSE(MMULT(adjchol,TRANSPOSE(C115:E115)))</f>
        <v>-0.73043772002088525</v>
      </c>
      <c r="I115" s="19">
        <f ca="1"/>
        <v>-0.39081297561576361</v>
      </c>
      <c r="J115" s="19">
        <f ca="1"/>
        <v>-0.54861416396711959</v>
      </c>
      <c r="K115" s="20"/>
      <c r="M115" s="21">
        <f t="shared" ca="1" si="8"/>
        <v>1.2695622799791147E-2</v>
      </c>
      <c r="N115" s="21">
        <f t="shared" ca="1" si="9"/>
        <v>1.4367480975369454E-2</v>
      </c>
      <c r="O115" s="21">
        <f t="shared" ca="1" si="10"/>
        <v>7.707875404932063E-3</v>
      </c>
    </row>
    <row r="116" spans="2:15">
      <c r="B116" s="12">
        <v>89</v>
      </c>
      <c r="C116" s="19">
        <f t="shared" ca="1" si="11"/>
        <v>-0.11225518281987984</v>
      </c>
      <c r="D116" s="19">
        <f t="shared" ca="1" si="11"/>
        <v>-0.11585506142076217</v>
      </c>
      <c r="E116" s="19">
        <f t="shared" ca="1" si="11"/>
        <v>0.13930525705565561</v>
      </c>
      <c r="F116" s="20"/>
      <c r="H116" s="19">
        <f t="array" aca="1" ref="H116:J116" ca="1">TRANSPOSE(MMULT(adjchol,TRANSPOSE(C116:E116)))</f>
        <v>-0.11225518281987984</v>
      </c>
      <c r="I116" s="19">
        <f ca="1"/>
        <v>-0.15152971502097184</v>
      </c>
      <c r="J116" s="19">
        <f ca="1"/>
        <v>4.959039381283982E-2</v>
      </c>
      <c r="K116" s="20"/>
      <c r="M116" s="21">
        <f t="shared" ca="1" si="8"/>
        <v>1.8877448171801203E-2</v>
      </c>
      <c r="N116" s="21">
        <f t="shared" ca="1" si="9"/>
        <v>2.3938811399161125E-2</v>
      </c>
      <c r="O116" s="21">
        <f t="shared" ca="1" si="10"/>
        <v>9.7438559071925973E-2</v>
      </c>
    </row>
    <row r="117" spans="2:15">
      <c r="B117" s="12">
        <v>90</v>
      </c>
      <c r="C117" s="19">
        <f t="shared" ca="1" si="11"/>
        <v>-0.48527406949660162</v>
      </c>
      <c r="D117" s="19">
        <f t="shared" ca="1" si="11"/>
        <v>1.3066988193713351</v>
      </c>
      <c r="E117" s="19">
        <f t="shared" ca="1" si="11"/>
        <v>1.6021825544422374</v>
      </c>
      <c r="F117" s="20"/>
      <c r="H117" s="19">
        <f t="array" aca="1" ref="H117:J117" ca="1">TRANSPOSE(MMULT(adjchol,TRANSPOSE(C117:E117)))</f>
        <v>-0.48527406949660162</v>
      </c>
      <c r="I117" s="19">
        <f ca="1"/>
        <v>0.13283014778141428</v>
      </c>
      <c r="J117" s="19">
        <f ca="1"/>
        <v>-0.25816685827401353</v>
      </c>
      <c r="K117" s="20"/>
      <c r="M117" s="21">
        <f t="shared" ca="1" si="8"/>
        <v>1.5147259305033984E-2</v>
      </c>
      <c r="N117" s="21">
        <f t="shared" ca="1" si="9"/>
        <v>3.531320591125657E-2</v>
      </c>
      <c r="O117" s="21">
        <f t="shared" ca="1" si="10"/>
        <v>5.1274971258897968E-2</v>
      </c>
    </row>
    <row r="118" spans="2:15">
      <c r="B118" s="12">
        <v>91</v>
      </c>
      <c r="C118" s="19">
        <f t="shared" ca="1" si="11"/>
        <v>0.27599768307684297</v>
      </c>
      <c r="D118" s="19">
        <f t="shared" ca="1" si="11"/>
        <v>-0.42012718900284418</v>
      </c>
      <c r="E118" s="19">
        <f t="shared" ca="1" si="11"/>
        <v>-0.84907672666867651</v>
      </c>
      <c r="F118" s="20"/>
      <c r="H118" s="19">
        <f t="array" aca="1" ref="H118:J118" ca="1">TRANSPOSE(MMULT(adjchol,TRANSPOSE(C118:E118)))</f>
        <v>0.27599768307684297</v>
      </c>
      <c r="I118" s="19">
        <f ca="1"/>
        <v>6.5268718739437681E-2</v>
      </c>
      <c r="J118" s="19">
        <f ca="1"/>
        <v>6.2828650259341146E-3</v>
      </c>
      <c r="K118" s="20"/>
      <c r="M118" s="21">
        <f t="shared" ca="1" si="8"/>
        <v>2.2759976830768431E-2</v>
      </c>
      <c r="N118" s="21">
        <f t="shared" ca="1" si="9"/>
        <v>3.2610748749577506E-2</v>
      </c>
      <c r="O118" s="21">
        <f t="shared" ca="1" si="10"/>
        <v>9.0942429753890108E-2</v>
      </c>
    </row>
    <row r="119" spans="2:15">
      <c r="B119" s="12">
        <v>92</v>
      </c>
      <c r="C119" s="19">
        <f t="shared" ca="1" si="11"/>
        <v>-0.12697978918761302</v>
      </c>
      <c r="D119" s="19">
        <f t="shared" ca="1" si="11"/>
        <v>0.38963601876234516</v>
      </c>
      <c r="E119" s="19">
        <f t="shared" ca="1" si="11"/>
        <v>-1.6875410339726606</v>
      </c>
      <c r="F119" s="20"/>
      <c r="H119" s="19">
        <f t="array" aca="1" ref="H119:J119" ca="1">TRANSPOSE(MMULT(adjchol,TRANSPOSE(C119:E119)))</f>
        <v>-0.12697978918761302</v>
      </c>
      <c r="I119" s="19">
        <f ca="1"/>
        <v>5.555659278600629E-2</v>
      </c>
      <c r="J119" s="19">
        <f ca="1"/>
        <v>-1.1065691795220867</v>
      </c>
      <c r="K119" s="20"/>
      <c r="M119" s="21">
        <f t="shared" ca="1" si="8"/>
        <v>1.8730202108123869E-2</v>
      </c>
      <c r="N119" s="21">
        <f t="shared" ca="1" si="9"/>
        <v>3.2222263711440248E-2</v>
      </c>
      <c r="O119" s="21">
        <f t="shared" ca="1" si="10"/>
        <v>-7.5985376928313003E-2</v>
      </c>
    </row>
    <row r="120" spans="2:15">
      <c r="B120" s="12">
        <v>93</v>
      </c>
      <c r="C120" s="19">
        <f t="shared" ca="1" si="11"/>
        <v>-1.2848609307886745</v>
      </c>
      <c r="D120" s="19">
        <f t="shared" ca="1" si="11"/>
        <v>1.6996762877222957</v>
      </c>
      <c r="E120" s="19">
        <f t="shared" ca="1" si="11"/>
        <v>-2.1490129986427497</v>
      </c>
      <c r="F120" s="20"/>
      <c r="H120" s="19">
        <f t="array" aca="1" ref="H120:J120" ca="1">TRANSPOSE(MMULT(adjchol,TRANSPOSE(C120:E120)))</f>
        <v>-1.2848609307886745</v>
      </c>
      <c r="I120" s="19">
        <f ca="1"/>
        <v>-0.41550312021842239</v>
      </c>
      <c r="J120" s="19">
        <f ca="1"/>
        <v>-2.8304093728371926</v>
      </c>
      <c r="K120" s="20"/>
      <c r="M120" s="21">
        <f t="shared" ca="1" si="8"/>
        <v>7.1513906921132561E-3</v>
      </c>
      <c r="N120" s="21">
        <f t="shared" ca="1" si="9"/>
        <v>1.3379875191263102E-2</v>
      </c>
      <c r="O120" s="21">
        <f t="shared" ca="1" si="10"/>
        <v>-0.33456140592557893</v>
      </c>
    </row>
    <row r="121" spans="2:15">
      <c r="B121" s="12">
        <v>94</v>
      </c>
      <c r="C121" s="19">
        <f t="shared" ca="1" si="11"/>
        <v>-1.5342118421419806</v>
      </c>
      <c r="D121" s="19">
        <f t="shared" ca="1" si="11"/>
        <v>0.30726713680728918</v>
      </c>
      <c r="E121" s="19">
        <f t="shared" ca="1" si="11"/>
        <v>2.0888241920087376</v>
      </c>
      <c r="F121" s="20"/>
      <c r="H121" s="19">
        <f t="array" aca="1" ref="H121:J121" ca="1">TRANSPOSE(MMULT(adjchol,TRANSPOSE(C121:E121)))</f>
        <v>-1.5342118421419806</v>
      </c>
      <c r="I121" s="19">
        <f ca="1"/>
        <v>-1.2468560181263766</v>
      </c>
      <c r="J121" s="19">
        <f ca="1"/>
        <v>-0.23088213388452883</v>
      </c>
      <c r="K121" s="20"/>
      <c r="M121" s="21">
        <f t="shared" ca="1" si="8"/>
        <v>4.657881578580195E-3</v>
      </c>
      <c r="N121" s="21">
        <f t="shared" ca="1" si="9"/>
        <v>-1.9874240725055066E-2</v>
      </c>
      <c r="O121" s="21">
        <f t="shared" ca="1" si="10"/>
        <v>5.5367679917320674E-2</v>
      </c>
    </row>
    <row r="122" spans="2:15">
      <c r="B122" s="12">
        <v>95</v>
      </c>
      <c r="C122" s="19">
        <f t="shared" ca="1" si="11"/>
        <v>-9.0310573895210258E-2</v>
      </c>
      <c r="D122" s="19">
        <f t="shared" ca="1" si="11"/>
        <v>0.21868608174505869</v>
      </c>
      <c r="E122" s="19">
        <f t="shared" ca="1" si="11"/>
        <v>-0.43385857668579936</v>
      </c>
      <c r="F122" s="20"/>
      <c r="H122" s="19">
        <f t="array" aca="1" ref="H122:J122" ca="1">TRANSPOSE(MMULT(adjchol,TRANSPOSE(C122:E122)))</f>
        <v>-9.0310573895210258E-2</v>
      </c>
      <c r="I122" s="19">
        <f ca="1"/>
        <v>1.4043536562869316E-2</v>
      </c>
      <c r="J122" s="19">
        <f ca="1"/>
        <v>-0.38739271170320411</v>
      </c>
      <c r="K122" s="20"/>
      <c r="M122" s="21">
        <f t="shared" ca="1" si="8"/>
        <v>1.9096894261047898E-2</v>
      </c>
      <c r="N122" s="21">
        <f t="shared" ca="1" si="9"/>
        <v>3.0561741462514773E-2</v>
      </c>
      <c r="O122" s="21">
        <f t="shared" ca="1" si="10"/>
        <v>3.1891093244519386E-2</v>
      </c>
    </row>
    <row r="123" spans="2:15">
      <c r="B123" s="12">
        <v>96</v>
      </c>
      <c r="C123" s="19">
        <f t="shared" ca="1" si="11"/>
        <v>-0.45880857570111439</v>
      </c>
      <c r="D123" s="19">
        <f t="shared" ca="1" si="11"/>
        <v>-1.5743589437791867</v>
      </c>
      <c r="E123" s="19">
        <f t="shared" ca="1" si="11"/>
        <v>0.52549631482449444</v>
      </c>
      <c r="F123" s="20"/>
      <c r="H123" s="19">
        <f t="array" aca="1" ref="H123:J123" ca="1">TRANSPOSE(MMULT(adjchol,TRANSPOSE(C123:E123)))</f>
        <v>-0.45880857570111439</v>
      </c>
      <c r="I123" s="19">
        <f ca="1"/>
        <v>-1.0991748718102936</v>
      </c>
      <c r="J123" s="19">
        <f ca="1"/>
        <v>0.76243698969363349</v>
      </c>
      <c r="K123" s="20"/>
      <c r="M123" s="21">
        <f t="shared" ca="1" si="8"/>
        <v>1.5411914242988857E-2</v>
      </c>
      <c r="N123" s="21">
        <f t="shared" ca="1" si="9"/>
        <v>-1.3966994872411743E-2</v>
      </c>
      <c r="O123" s="21">
        <f t="shared" ca="1" si="10"/>
        <v>0.20436554845404503</v>
      </c>
    </row>
    <row r="124" spans="2:15">
      <c r="B124" s="12">
        <v>97</v>
      </c>
      <c r="C124" s="19">
        <f t="shared" ca="1" si="11"/>
        <v>0.91964131602072552</v>
      </c>
      <c r="D124" s="19">
        <f t="shared" ca="1" si="11"/>
        <v>-0.12943742941071382</v>
      </c>
      <c r="E124" s="19">
        <f t="shared" ca="1" si="11"/>
        <v>2.8392849833836209</v>
      </c>
      <c r="F124" s="20"/>
      <c r="H124" s="19">
        <f t="array" aca="1" ref="H124:J124" ca="1">TRANSPOSE(MMULT(adjchol,TRANSPOSE(C124:E124)))</f>
        <v>0.91964131602072552</v>
      </c>
      <c r="I124" s="19">
        <f ca="1"/>
        <v>0.77125671698735487</v>
      </c>
      <c r="J124" s="19">
        <f ca="1"/>
        <v>2.0783865658908556</v>
      </c>
      <c r="K124" s="20"/>
      <c r="M124" s="21">
        <f t="shared" ca="1" si="8"/>
        <v>2.9196413160207255E-2</v>
      </c>
      <c r="N124" s="21">
        <f t="shared" ca="1" si="9"/>
        <v>6.0850268679494196E-2</v>
      </c>
      <c r="O124" s="21">
        <f t="shared" ca="1" si="10"/>
        <v>0.40175798488362835</v>
      </c>
    </row>
    <row r="125" spans="2:15">
      <c r="B125" s="12">
        <v>98</v>
      </c>
      <c r="C125" s="19">
        <f t="shared" ca="1" si="11"/>
        <v>1.5558383303472789</v>
      </c>
      <c r="D125" s="19">
        <f t="shared" ca="1" si="11"/>
        <v>2.4147443018373642</v>
      </c>
      <c r="E125" s="19">
        <f t="shared" ca="1" si="11"/>
        <v>-0.58451505464716358</v>
      </c>
      <c r="F125" s="20"/>
      <c r="H125" s="19">
        <f t="array" aca="1" ref="H125:J125" ca="1">TRANSPOSE(MMULT(adjchol,TRANSPOSE(C125:E125)))</f>
        <v>1.5558383303472789</v>
      </c>
      <c r="I125" s="19">
        <f ca="1"/>
        <v>2.4528171359325257</v>
      </c>
      <c r="J125" s="19">
        <f ca="1"/>
        <v>-0.46635207763049369</v>
      </c>
      <c r="K125" s="20"/>
      <c r="M125" s="21">
        <f t="shared" ca="1" si="8"/>
        <v>3.5558383303472788E-2</v>
      </c>
      <c r="N125" s="21">
        <f t="shared" ca="1" si="9"/>
        <v>0.12811268543730103</v>
      </c>
      <c r="O125" s="21">
        <f t="shared" ca="1" si="10"/>
        <v>2.0047188355425946E-2</v>
      </c>
    </row>
    <row r="126" spans="2:15">
      <c r="B126" s="12">
        <v>99</v>
      </c>
      <c r="C126" s="19">
        <f t="shared" ca="1" si="11"/>
        <v>-2.0624992890387097</v>
      </c>
      <c r="D126" s="19">
        <f t="shared" ca="1" si="11"/>
        <v>-1.8378795821679696</v>
      </c>
      <c r="E126" s="19">
        <f t="shared" ca="1" si="11"/>
        <v>0.95204712355984999</v>
      </c>
      <c r="F126" s="20"/>
      <c r="H126" s="19">
        <f t="array" aca="1" ref="H126:J126" ca="1">TRANSPOSE(MMULT(adjchol,TRANSPOSE(C126:E126)))</f>
        <v>-2.0624992890387097</v>
      </c>
      <c r="I126" s="19">
        <f ca="1"/>
        <v>-2.6573624970415324</v>
      </c>
      <c r="J126" s="19">
        <f ca="1"/>
        <v>-1.5830660038094857E-2</v>
      </c>
      <c r="K126" s="20"/>
      <c r="M126" s="21">
        <f t="shared" ca="1" si="8"/>
        <v>-6.2499289038709868E-4</v>
      </c>
      <c r="N126" s="21">
        <f t="shared" ca="1" si="9"/>
        <v>-7.6294499881661301E-2</v>
      </c>
      <c r="O126" s="21">
        <f t="shared" ca="1" si="10"/>
        <v>8.7625400994285771E-2</v>
      </c>
    </row>
    <row r="127" spans="2:15">
      <c r="B127" s="12">
        <v>100</v>
      </c>
      <c r="C127" s="19">
        <f t="shared" ca="1" si="11"/>
        <v>1.0583093666176449</v>
      </c>
      <c r="D127" s="19">
        <f t="shared" ca="1" si="11"/>
        <v>-3.2579416297687729E-2</v>
      </c>
      <c r="E127" s="19">
        <f t="shared" ca="1" si="11"/>
        <v>-0.4600215239704965</v>
      </c>
      <c r="F127" s="20"/>
      <c r="H127" s="19">
        <f t="array" aca="1" ref="H127:J127" ca="1">TRANSPOSE(MMULT(adjchol,TRANSPOSE(C127:E127)))</f>
        <v>1.0583093666176449</v>
      </c>
      <c r="I127" s="19">
        <f ca="1"/>
        <v>0.93827739162776413</v>
      </c>
      <c r="J127" s="19">
        <f ca="1"/>
        <v>0.5366327378695519</v>
      </c>
      <c r="K127" s="20"/>
      <c r="M127" s="21">
        <f t="shared" ca="1" si="8"/>
        <v>3.058309366617645E-2</v>
      </c>
      <c r="N127" s="21">
        <f t="shared" ca="1" si="9"/>
        <v>6.7531095665110563E-2</v>
      </c>
      <c r="O127" s="21">
        <f t="shared" ca="1" si="10"/>
        <v>0.17049491068043277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4:I504"/>
  <sheetViews>
    <sheetView workbookViewId="0">
      <selection activeCell="C28" sqref="C28"/>
    </sheetView>
  </sheetViews>
  <sheetFormatPr defaultColWidth="8.7109375" defaultRowHeight="14.25"/>
  <cols>
    <col min="1" max="16384" width="8.7109375" style="24"/>
  </cols>
  <sheetData>
    <row r="4" spans="1:5">
      <c r="D4" s="24">
        <v>-100</v>
      </c>
    </row>
    <row r="5" spans="1:5">
      <c r="A5" s="24">
        <v>1</v>
      </c>
      <c r="B5" s="25">
        <f ca="1">sim!M28*100</f>
        <v>0.67881053757711307</v>
      </c>
      <c r="D5" s="24">
        <v>-3</v>
      </c>
      <c r="E5" s="24" cm="1">
        <f t="array" aca="1" ref="E5" ca="1">SUMPRODUCT(IF($B$5:$B$104&gt;D4,1,0),IF($B$5:$B$104&lt;=D5,1,0))</f>
        <v>0</v>
      </c>
    </row>
    <row r="6" spans="1:5">
      <c r="A6" s="24">
        <v>2</v>
      </c>
      <c r="B6" s="25">
        <f ca="1">sim!M29*100</f>
        <v>2.0211122233480037</v>
      </c>
      <c r="D6" s="24">
        <v>-2.9</v>
      </c>
      <c r="E6" s="24" cm="1">
        <f t="array" aca="1" ref="E6" ca="1">SUMPRODUCT(IF($B$5:$B$104&gt;D5,1,0),IF($B$5:$B$104&lt;=D6,1,0))</f>
        <v>0</v>
      </c>
    </row>
    <row r="7" spans="1:5">
      <c r="A7" s="24">
        <v>3</v>
      </c>
      <c r="B7" s="25">
        <f ca="1">sim!M30*100</f>
        <v>1.5076476323122143</v>
      </c>
      <c r="D7" s="24">
        <v>-2.8</v>
      </c>
      <c r="E7" s="24" cm="1">
        <f t="array" aca="1" ref="E7" ca="1">SUMPRODUCT(IF($B$5:$B$104&gt;D6,1,0),IF($B$5:$B$104&lt;=D7,1,0))</f>
        <v>0</v>
      </c>
    </row>
    <row r="8" spans="1:5">
      <c r="A8" s="24">
        <v>4</v>
      </c>
      <c r="B8" s="25">
        <f ca="1">sim!M31*100</f>
        <v>2.6064896477321029</v>
      </c>
      <c r="D8" s="24">
        <v>-2.7</v>
      </c>
      <c r="E8" s="24" cm="1">
        <f t="array" aca="1" ref="E8" ca="1">SUMPRODUCT(IF($B$5:$B$104&gt;D7,1,0),IF($B$5:$B$104&lt;=D8,1,0))</f>
        <v>0</v>
      </c>
    </row>
    <row r="9" spans="1:5">
      <c r="A9" s="24">
        <v>5</v>
      </c>
      <c r="B9" s="25">
        <f ca="1">sim!M32*100</f>
        <v>3.2910638754467301</v>
      </c>
      <c r="D9" s="24">
        <v>-2.6</v>
      </c>
      <c r="E9" s="24" cm="1">
        <f t="array" aca="1" ref="E9" ca="1">SUMPRODUCT(IF($B$5:$B$104&gt;D8,1,0),IF($B$5:$B$104&lt;=D9,1,0))</f>
        <v>0</v>
      </c>
    </row>
    <row r="10" spans="1:5">
      <c r="A10" s="24">
        <v>6</v>
      </c>
      <c r="B10" s="25">
        <f ca="1">sim!M33*100</f>
        <v>1.935808997291081</v>
      </c>
      <c r="D10" s="24">
        <v>-2.5</v>
      </c>
      <c r="E10" s="24" cm="1">
        <f t="array" aca="1" ref="E10" ca="1">SUMPRODUCT(IF($B$5:$B$104&gt;D9,1,0),IF($B$5:$B$104&lt;=D10,1,0))</f>
        <v>0</v>
      </c>
    </row>
    <row r="11" spans="1:5">
      <c r="A11" s="24">
        <v>7</v>
      </c>
      <c r="B11" s="25">
        <f ca="1">sim!M34*100</f>
        <v>0.29775601846763028</v>
      </c>
      <c r="D11" s="24">
        <v>-2.4</v>
      </c>
      <c r="E11" s="24" cm="1">
        <f t="array" aca="1" ref="E11" ca="1">SUMPRODUCT(IF($B$5:$B$104&gt;D10,1,0),IF($B$5:$B$104&lt;=D11,1,0))</f>
        <v>0</v>
      </c>
    </row>
    <row r="12" spans="1:5">
      <c r="A12" s="24">
        <v>8</v>
      </c>
      <c r="B12" s="25">
        <f ca="1">sim!M35*100</f>
        <v>3.1285063796087935</v>
      </c>
      <c r="D12" s="24">
        <v>-2.2999999999999998</v>
      </c>
      <c r="E12" s="24" cm="1">
        <f t="array" aca="1" ref="E12" ca="1">SUMPRODUCT(IF($B$5:$B$104&gt;D11,1,0),IF($B$5:$B$104&lt;=D12,1,0))</f>
        <v>0</v>
      </c>
    </row>
    <row r="13" spans="1:5">
      <c r="A13" s="24">
        <v>9</v>
      </c>
      <c r="B13" s="25">
        <f ca="1">sim!M36*100</f>
        <v>2.8591867637911399</v>
      </c>
      <c r="D13" s="24">
        <v>-2.2000000000000002</v>
      </c>
      <c r="E13" s="24" cm="1">
        <f t="array" aca="1" ref="E13" ca="1">SUMPRODUCT(IF($B$5:$B$104&gt;D12,1,0),IF($B$5:$B$104&lt;=D13,1,0))</f>
        <v>0</v>
      </c>
    </row>
    <row r="14" spans="1:5">
      <c r="A14" s="24">
        <v>10</v>
      </c>
      <c r="B14" s="25">
        <f ca="1">sim!M37*100</f>
        <v>2.3809933127817144</v>
      </c>
      <c r="D14" s="24">
        <v>-2.1</v>
      </c>
      <c r="E14" s="24" cm="1">
        <f t="array" aca="1" ref="E14" ca="1">SUMPRODUCT(IF($B$5:$B$104&gt;D13,1,0),IF($B$5:$B$104&lt;=D14,1,0))</f>
        <v>0</v>
      </c>
    </row>
    <row r="15" spans="1:5">
      <c r="A15" s="24">
        <v>11</v>
      </c>
      <c r="B15" s="25">
        <f ca="1">sim!M38*100</f>
        <v>2.7052040069522243</v>
      </c>
      <c r="D15" s="24">
        <v>-2</v>
      </c>
      <c r="E15" s="24" cm="1">
        <f t="array" aca="1" ref="E15" ca="1">SUMPRODUCT(IF($B$5:$B$104&gt;D14,1,0),IF($B$5:$B$104&lt;=D15,1,0))</f>
        <v>0</v>
      </c>
    </row>
    <row r="16" spans="1:5">
      <c r="A16" s="24">
        <v>12</v>
      </c>
      <c r="B16" s="25">
        <f ca="1">sim!M39*100</f>
        <v>2.9549629857454942</v>
      </c>
      <c r="D16" s="24">
        <v>-1.9</v>
      </c>
      <c r="E16" s="24" cm="1">
        <f t="array" aca="1" ref="E16" ca="1">SUMPRODUCT(IF($B$5:$B$104&gt;D15,1,0),IF($B$5:$B$104&lt;=D16,1,0))</f>
        <v>0</v>
      </c>
    </row>
    <row r="17" spans="1:9">
      <c r="A17" s="24">
        <v>13</v>
      </c>
      <c r="B17" s="25">
        <f ca="1">sim!M40*100</f>
        <v>1.4986978759538903</v>
      </c>
      <c r="D17" s="24">
        <v>-1.8</v>
      </c>
      <c r="E17" s="24" cm="1">
        <f t="array" aca="1" ref="E17" ca="1">SUMPRODUCT(IF($B$5:$B$104&gt;D16,1,0),IF($B$5:$B$104&lt;=D17,1,0))</f>
        <v>0</v>
      </c>
    </row>
    <row r="18" spans="1:9">
      <c r="A18" s="24">
        <v>14</v>
      </c>
      <c r="B18" s="25">
        <f ca="1">sim!M41*100</f>
        <v>1.8752848124185366</v>
      </c>
      <c r="D18" s="24">
        <v>-1.7</v>
      </c>
      <c r="E18" s="24" cm="1">
        <f t="array" aca="1" ref="E18" ca="1">SUMPRODUCT(IF($B$5:$B$104&gt;D17,1,0),IF($B$5:$B$104&lt;=D18,1,0))</f>
        <v>0</v>
      </c>
    </row>
    <row r="19" spans="1:9">
      <c r="A19" s="24">
        <v>15</v>
      </c>
      <c r="B19" s="25">
        <f ca="1">sim!M42*100</f>
        <v>0.78321330794483535</v>
      </c>
      <c r="D19" s="24">
        <v>-1.6</v>
      </c>
      <c r="E19" s="24" cm="1">
        <f t="array" aca="1" ref="E19" ca="1">SUMPRODUCT(IF($B$5:$B$104&gt;D18,1,0),IF($B$5:$B$104&lt;=D19,1,0))</f>
        <v>0</v>
      </c>
    </row>
    <row r="20" spans="1:9">
      <c r="A20" s="24">
        <v>16</v>
      </c>
      <c r="B20" s="25">
        <f ca="1">sim!M43*100</f>
        <v>2.3788692451588798</v>
      </c>
      <c r="D20" s="24">
        <v>-1.5</v>
      </c>
      <c r="E20" s="24" cm="1">
        <f t="array" aca="1" ref="E20" ca="1">SUMPRODUCT(IF($B$5:$B$104&gt;D19,1,0),IF($B$5:$B$104&lt;=D20,1,0))</f>
        <v>0</v>
      </c>
    </row>
    <row r="21" spans="1:9">
      <c r="A21" s="24">
        <v>17</v>
      </c>
      <c r="B21" s="25">
        <f ca="1">sim!M44*100</f>
        <v>1.4148109895202086</v>
      </c>
      <c r="D21" s="24">
        <v>-1.4</v>
      </c>
      <c r="E21" s="24" cm="1">
        <f t="array" aca="1" ref="E21" ca="1">SUMPRODUCT(IF($B$5:$B$104&gt;D20,1,0),IF($B$5:$B$104&lt;=D21,1,0))</f>
        <v>0</v>
      </c>
    </row>
    <row r="22" spans="1:9">
      <c r="A22" s="24">
        <v>18</v>
      </c>
      <c r="B22" s="25">
        <f ca="1">sim!M45*100</f>
        <v>3.153798132385579</v>
      </c>
      <c r="D22" s="24">
        <v>-1.3</v>
      </c>
      <c r="E22" s="24" cm="1">
        <f t="array" aca="1" ref="E22" ca="1">SUMPRODUCT(IF($B$5:$B$104&gt;D21,1,0),IF($B$5:$B$104&lt;=D22,1,0))</f>
        <v>0</v>
      </c>
    </row>
    <row r="23" spans="1:9">
      <c r="A23" s="24">
        <v>19</v>
      </c>
      <c r="B23" s="25">
        <f ca="1">sim!M46*100</f>
        <v>2.3419535983545501</v>
      </c>
      <c r="D23" s="24">
        <v>-1.2</v>
      </c>
      <c r="E23" s="24" cm="1">
        <f t="array" aca="1" ref="E23" ca="1">SUMPRODUCT(IF($B$5:$B$104&gt;D22,1,0),IF($B$5:$B$104&lt;=D23,1,0))</f>
        <v>0</v>
      </c>
    </row>
    <row r="24" spans="1:9">
      <c r="A24" s="24">
        <v>20</v>
      </c>
      <c r="B24" s="25">
        <f ca="1">sim!M47*100</f>
        <v>1.6857944931367497</v>
      </c>
      <c r="D24" s="24">
        <v>-1.1000000000000001</v>
      </c>
      <c r="E24" s="24" cm="1">
        <f t="array" aca="1" ref="E24" ca="1">SUMPRODUCT(IF($B$5:$B$104&gt;D23,1,0),IF($B$5:$B$104&lt;=D24,1,0))</f>
        <v>0</v>
      </c>
    </row>
    <row r="25" spans="1:9">
      <c r="A25" s="24">
        <v>21</v>
      </c>
      <c r="B25" s="25">
        <f ca="1">sim!M48*100</f>
        <v>1.737813443056395</v>
      </c>
      <c r="D25" s="24">
        <v>-1</v>
      </c>
      <c r="E25" s="24" cm="1">
        <f t="array" aca="1" ref="E25" ca="1">SUMPRODUCT(IF($B$5:$B$104&gt;D24,1,0),IF($B$5:$B$104&lt;=D25,1,0))</f>
        <v>0</v>
      </c>
    </row>
    <row r="26" spans="1:9">
      <c r="A26" s="24">
        <v>22</v>
      </c>
      <c r="B26" s="25">
        <f ca="1">sim!M49*100</f>
        <v>1.8737471914879331</v>
      </c>
      <c r="D26" s="24">
        <v>-0.9</v>
      </c>
      <c r="E26" s="24" cm="1">
        <f t="array" aca="1" ref="E26" ca="1">SUMPRODUCT(IF($B$5:$B$104&gt;D25,1,0),IF($B$5:$B$104&lt;=D26,1,0))</f>
        <v>0</v>
      </c>
    </row>
    <row r="27" spans="1:9">
      <c r="A27" s="24">
        <v>23</v>
      </c>
      <c r="B27" s="25">
        <f ca="1">sim!M50*100</f>
        <v>1.6319499786351701</v>
      </c>
      <c r="D27" s="24">
        <v>-0.8</v>
      </c>
      <c r="E27" s="24" cm="1">
        <f t="array" aca="1" ref="E27" ca="1">SUMPRODUCT(IF($B$5:$B$104&gt;D26,1,0),IF($B$5:$B$104&lt;=D27,1,0))</f>
        <v>0</v>
      </c>
    </row>
    <row r="28" spans="1:9">
      <c r="A28" s="24">
        <v>24</v>
      </c>
      <c r="B28" s="25">
        <f ca="1">sim!M51*100</f>
        <v>1.5430871283740419</v>
      </c>
      <c r="D28" s="24">
        <v>-0.7</v>
      </c>
      <c r="E28" s="24" cm="1">
        <f t="array" aca="1" ref="E28" ca="1">SUMPRODUCT(IF($B$5:$B$104&gt;D27,1,0),IF($B$5:$B$104&lt;=D28,1,0))</f>
        <v>0</v>
      </c>
    </row>
    <row r="29" spans="1:9">
      <c r="A29" s="24">
        <v>25</v>
      </c>
      <c r="B29" s="25">
        <f ca="1">sim!M52*100</f>
        <v>1.5394524480691549</v>
      </c>
      <c r="D29" s="24">
        <v>-0.6</v>
      </c>
      <c r="E29" s="24" cm="1">
        <f t="array" aca="1" ref="E29" ca="1">SUMPRODUCT(IF($B$5:$B$104&gt;D28,1,0),IF($B$5:$B$104&lt;=D29,1,0))</f>
        <v>0</v>
      </c>
    </row>
    <row r="30" spans="1:9">
      <c r="A30" s="24">
        <v>26</v>
      </c>
      <c r="B30" s="25">
        <f ca="1">sim!M53*100</f>
        <v>0.69916089724479868</v>
      </c>
      <c r="D30" s="24">
        <v>-0.5</v>
      </c>
      <c r="E30" s="24" cm="1">
        <f t="array" aca="1" ref="E30" ca="1">SUMPRODUCT(IF($B$5:$B$104&gt;D29,1,0),IF($B$5:$B$104&lt;=D30,1,0))</f>
        <v>0</v>
      </c>
      <c r="I30" s="24" t="s">
        <v>16</v>
      </c>
    </row>
    <row r="31" spans="1:9">
      <c r="A31" s="24">
        <v>27</v>
      </c>
      <c r="B31" s="25">
        <f ca="1">sim!M54*100</f>
        <v>2.4644146221172796</v>
      </c>
      <c r="D31" s="24">
        <v>-0.4</v>
      </c>
      <c r="E31" s="24" cm="1">
        <f t="array" aca="1" ref="E31" ca="1">SUMPRODUCT(IF($B$5:$B$104&gt;D30,1,0),IF($B$5:$B$104&lt;=D31,1,0))</f>
        <v>0</v>
      </c>
    </row>
    <row r="32" spans="1:9">
      <c r="A32" s="24">
        <v>28</v>
      </c>
      <c r="B32" s="25">
        <f ca="1">sim!M55*100</f>
        <v>1.4875307230358121</v>
      </c>
      <c r="D32" s="24">
        <v>-0.3</v>
      </c>
      <c r="E32" s="24" cm="1">
        <f t="array" aca="1" ref="E32" ca="1">SUMPRODUCT(IF($B$5:$B$104&gt;D31,1,0),IF($B$5:$B$104&lt;=D32,1,0))</f>
        <v>0</v>
      </c>
    </row>
    <row r="33" spans="1:5">
      <c r="A33" s="24">
        <v>29</v>
      </c>
      <c r="B33" s="25">
        <f ca="1">sim!M56*100</f>
        <v>3.1176085166908161</v>
      </c>
      <c r="D33" s="24">
        <v>-0.2</v>
      </c>
      <c r="E33" s="24" cm="1">
        <f t="array" aca="1" ref="E33" ca="1">SUMPRODUCT(IF($B$5:$B$104&gt;D32,1,0),IF($B$5:$B$104&lt;=D33,1,0))</f>
        <v>0</v>
      </c>
    </row>
    <row r="34" spans="1:5">
      <c r="A34" s="24">
        <v>30</v>
      </c>
      <c r="B34" s="25">
        <f ca="1">sim!M57*100</f>
        <v>2.1015624918700095</v>
      </c>
      <c r="D34" s="24">
        <v>-0.1</v>
      </c>
      <c r="E34" s="24" cm="1">
        <f t="array" aca="1" ref="E34" ca="1">SUMPRODUCT(IF($B$5:$B$104&gt;D33,1,0),IF($B$5:$B$104&lt;=D34,1,0))</f>
        <v>0</v>
      </c>
    </row>
    <row r="35" spans="1:5">
      <c r="A35" s="24">
        <v>31</v>
      </c>
      <c r="B35" s="25">
        <f ca="1">sim!M58*100</f>
        <v>3.8244495132410266</v>
      </c>
      <c r="D35" s="24">
        <v>0</v>
      </c>
      <c r="E35" s="24" cm="1">
        <f t="array" aca="1" ref="E35" ca="1">SUMPRODUCT(IF($B$5:$B$104&gt;D34,1,0),IF($B$5:$B$104&lt;=D35,1,0))</f>
        <v>1</v>
      </c>
    </row>
    <row r="36" spans="1:5">
      <c r="A36" s="24">
        <v>32</v>
      </c>
      <c r="B36" s="25">
        <f ca="1">sim!M59*100</f>
        <v>1.9042427617448141</v>
      </c>
      <c r="D36" s="24">
        <v>0.1</v>
      </c>
      <c r="E36" s="24" cm="1">
        <f t="array" aca="1" ref="E36" ca="1">SUMPRODUCT(IF($B$5:$B$104&gt;D35,1,0),IF($B$5:$B$104&lt;=D36,1,0))</f>
        <v>2</v>
      </c>
    </row>
    <row r="37" spans="1:5">
      <c r="A37" s="24">
        <v>33</v>
      </c>
      <c r="B37" s="25">
        <f ca="1">sim!M60*100</f>
        <v>1.3041129903387887</v>
      </c>
      <c r="D37" s="24">
        <v>0.2</v>
      </c>
      <c r="E37" s="24" cm="1">
        <f t="array" aca="1" ref="E37" ca="1">SUMPRODUCT(IF($B$5:$B$104&gt;D36,1,0),IF($B$5:$B$104&lt;=D37,1,0))</f>
        <v>0</v>
      </c>
    </row>
    <row r="38" spans="1:5">
      <c r="A38" s="24">
        <v>34</v>
      </c>
      <c r="B38" s="25">
        <f ca="1">sim!M61*100</f>
        <v>1.236325118944446</v>
      </c>
      <c r="D38" s="24">
        <v>0.3</v>
      </c>
      <c r="E38" s="24" cm="1">
        <f t="array" aca="1" ref="E38" ca="1">SUMPRODUCT(IF($B$5:$B$104&gt;D37,1,0),IF($B$5:$B$104&lt;=D38,1,0))</f>
        <v>2</v>
      </c>
    </row>
    <row r="39" spans="1:5">
      <c r="A39" s="24">
        <v>35</v>
      </c>
      <c r="B39" s="25">
        <f ca="1">sim!M62*100</f>
        <v>0.24488859698013588</v>
      </c>
      <c r="D39" s="24">
        <v>0.4</v>
      </c>
      <c r="E39" s="24" cm="1">
        <f t="array" aca="1" ref="E39" ca="1">SUMPRODUCT(IF($B$5:$B$104&gt;D38,1,0),IF($B$5:$B$104&lt;=D39,1,0))</f>
        <v>1</v>
      </c>
    </row>
    <row r="40" spans="1:5">
      <c r="A40" s="24">
        <v>36</v>
      </c>
      <c r="B40" s="25">
        <f ca="1">sim!M63*100</f>
        <v>1.1944816556718578</v>
      </c>
      <c r="D40" s="24">
        <v>0.5</v>
      </c>
      <c r="E40" s="24" cm="1">
        <f t="array" aca="1" ref="E40" ca="1">SUMPRODUCT(IF($B$5:$B$104&gt;D39,1,0),IF($B$5:$B$104&lt;=D40,1,0))</f>
        <v>1</v>
      </c>
    </row>
    <row r="41" spans="1:5">
      <c r="A41" s="24">
        <v>37</v>
      </c>
      <c r="B41" s="25">
        <f ca="1">sim!M64*100</f>
        <v>1.5814892585704936</v>
      </c>
      <c r="D41" s="24">
        <v>0.6</v>
      </c>
      <c r="E41" s="24" cm="1">
        <f t="array" aca="1" ref="E41" ca="1">SUMPRODUCT(IF($B$5:$B$104&gt;D40,1,0),IF($B$5:$B$104&lt;=D41,1,0))</f>
        <v>0</v>
      </c>
    </row>
    <row r="42" spans="1:5">
      <c r="A42" s="24">
        <v>38</v>
      </c>
      <c r="B42" s="25">
        <f ca="1">sim!M65*100</f>
        <v>2.3489209961984336</v>
      </c>
      <c r="D42" s="24">
        <v>0.7</v>
      </c>
      <c r="E42" s="24" cm="1">
        <f t="array" aca="1" ref="E42" ca="1">SUMPRODUCT(IF($B$5:$B$104&gt;D41,1,0),IF($B$5:$B$104&lt;=D42,1,0))</f>
        <v>4</v>
      </c>
    </row>
    <row r="43" spans="1:5">
      <c r="A43" s="24">
        <v>39</v>
      </c>
      <c r="B43" s="25">
        <f ca="1">sim!M66*100</f>
        <v>0.66028585072879054</v>
      </c>
      <c r="D43" s="24">
        <v>0.8</v>
      </c>
      <c r="E43" s="24" cm="1">
        <f t="array" aca="1" ref="E43" ca="1">SUMPRODUCT(IF($B$5:$B$104&gt;D42,1,0),IF($B$5:$B$104&lt;=D43,1,0))</f>
        <v>2</v>
      </c>
    </row>
    <row r="44" spans="1:5">
      <c r="A44" s="24">
        <v>40</v>
      </c>
      <c r="B44" s="25">
        <f ca="1">sim!M67*100</f>
        <v>2.6412682669417187</v>
      </c>
      <c r="D44" s="24">
        <v>0.9</v>
      </c>
      <c r="E44" s="24" cm="1">
        <f t="array" aca="1" ref="E44" ca="1">SUMPRODUCT(IF($B$5:$B$104&gt;D43,1,0),IF($B$5:$B$104&lt;=D44,1,0))</f>
        <v>1</v>
      </c>
    </row>
    <row r="45" spans="1:5">
      <c r="A45" s="24">
        <v>41</v>
      </c>
      <c r="B45" s="25">
        <f ca="1">sim!M68*100</f>
        <v>2.3471449580102806</v>
      </c>
      <c r="D45" s="24">
        <v>1</v>
      </c>
      <c r="E45" s="24" cm="1">
        <f t="array" aca="1" ref="E45" ca="1">SUMPRODUCT(IF($B$5:$B$104&gt;D44,1,0),IF($B$5:$B$104&lt;=D45,1,0))</f>
        <v>0</v>
      </c>
    </row>
    <row r="46" spans="1:5">
      <c r="A46" s="24">
        <v>42</v>
      </c>
      <c r="B46" s="25">
        <f ca="1">sim!M69*100</f>
        <v>1.5448896441258115</v>
      </c>
      <c r="D46" s="24">
        <v>1.1000000000000001</v>
      </c>
      <c r="E46" s="24" cm="1">
        <f t="array" aca="1" ref="E46" ca="1">SUMPRODUCT(IF($B$5:$B$104&gt;D45,1,0),IF($B$5:$B$104&lt;=D46,1,0))</f>
        <v>1</v>
      </c>
    </row>
    <row r="47" spans="1:5">
      <c r="A47" s="24">
        <v>43</v>
      </c>
      <c r="B47" s="25">
        <f ca="1">sim!M70*100</f>
        <v>3.5482790091697218</v>
      </c>
      <c r="D47" s="24">
        <v>1.2</v>
      </c>
      <c r="E47" s="24" cm="1">
        <f t="array" aca="1" ref="E47" ca="1">SUMPRODUCT(IF($B$5:$B$104&gt;D46,1,0),IF($B$5:$B$104&lt;=D47,1,0))</f>
        <v>2</v>
      </c>
    </row>
    <row r="48" spans="1:5">
      <c r="A48" s="24">
        <v>44</v>
      </c>
      <c r="B48" s="25">
        <f ca="1">sim!M71*100</f>
        <v>2.3654060344464449</v>
      </c>
      <c r="D48" s="24">
        <v>1.3</v>
      </c>
      <c r="E48" s="24" cm="1">
        <f t="array" aca="1" ref="E48" ca="1">SUMPRODUCT(IF($B$5:$B$104&gt;D47,1,0),IF($B$5:$B$104&lt;=D48,1,0))</f>
        <v>4</v>
      </c>
    </row>
    <row r="49" spans="1:5">
      <c r="A49" s="24">
        <v>45</v>
      </c>
      <c r="B49" s="25">
        <f ca="1">sim!M72*100</f>
        <v>2.9020767428072571</v>
      </c>
      <c r="D49" s="24">
        <v>1.4</v>
      </c>
      <c r="E49" s="24" cm="1">
        <f t="array" aca="1" ref="E49" ca="1">SUMPRODUCT(IF($B$5:$B$104&gt;D48,1,0),IF($B$5:$B$104&lt;=D49,1,0))</f>
        <v>3</v>
      </c>
    </row>
    <row r="50" spans="1:5">
      <c r="A50" s="24">
        <v>46</v>
      </c>
      <c r="B50" s="25">
        <f ca="1">sim!M73*100</f>
        <v>1.8048273008497946</v>
      </c>
      <c r="D50" s="24">
        <v>1.5</v>
      </c>
      <c r="E50" s="24" cm="1">
        <f t="array" aca="1" ref="E50" ca="1">SUMPRODUCT(IF($B$5:$B$104&gt;D49,1,0),IF($B$5:$B$104&lt;=D50,1,0))</f>
        <v>5</v>
      </c>
    </row>
    <row r="51" spans="1:5">
      <c r="A51" s="24">
        <v>47</v>
      </c>
      <c r="B51" s="25">
        <f ca="1">sim!M74*100</f>
        <v>2.743832199676052</v>
      </c>
      <c r="D51" s="24">
        <v>1.6</v>
      </c>
      <c r="E51" s="24" cm="1">
        <f t="array" aca="1" ref="E51" ca="1">SUMPRODUCT(IF($B$5:$B$104&gt;D50,1,0),IF($B$5:$B$104&lt;=D51,1,0))</f>
        <v>9</v>
      </c>
    </row>
    <row r="52" spans="1:5">
      <c r="A52" s="24">
        <v>48</v>
      </c>
      <c r="B52" s="25">
        <f ca="1">sim!M75*100</f>
        <v>2.7680591035431816</v>
      </c>
      <c r="D52" s="24">
        <v>1.7</v>
      </c>
      <c r="E52" s="24" cm="1">
        <f t="array" aca="1" ref="E52" ca="1">SUMPRODUCT(IF($B$5:$B$104&gt;D51,1,0),IF($B$5:$B$104&lt;=D52,1,0))</f>
        <v>3</v>
      </c>
    </row>
    <row r="53" spans="1:5">
      <c r="A53" s="24">
        <v>49</v>
      </c>
      <c r="B53" s="25">
        <f ca="1">sim!M76*100</f>
        <v>1.4084192930920041</v>
      </c>
      <c r="D53" s="24">
        <v>1.8</v>
      </c>
      <c r="E53" s="24" cm="1">
        <f t="array" aca="1" ref="E53" ca="1">SUMPRODUCT(IF($B$5:$B$104&gt;D52,1,0),IF($B$5:$B$104&lt;=D53,1,0))</f>
        <v>3</v>
      </c>
    </row>
    <row r="54" spans="1:5">
      <c r="A54" s="24">
        <v>50</v>
      </c>
      <c r="B54" s="25">
        <f ca="1">sim!M77*100</f>
        <v>3.386683350577814</v>
      </c>
      <c r="D54" s="24">
        <v>1.9</v>
      </c>
      <c r="E54" s="24" cm="1">
        <f t="array" aca="1" ref="E54" ca="1">SUMPRODUCT(IF($B$5:$B$104&gt;D53,1,0),IF($B$5:$B$104&lt;=D54,1,0))</f>
        <v>5</v>
      </c>
    </row>
    <row r="55" spans="1:5">
      <c r="A55" s="24">
        <v>51</v>
      </c>
      <c r="B55" s="25">
        <f ca="1">sim!M78*100</f>
        <v>1.5382797826409338</v>
      </c>
      <c r="D55" s="24">
        <v>2</v>
      </c>
      <c r="E55" s="24" cm="1">
        <f t="array" aca="1" ref="E55" ca="1">SUMPRODUCT(IF($B$5:$B$104&gt;D54,1,0),IF($B$5:$B$104&lt;=D55,1,0))</f>
        <v>6</v>
      </c>
    </row>
    <row r="56" spans="1:5">
      <c r="A56" s="24">
        <v>52</v>
      </c>
      <c r="B56" s="25">
        <f ca="1">sim!M79*100</f>
        <v>4.302153073933411E-2</v>
      </c>
      <c r="D56" s="24">
        <v>2.1</v>
      </c>
      <c r="E56" s="24" cm="1">
        <f t="array" aca="1" ref="E56" ca="1">SUMPRODUCT(IF($B$5:$B$104&gt;D55,1,0),IF($B$5:$B$104&lt;=D56,1,0))</f>
        <v>3</v>
      </c>
    </row>
    <row r="57" spans="1:5">
      <c r="A57" s="24">
        <v>53</v>
      </c>
      <c r="B57" s="25">
        <f ca="1">sim!M80*100</f>
        <v>1.5832335559940458</v>
      </c>
      <c r="D57" s="24">
        <v>2.2000000000000002</v>
      </c>
      <c r="E57" s="24" cm="1">
        <f t="array" aca="1" ref="E57" ca="1">SUMPRODUCT(IF($B$5:$B$104&gt;D56,1,0),IF($B$5:$B$104&lt;=D57,1,0))</f>
        <v>1</v>
      </c>
    </row>
    <row r="58" spans="1:5">
      <c r="A58" s="24">
        <v>54</v>
      </c>
      <c r="B58" s="25">
        <f ca="1">sim!M81*100</f>
        <v>4.5707148791743624</v>
      </c>
      <c r="D58" s="24">
        <v>2.2999999999999998</v>
      </c>
      <c r="E58" s="24" cm="1">
        <f t="array" aca="1" ref="E58" ca="1">SUMPRODUCT(IF($B$5:$B$104&gt;D57,1,0),IF($B$5:$B$104&lt;=D58,1,0))</f>
        <v>3</v>
      </c>
    </row>
    <row r="59" spans="1:5">
      <c r="A59" s="24">
        <v>55</v>
      </c>
      <c r="B59" s="25">
        <f ca="1">sim!M82*100</f>
        <v>3.0283645701351567</v>
      </c>
      <c r="D59" s="24">
        <v>2.4</v>
      </c>
      <c r="E59" s="24" cm="1">
        <f t="array" aca="1" ref="E59" ca="1">SUMPRODUCT(IF($B$5:$B$104&gt;D58,1,0),IF($B$5:$B$104&lt;=D59,1,0))</f>
        <v>8</v>
      </c>
    </row>
    <row r="60" spans="1:5">
      <c r="A60" s="24">
        <v>56</v>
      </c>
      <c r="B60" s="25">
        <f ca="1">sim!M83*100</f>
        <v>3.4490310962611153</v>
      </c>
      <c r="D60" s="24">
        <v>2.5000000000000102</v>
      </c>
      <c r="E60" s="24" cm="1">
        <f t="array" aca="1" ref="E60" ca="1">SUMPRODUCT(IF($B$5:$B$104&gt;D59,1,0),IF($B$5:$B$104&lt;=D60,1,0))</f>
        <v>4</v>
      </c>
    </row>
    <row r="61" spans="1:5">
      <c r="A61" s="24">
        <v>57</v>
      </c>
      <c r="B61" s="25">
        <f ca="1">sim!M84*100</f>
        <v>1.7824767842118661</v>
      </c>
      <c r="D61" s="24">
        <v>2.6</v>
      </c>
      <c r="E61" s="24" cm="1">
        <f t="array" aca="1" ref="E61" ca="1">SUMPRODUCT(IF($B$5:$B$104&gt;D60,1,0),IF($B$5:$B$104&lt;=D61,1,0))</f>
        <v>1</v>
      </c>
    </row>
    <row r="62" spans="1:5">
      <c r="A62" s="24">
        <v>58</v>
      </c>
      <c r="B62" s="25">
        <f ca="1">sim!M85*100</f>
        <v>3.1487098028924549</v>
      </c>
      <c r="D62" s="24">
        <v>2.7</v>
      </c>
      <c r="E62" s="24" cm="1">
        <f t="array" aca="1" ref="E62" ca="1">SUMPRODUCT(IF($B$5:$B$104&gt;D61,1,0),IF($B$5:$B$104&lt;=D62,1,0))</f>
        <v>2</v>
      </c>
    </row>
    <row r="63" spans="1:5">
      <c r="A63" s="24">
        <v>59</v>
      </c>
      <c r="B63" s="25">
        <f ca="1">sim!M86*100</f>
        <v>2.4050821645731841</v>
      </c>
      <c r="D63" s="24">
        <v>2.80000000000001</v>
      </c>
      <c r="E63" s="24" cm="1">
        <f t="array" aca="1" ref="E63" ca="1">SUMPRODUCT(IF($B$5:$B$104&gt;D62,1,0),IF($B$5:$B$104&lt;=D63,1,0))</f>
        <v>3</v>
      </c>
    </row>
    <row r="64" spans="1:5">
      <c r="A64" s="24">
        <v>60</v>
      </c>
      <c r="B64" s="25">
        <f ca="1">sim!M87*100</f>
        <v>1.9652783216318228</v>
      </c>
      <c r="D64" s="24">
        <v>2.9000000000000101</v>
      </c>
      <c r="E64" s="24" cm="1">
        <f t="array" aca="1" ref="E64" ca="1">SUMPRODUCT(IF($B$5:$B$104&gt;D63,1,0),IF($B$5:$B$104&lt;=D64,1,0))</f>
        <v>1</v>
      </c>
    </row>
    <row r="65" spans="1:5">
      <c r="A65" s="24">
        <v>61</v>
      </c>
      <c r="B65" s="25">
        <f ca="1">sim!M88*100</f>
        <v>0.8523932197732651</v>
      </c>
      <c r="D65" s="24">
        <v>3.0000000000000102</v>
      </c>
      <c r="E65" s="24" cm="1">
        <f t="array" aca="1" ref="E65" ca="1">SUMPRODUCT(IF($B$5:$B$104&gt;D64,1,0),IF($B$5:$B$104&lt;=D65,1,0))</f>
        <v>3</v>
      </c>
    </row>
    <row r="66" spans="1:5">
      <c r="A66" s="24">
        <v>62</v>
      </c>
      <c r="B66" s="25">
        <f ca="1">sim!M89*100</f>
        <v>2.5858406928210469</v>
      </c>
      <c r="D66" s="24">
        <v>3.1</v>
      </c>
      <c r="E66" s="24" cm="1">
        <f t="array" aca="1" ref="E66" ca="1">SUMPRODUCT(IF($B$5:$B$104&gt;D65,1,0),IF($B$5:$B$104&lt;=D66,1,0))</f>
        <v>2</v>
      </c>
    </row>
    <row r="67" spans="1:5">
      <c r="A67" s="24">
        <v>63</v>
      </c>
      <c r="B67" s="25">
        <f ca="1">sim!M90*100</f>
        <v>1.2934517168150781</v>
      </c>
      <c r="D67" s="24">
        <v>3.2000000000000099</v>
      </c>
      <c r="E67" s="24" cm="1">
        <f t="array" aca="1" ref="E67" ca="1">SUMPRODUCT(IF($B$5:$B$104&gt;D66,1,0),IF($B$5:$B$104&lt;=D67,1,0))</f>
        <v>5</v>
      </c>
    </row>
    <row r="68" spans="1:5">
      <c r="A68" s="24">
        <v>64</v>
      </c>
      <c r="B68" s="25">
        <f ca="1">sim!M91*100</f>
        <v>2.062100743514935</v>
      </c>
      <c r="D68" s="24">
        <v>3.30000000000001</v>
      </c>
      <c r="E68" s="24" cm="1">
        <f t="array" aca="1" ref="E68" ca="1">SUMPRODUCT(IF($B$5:$B$104&gt;D67,1,0),IF($B$5:$B$104&lt;=D68,1,0))</f>
        <v>2</v>
      </c>
    </row>
    <row r="69" spans="1:5">
      <c r="A69" s="24">
        <v>65</v>
      </c>
      <c r="B69" s="25">
        <f ca="1">sim!M92*100</f>
        <v>1.2843376247044367</v>
      </c>
      <c r="D69" s="24">
        <v>3.4000000000000101</v>
      </c>
      <c r="E69" s="24" cm="1">
        <f t="array" aca="1" ref="E69" ca="1">SUMPRODUCT(IF($B$5:$B$104&gt;D68,1,0),IF($B$5:$B$104&lt;=D69,1,0))</f>
        <v>1</v>
      </c>
    </row>
    <row r="70" spans="1:5">
      <c r="A70" s="24">
        <v>66</v>
      </c>
      <c r="B70" s="25">
        <f ca="1">sim!M93*100</f>
        <v>2.3215009803349775</v>
      </c>
      <c r="D70" s="24">
        <v>3.5000000000000102</v>
      </c>
      <c r="E70" s="24" cm="1">
        <f t="array" aca="1" ref="E70" ca="1">SUMPRODUCT(IF($B$5:$B$104&gt;D69,1,0),IF($B$5:$B$104&lt;=D70,1,0))</f>
        <v>1</v>
      </c>
    </row>
    <row r="71" spans="1:5">
      <c r="A71" s="24">
        <v>67</v>
      </c>
      <c r="B71" s="25">
        <f ca="1">sim!M94*100</f>
        <v>2.4660301383040024</v>
      </c>
      <c r="D71" s="24">
        <v>3.6000000000000099</v>
      </c>
      <c r="E71" s="24" cm="1">
        <f t="array" aca="1" ref="E71" ca="1">SUMPRODUCT(IF($B$5:$B$104&gt;D70,1,0),IF($B$5:$B$104&lt;=D71,1,0))</f>
        <v>2</v>
      </c>
    </row>
    <row r="72" spans="1:5">
      <c r="A72" s="24">
        <v>68</v>
      </c>
      <c r="B72" s="25">
        <f ca="1">sim!M95*100</f>
        <v>1.9034397396469327</v>
      </c>
      <c r="D72" s="24">
        <v>3.7000000000000099</v>
      </c>
      <c r="E72" s="24" cm="1">
        <f t="array" aca="1" ref="E72" ca="1">SUMPRODUCT(IF($B$5:$B$104&gt;D71,1,0),IF($B$5:$B$104&lt;=D72,1,0))</f>
        <v>0</v>
      </c>
    </row>
    <row r="73" spans="1:5">
      <c r="A73" s="24">
        <v>69</v>
      </c>
      <c r="B73" s="25">
        <f ca="1">sim!M96*100</f>
        <v>2.2412475320427863</v>
      </c>
      <c r="D73" s="24">
        <v>3.80000000000001</v>
      </c>
      <c r="E73" s="24" cm="1">
        <f t="array" aca="1" ref="E73" ca="1">SUMPRODUCT(IF($B$5:$B$104&gt;D72,1,0),IF($B$5:$B$104&lt;=D73,1,0))</f>
        <v>1</v>
      </c>
    </row>
    <row r="74" spans="1:5">
      <c r="A74" s="24">
        <v>70</v>
      </c>
      <c r="B74" s="25">
        <f ca="1">sim!M97*100</f>
        <v>1.0631846573150789</v>
      </c>
      <c r="D74" s="24">
        <v>3.9000000000000101</v>
      </c>
      <c r="E74" s="24" cm="1">
        <f t="array" aca="1" ref="E74" ca="1">SUMPRODUCT(IF($B$5:$B$104&gt;D73,1,0),IF($B$5:$B$104&lt;=D74,1,0))</f>
        <v>1</v>
      </c>
    </row>
    <row r="75" spans="1:5">
      <c r="A75" s="24">
        <v>71</v>
      </c>
      <c r="B75" s="25">
        <f ca="1">sim!M98*100</f>
        <v>2.4223207549941925</v>
      </c>
      <c r="D75" s="24">
        <v>4.0000000000000098</v>
      </c>
      <c r="E75" s="24" cm="1">
        <f t="array" aca="1" ref="E75" ca="1">SUMPRODUCT(IF($B$5:$B$104&gt;D74,1,0),IF($B$5:$B$104&lt;=D75,1,0))</f>
        <v>0</v>
      </c>
    </row>
    <row r="76" spans="1:5">
      <c r="A76" s="24">
        <v>72</v>
      </c>
      <c r="B76" s="25">
        <f ca="1">sim!M99*100</f>
        <v>0.62904933041042521</v>
      </c>
      <c r="D76" s="24">
        <v>4.1000000000000103</v>
      </c>
      <c r="E76" s="24" cm="1">
        <f t="array" aca="1" ref="E76" ca="1">SUMPRODUCT(IF($B$5:$B$104&gt;D75,1,0),IF($B$5:$B$104&lt;=D76,1,0))</f>
        <v>0</v>
      </c>
    </row>
    <row r="77" spans="1:5">
      <c r="A77" s="24">
        <v>73</v>
      </c>
      <c r="B77" s="25">
        <f ca="1">sim!M100*100</f>
        <v>7.3371952974777069E-2</v>
      </c>
      <c r="D77" s="24">
        <v>4.2000000000000099</v>
      </c>
      <c r="E77" s="24" cm="1">
        <f t="array" aca="1" ref="E77" ca="1">SUMPRODUCT(IF($B$5:$B$104&gt;D76,1,0),IF($B$5:$B$104&lt;=D77,1,0))</f>
        <v>0</v>
      </c>
    </row>
    <row r="78" spans="1:5">
      <c r="A78" s="24">
        <v>74</v>
      </c>
      <c r="B78" s="25">
        <f ca="1">sim!M101*100</f>
        <v>0.34457471424730535</v>
      </c>
      <c r="D78" s="24">
        <v>4.3000000000000096</v>
      </c>
      <c r="E78" s="24" cm="1">
        <f t="array" aca="1" ref="E78" ca="1">SUMPRODUCT(IF($B$5:$B$104&gt;D77,1,0),IF($B$5:$B$104&lt;=D78,1,0))</f>
        <v>0</v>
      </c>
    </row>
    <row r="79" spans="1:5">
      <c r="A79" s="24">
        <v>75</v>
      </c>
      <c r="B79" s="25">
        <f ca="1">sim!M102*100</f>
        <v>1.1598319878443446</v>
      </c>
      <c r="D79" s="24">
        <v>4.4000000000000101</v>
      </c>
      <c r="E79" s="24" cm="1">
        <f t="array" aca="1" ref="E79" ca="1">SUMPRODUCT(IF($B$5:$B$104&gt;D78,1,0),IF($B$5:$B$104&lt;=D79,1,0))</f>
        <v>0</v>
      </c>
    </row>
    <row r="80" spans="1:5">
      <c r="A80" s="24">
        <v>76</v>
      </c>
      <c r="B80" s="25">
        <f ca="1">sim!M103*100</f>
        <v>1.4249668466778691</v>
      </c>
      <c r="D80" s="24">
        <v>4.5000000000000098</v>
      </c>
      <c r="E80" s="24" cm="1">
        <f t="array" aca="1" ref="E80" ca="1">SUMPRODUCT(IF($B$5:$B$104&gt;D79,1,0),IF($B$5:$B$104&lt;=D80,1,0))</f>
        <v>0</v>
      </c>
    </row>
    <row r="81" spans="1:5">
      <c r="A81" s="24">
        <v>77</v>
      </c>
      <c r="B81" s="25">
        <f ca="1">sim!M104*100</f>
        <v>3.7603011010977836</v>
      </c>
      <c r="D81" s="24">
        <v>4.6000000000000103</v>
      </c>
      <c r="E81" s="24" cm="1">
        <f t="array" aca="1" ref="E81" ca="1">SUMPRODUCT(IF($B$5:$B$104&gt;D80,1,0),IF($B$5:$B$104&lt;=D81,1,0))</f>
        <v>1</v>
      </c>
    </row>
    <row r="82" spans="1:5">
      <c r="A82" s="24">
        <v>78</v>
      </c>
      <c r="B82" s="25">
        <f ca="1">sim!M105*100</f>
        <v>2.034542722523919</v>
      </c>
      <c r="D82" s="24">
        <v>4.7000000000000099</v>
      </c>
      <c r="E82" s="24" cm="1">
        <f t="array" aca="1" ref="E82" ca="1">SUMPRODUCT(IF($B$5:$B$104&gt;D81,1,0),IF($B$5:$B$104&lt;=D82,1,0))</f>
        <v>0</v>
      </c>
    </row>
    <row r="83" spans="1:5">
      <c r="A83" s="24">
        <v>79</v>
      </c>
      <c r="B83" s="25">
        <f ca="1">sim!M106*100</f>
        <v>3.1332314006797799</v>
      </c>
      <c r="D83" s="24">
        <v>4.8000000000000096</v>
      </c>
      <c r="E83" s="24" cm="1">
        <f t="array" aca="1" ref="E83" ca="1">SUMPRODUCT(IF($B$5:$B$104&gt;D82,1,0),IF($B$5:$B$104&lt;=D83,1,0))</f>
        <v>0</v>
      </c>
    </row>
    <row r="84" spans="1:5">
      <c r="A84" s="24">
        <v>80</v>
      </c>
      <c r="B84" s="25">
        <f ca="1">sim!M107*100</f>
        <v>1.9372655718442624</v>
      </c>
      <c r="D84" s="24">
        <v>4.9000000000000101</v>
      </c>
      <c r="E84" s="24" cm="1">
        <f t="array" aca="1" ref="E84" ca="1">SUMPRODUCT(IF($B$5:$B$104&gt;D83,1,0),IF($B$5:$B$104&lt;=D84,1,0))</f>
        <v>0</v>
      </c>
    </row>
    <row r="85" spans="1:5">
      <c r="A85" s="24">
        <v>81</v>
      </c>
      <c r="B85" s="25">
        <f ca="1">sim!M108*100</f>
        <v>3.2631346249593594</v>
      </c>
      <c r="D85" s="24">
        <v>5.0000000000000098</v>
      </c>
      <c r="E85" s="24" cm="1">
        <f t="array" aca="1" ref="E85" ca="1">SUMPRODUCT(IF($B$5:$B$104&gt;D84,1,0),IF($B$5:$B$104&lt;=D85,1,0))</f>
        <v>0</v>
      </c>
    </row>
    <row r="86" spans="1:5">
      <c r="A86" s="24">
        <v>82</v>
      </c>
      <c r="B86" s="25">
        <f ca="1">sim!M109*100</f>
        <v>1.7720555565981067</v>
      </c>
      <c r="D86" s="24">
        <v>100</v>
      </c>
      <c r="E86" s="24" cm="1">
        <f t="array" aca="1" ref="E86" ca="1">SUMPRODUCT(IF($B$5:$B$104&gt;D85,1,0),IF($B$5:$B$104&lt;=D86,1,0))</f>
        <v>0</v>
      </c>
    </row>
    <row r="87" spans="1:5">
      <c r="A87" s="24">
        <v>83</v>
      </c>
      <c r="B87" s="25">
        <f ca="1">sim!M110*100</f>
        <v>1.3785792762731504</v>
      </c>
    </row>
    <row r="88" spans="1:5">
      <c r="A88" s="24">
        <v>84</v>
      </c>
      <c r="B88" s="25">
        <f ca="1">sim!M111*100</f>
        <v>1.3307522576582278</v>
      </c>
    </row>
    <row r="89" spans="1:5">
      <c r="A89" s="24">
        <v>85</v>
      </c>
      <c r="B89" s="25">
        <f ca="1">sim!M112*100</f>
        <v>1.6769153738447946</v>
      </c>
    </row>
    <row r="90" spans="1:5">
      <c r="A90" s="24">
        <v>86</v>
      </c>
      <c r="B90" s="25">
        <f ca="1">sim!M113*100</f>
        <v>2.2267748599380361</v>
      </c>
    </row>
    <row r="91" spans="1:5">
      <c r="A91" s="24">
        <v>87</v>
      </c>
      <c r="B91" s="25">
        <f ca="1">sim!M114*100</f>
        <v>2.3005591157361658</v>
      </c>
    </row>
    <row r="92" spans="1:5">
      <c r="A92" s="24">
        <v>88</v>
      </c>
      <c r="B92" s="25">
        <f ca="1">sim!M115*100</f>
        <v>1.2695622799791146</v>
      </c>
    </row>
    <row r="93" spans="1:5">
      <c r="A93" s="24">
        <v>89</v>
      </c>
      <c r="B93" s="25">
        <f ca="1">sim!M116*100</f>
        <v>1.8877448171801203</v>
      </c>
    </row>
    <row r="94" spans="1:5">
      <c r="A94" s="24">
        <v>90</v>
      </c>
      <c r="B94" s="25">
        <f ca="1">sim!M117*100</f>
        <v>1.5147259305033984</v>
      </c>
    </row>
    <row r="95" spans="1:5">
      <c r="A95" s="24">
        <v>91</v>
      </c>
      <c r="B95" s="25">
        <f ca="1">sim!M118*100</f>
        <v>2.2759976830768429</v>
      </c>
    </row>
    <row r="96" spans="1:5">
      <c r="A96" s="24">
        <v>92</v>
      </c>
      <c r="B96" s="25">
        <f ca="1">sim!M119*100</f>
        <v>1.8730202108123868</v>
      </c>
    </row>
    <row r="97" spans="1:2">
      <c r="A97" s="24">
        <v>93</v>
      </c>
      <c r="B97" s="25">
        <f ca="1">sim!M120*100</f>
        <v>0.71513906921132564</v>
      </c>
    </row>
    <row r="98" spans="1:2">
      <c r="A98" s="24">
        <v>94</v>
      </c>
      <c r="B98" s="25">
        <f ca="1">sim!M121*100</f>
        <v>0.46578815785801952</v>
      </c>
    </row>
    <row r="99" spans="1:2">
      <c r="A99" s="24">
        <v>95</v>
      </c>
      <c r="B99" s="25">
        <f ca="1">sim!M122*100</f>
        <v>1.9096894261047899</v>
      </c>
    </row>
    <row r="100" spans="1:2">
      <c r="A100" s="24">
        <v>96</v>
      </c>
      <c r="B100" s="25">
        <f ca="1">sim!M123*100</f>
        <v>1.5411914242988858</v>
      </c>
    </row>
    <row r="101" spans="1:2">
      <c r="A101" s="24">
        <v>97</v>
      </c>
      <c r="B101" s="25">
        <f ca="1">sim!M124*100</f>
        <v>2.9196413160207255</v>
      </c>
    </row>
    <row r="102" spans="1:2">
      <c r="A102" s="24">
        <v>98</v>
      </c>
      <c r="B102" s="25">
        <f ca="1">sim!M125*100</f>
        <v>3.5558383303472789</v>
      </c>
    </row>
    <row r="103" spans="1:2">
      <c r="A103" s="24">
        <v>99</v>
      </c>
      <c r="B103" s="25">
        <f ca="1">sim!M126*100</f>
        <v>-6.2499289038709868E-2</v>
      </c>
    </row>
    <row r="104" spans="1:2">
      <c r="A104" s="24">
        <v>100</v>
      </c>
      <c r="B104" s="25">
        <f ca="1">sim!M127*100</f>
        <v>3.0583093666176451</v>
      </c>
    </row>
    <row r="105" spans="1:2">
      <c r="A105" s="24">
        <v>101</v>
      </c>
      <c r="B105" s="25"/>
    </row>
    <row r="106" spans="1:2">
      <c r="A106" s="24">
        <v>102</v>
      </c>
      <c r="B106" s="25"/>
    </row>
    <row r="107" spans="1:2">
      <c r="A107" s="24">
        <v>103</v>
      </c>
      <c r="B107" s="25"/>
    </row>
    <row r="108" spans="1:2">
      <c r="A108" s="24">
        <v>104</v>
      </c>
      <c r="B108" s="25"/>
    </row>
    <row r="109" spans="1:2">
      <c r="A109" s="24">
        <v>105</v>
      </c>
      <c r="B109" s="25"/>
    </row>
    <row r="110" spans="1:2">
      <c r="A110" s="24">
        <v>106</v>
      </c>
      <c r="B110" s="25"/>
    </row>
    <row r="111" spans="1:2">
      <c r="A111" s="24">
        <v>107</v>
      </c>
      <c r="B111" s="25"/>
    </row>
    <row r="112" spans="1:2">
      <c r="A112" s="24">
        <v>108</v>
      </c>
      <c r="B112" s="25"/>
    </row>
    <row r="113" spans="1:2">
      <c r="A113" s="24">
        <v>109</v>
      </c>
      <c r="B113" s="25"/>
    </row>
    <row r="114" spans="1:2">
      <c r="A114" s="24">
        <v>110</v>
      </c>
      <c r="B114" s="25"/>
    </row>
    <row r="115" spans="1:2">
      <c r="A115" s="24">
        <v>111</v>
      </c>
      <c r="B115" s="25"/>
    </row>
    <row r="116" spans="1:2">
      <c r="A116" s="24">
        <v>112</v>
      </c>
      <c r="B116" s="25"/>
    </row>
    <row r="117" spans="1:2">
      <c r="A117" s="24">
        <v>113</v>
      </c>
      <c r="B117" s="25"/>
    </row>
    <row r="118" spans="1:2">
      <c r="A118" s="24">
        <v>114</v>
      </c>
      <c r="B118" s="25"/>
    </row>
    <row r="119" spans="1:2">
      <c r="A119" s="24">
        <v>115</v>
      </c>
      <c r="B119" s="25"/>
    </row>
    <row r="120" spans="1:2">
      <c r="A120" s="24">
        <v>116</v>
      </c>
      <c r="B120" s="25"/>
    </row>
    <row r="121" spans="1:2">
      <c r="A121" s="24">
        <v>117</v>
      </c>
      <c r="B121" s="25"/>
    </row>
    <row r="122" spans="1:2">
      <c r="A122" s="24">
        <v>118</v>
      </c>
      <c r="B122" s="25"/>
    </row>
    <row r="123" spans="1:2">
      <c r="A123" s="24">
        <v>119</v>
      </c>
      <c r="B123" s="25"/>
    </row>
    <row r="124" spans="1:2">
      <c r="A124" s="24">
        <v>120</v>
      </c>
      <c r="B124" s="25"/>
    </row>
    <row r="125" spans="1:2">
      <c r="A125" s="24">
        <v>121</v>
      </c>
      <c r="B125" s="25"/>
    </row>
    <row r="126" spans="1:2">
      <c r="A126" s="24">
        <v>122</v>
      </c>
      <c r="B126" s="25"/>
    </row>
    <row r="127" spans="1:2">
      <c r="A127" s="24">
        <v>123</v>
      </c>
      <c r="B127" s="25"/>
    </row>
    <row r="128" spans="1:2">
      <c r="A128" s="24">
        <v>124</v>
      </c>
      <c r="B128" s="25"/>
    </row>
    <row r="129" spans="1:2">
      <c r="A129" s="24">
        <v>125</v>
      </c>
      <c r="B129" s="25"/>
    </row>
    <row r="130" spans="1:2">
      <c r="A130" s="24">
        <v>126</v>
      </c>
      <c r="B130" s="25"/>
    </row>
    <row r="131" spans="1:2">
      <c r="A131" s="24">
        <v>127</v>
      </c>
      <c r="B131" s="25"/>
    </row>
    <row r="132" spans="1:2">
      <c r="A132" s="24">
        <v>128</v>
      </c>
      <c r="B132" s="25"/>
    </row>
    <row r="133" spans="1:2">
      <c r="A133" s="24">
        <v>129</v>
      </c>
      <c r="B133" s="25"/>
    </row>
    <row r="134" spans="1:2">
      <c r="A134" s="24">
        <v>130</v>
      </c>
      <c r="B134" s="25"/>
    </row>
    <row r="135" spans="1:2">
      <c r="A135" s="24">
        <v>131</v>
      </c>
      <c r="B135" s="25"/>
    </row>
    <row r="136" spans="1:2">
      <c r="A136" s="24">
        <v>132</v>
      </c>
      <c r="B136" s="25"/>
    </row>
    <row r="137" spans="1:2">
      <c r="A137" s="24">
        <v>133</v>
      </c>
      <c r="B137" s="25"/>
    </row>
    <row r="138" spans="1:2">
      <c r="A138" s="24">
        <v>134</v>
      </c>
      <c r="B138" s="25"/>
    </row>
    <row r="139" spans="1:2">
      <c r="A139" s="24">
        <v>135</v>
      </c>
      <c r="B139" s="25"/>
    </row>
    <row r="140" spans="1:2">
      <c r="A140" s="24">
        <v>136</v>
      </c>
      <c r="B140" s="25"/>
    </row>
    <row r="141" spans="1:2">
      <c r="A141" s="24">
        <v>137</v>
      </c>
      <c r="B141" s="25"/>
    </row>
    <row r="142" spans="1:2">
      <c r="A142" s="24">
        <v>138</v>
      </c>
      <c r="B142" s="25"/>
    </row>
    <row r="143" spans="1:2">
      <c r="A143" s="24">
        <v>139</v>
      </c>
      <c r="B143" s="25"/>
    </row>
    <row r="144" spans="1:2">
      <c r="A144" s="24">
        <v>140</v>
      </c>
      <c r="B144" s="25"/>
    </row>
    <row r="145" spans="1:2">
      <c r="A145" s="24">
        <v>141</v>
      </c>
      <c r="B145" s="25"/>
    </row>
    <row r="146" spans="1:2">
      <c r="A146" s="24">
        <v>142</v>
      </c>
      <c r="B146" s="25"/>
    </row>
    <row r="147" spans="1:2">
      <c r="A147" s="24">
        <v>143</v>
      </c>
      <c r="B147" s="25"/>
    </row>
    <row r="148" spans="1:2">
      <c r="A148" s="24">
        <v>144</v>
      </c>
      <c r="B148" s="25"/>
    </row>
    <row r="149" spans="1:2">
      <c r="A149" s="24">
        <v>145</v>
      </c>
      <c r="B149" s="25"/>
    </row>
    <row r="150" spans="1:2">
      <c r="A150" s="24">
        <v>146</v>
      </c>
      <c r="B150" s="25"/>
    </row>
    <row r="151" spans="1:2">
      <c r="A151" s="24">
        <v>147</v>
      </c>
      <c r="B151" s="25"/>
    </row>
    <row r="152" spans="1:2">
      <c r="A152" s="24">
        <v>148</v>
      </c>
      <c r="B152" s="25"/>
    </row>
    <row r="153" spans="1:2">
      <c r="A153" s="24">
        <v>149</v>
      </c>
      <c r="B153" s="25"/>
    </row>
    <row r="154" spans="1:2">
      <c r="A154" s="24">
        <v>150</v>
      </c>
      <c r="B154" s="25"/>
    </row>
    <row r="155" spans="1:2">
      <c r="A155" s="24">
        <v>151</v>
      </c>
      <c r="B155" s="25"/>
    </row>
    <row r="156" spans="1:2">
      <c r="A156" s="24">
        <v>152</v>
      </c>
      <c r="B156" s="25"/>
    </row>
    <row r="157" spans="1:2">
      <c r="A157" s="24">
        <v>153</v>
      </c>
      <c r="B157" s="25"/>
    </row>
    <row r="158" spans="1:2">
      <c r="A158" s="24">
        <v>154</v>
      </c>
      <c r="B158" s="25"/>
    </row>
    <row r="159" spans="1:2">
      <c r="A159" s="24">
        <v>155</v>
      </c>
      <c r="B159" s="25"/>
    </row>
    <row r="160" spans="1:2">
      <c r="A160" s="24">
        <v>156</v>
      </c>
      <c r="B160" s="25"/>
    </row>
    <row r="161" spans="1:2">
      <c r="A161" s="24">
        <v>157</v>
      </c>
      <c r="B161" s="25"/>
    </row>
    <row r="162" spans="1:2">
      <c r="A162" s="24">
        <v>158</v>
      </c>
      <c r="B162" s="25"/>
    </row>
    <row r="163" spans="1:2">
      <c r="A163" s="24">
        <v>159</v>
      </c>
      <c r="B163" s="25"/>
    </row>
    <row r="164" spans="1:2">
      <c r="A164" s="24">
        <v>160</v>
      </c>
      <c r="B164" s="25"/>
    </row>
    <row r="165" spans="1:2">
      <c r="A165" s="24">
        <v>161</v>
      </c>
      <c r="B165" s="25"/>
    </row>
    <row r="166" spans="1:2">
      <c r="A166" s="24">
        <v>162</v>
      </c>
      <c r="B166" s="25"/>
    </row>
    <row r="167" spans="1:2">
      <c r="A167" s="24">
        <v>163</v>
      </c>
      <c r="B167" s="25"/>
    </row>
    <row r="168" spans="1:2">
      <c r="A168" s="24">
        <v>164</v>
      </c>
      <c r="B168" s="25"/>
    </row>
    <row r="169" spans="1:2">
      <c r="A169" s="24">
        <v>165</v>
      </c>
      <c r="B169" s="25"/>
    </row>
    <row r="170" spans="1:2">
      <c r="A170" s="24">
        <v>166</v>
      </c>
      <c r="B170" s="25"/>
    </row>
    <row r="171" spans="1:2">
      <c r="A171" s="24">
        <v>167</v>
      </c>
      <c r="B171" s="25"/>
    </row>
    <row r="172" spans="1:2">
      <c r="A172" s="24">
        <v>168</v>
      </c>
      <c r="B172" s="25"/>
    </row>
    <row r="173" spans="1:2">
      <c r="A173" s="24">
        <v>169</v>
      </c>
      <c r="B173" s="25"/>
    </row>
    <row r="174" spans="1:2">
      <c r="A174" s="24">
        <v>170</v>
      </c>
      <c r="B174" s="25"/>
    </row>
    <row r="175" spans="1:2">
      <c r="A175" s="24">
        <v>171</v>
      </c>
      <c r="B175" s="25"/>
    </row>
    <row r="176" spans="1:2">
      <c r="A176" s="24">
        <v>172</v>
      </c>
      <c r="B176" s="25"/>
    </row>
    <row r="177" spans="1:2">
      <c r="A177" s="24">
        <v>173</v>
      </c>
      <c r="B177" s="25"/>
    </row>
    <row r="178" spans="1:2">
      <c r="A178" s="24">
        <v>174</v>
      </c>
      <c r="B178" s="25"/>
    </row>
    <row r="179" spans="1:2">
      <c r="A179" s="24">
        <v>175</v>
      </c>
      <c r="B179" s="25"/>
    </row>
    <row r="180" spans="1:2">
      <c r="A180" s="24">
        <v>176</v>
      </c>
      <c r="B180" s="25"/>
    </row>
    <row r="181" spans="1:2">
      <c r="A181" s="24">
        <v>177</v>
      </c>
      <c r="B181" s="25"/>
    </row>
    <row r="182" spans="1:2">
      <c r="A182" s="24">
        <v>178</v>
      </c>
      <c r="B182" s="25"/>
    </row>
    <row r="183" spans="1:2">
      <c r="A183" s="24">
        <v>179</v>
      </c>
      <c r="B183" s="25"/>
    </row>
    <row r="184" spans="1:2">
      <c r="A184" s="24">
        <v>180</v>
      </c>
      <c r="B184" s="25"/>
    </row>
    <row r="185" spans="1:2">
      <c r="A185" s="24">
        <v>181</v>
      </c>
      <c r="B185" s="25"/>
    </row>
    <row r="186" spans="1:2">
      <c r="A186" s="24">
        <v>182</v>
      </c>
      <c r="B186" s="25"/>
    </row>
    <row r="187" spans="1:2">
      <c r="A187" s="24">
        <v>183</v>
      </c>
      <c r="B187" s="25"/>
    </row>
    <row r="188" spans="1:2">
      <c r="A188" s="24">
        <v>184</v>
      </c>
      <c r="B188" s="25"/>
    </row>
    <row r="189" spans="1:2">
      <c r="A189" s="24">
        <v>185</v>
      </c>
      <c r="B189" s="25"/>
    </row>
    <row r="190" spans="1:2">
      <c r="A190" s="24">
        <v>186</v>
      </c>
      <c r="B190" s="25"/>
    </row>
    <row r="191" spans="1:2">
      <c r="A191" s="24">
        <v>187</v>
      </c>
      <c r="B191" s="25"/>
    </row>
    <row r="192" spans="1:2">
      <c r="A192" s="24">
        <v>188</v>
      </c>
      <c r="B192" s="25"/>
    </row>
    <row r="193" spans="1:2">
      <c r="A193" s="24">
        <v>189</v>
      </c>
      <c r="B193" s="25"/>
    </row>
    <row r="194" spans="1:2">
      <c r="A194" s="24">
        <v>190</v>
      </c>
      <c r="B194" s="25"/>
    </row>
    <row r="195" spans="1:2">
      <c r="A195" s="24">
        <v>191</v>
      </c>
      <c r="B195" s="25"/>
    </row>
    <row r="196" spans="1:2">
      <c r="A196" s="24">
        <v>192</v>
      </c>
      <c r="B196" s="25"/>
    </row>
    <row r="197" spans="1:2">
      <c r="A197" s="24">
        <v>193</v>
      </c>
      <c r="B197" s="25"/>
    </row>
    <row r="198" spans="1:2">
      <c r="A198" s="24">
        <v>194</v>
      </c>
      <c r="B198" s="25"/>
    </row>
    <row r="199" spans="1:2">
      <c r="A199" s="24">
        <v>195</v>
      </c>
      <c r="B199" s="25"/>
    </row>
    <row r="200" spans="1:2">
      <c r="A200" s="24">
        <v>196</v>
      </c>
      <c r="B200" s="25"/>
    </row>
    <row r="201" spans="1:2">
      <c r="A201" s="24">
        <v>197</v>
      </c>
      <c r="B201" s="25"/>
    </row>
    <row r="202" spans="1:2">
      <c r="A202" s="24">
        <v>198</v>
      </c>
      <c r="B202" s="25"/>
    </row>
    <row r="203" spans="1:2">
      <c r="A203" s="24">
        <v>199</v>
      </c>
      <c r="B203" s="25"/>
    </row>
    <row r="204" spans="1:2">
      <c r="A204" s="24">
        <v>200</v>
      </c>
      <c r="B204" s="25"/>
    </row>
    <row r="205" spans="1:2">
      <c r="A205" s="24">
        <v>201</v>
      </c>
      <c r="B205" s="25"/>
    </row>
    <row r="206" spans="1:2">
      <c r="A206" s="24">
        <v>202</v>
      </c>
      <c r="B206" s="25"/>
    </row>
    <row r="207" spans="1:2">
      <c r="A207" s="24">
        <v>203</v>
      </c>
      <c r="B207" s="25"/>
    </row>
    <row r="208" spans="1:2">
      <c r="A208" s="24">
        <v>204</v>
      </c>
      <c r="B208" s="25"/>
    </row>
    <row r="209" spans="1:2">
      <c r="A209" s="24">
        <v>205</v>
      </c>
      <c r="B209" s="25"/>
    </row>
    <row r="210" spans="1:2">
      <c r="A210" s="24">
        <v>206</v>
      </c>
      <c r="B210" s="25"/>
    </row>
    <row r="211" spans="1:2">
      <c r="A211" s="24">
        <v>207</v>
      </c>
      <c r="B211" s="25"/>
    </row>
    <row r="212" spans="1:2">
      <c r="A212" s="24">
        <v>208</v>
      </c>
      <c r="B212" s="25"/>
    </row>
    <row r="213" spans="1:2">
      <c r="A213" s="24">
        <v>209</v>
      </c>
      <c r="B213" s="25"/>
    </row>
    <row r="214" spans="1:2">
      <c r="A214" s="24">
        <v>210</v>
      </c>
      <c r="B214" s="25"/>
    </row>
    <row r="215" spans="1:2">
      <c r="A215" s="24">
        <v>211</v>
      </c>
      <c r="B215" s="25"/>
    </row>
    <row r="216" spans="1:2">
      <c r="A216" s="24">
        <v>212</v>
      </c>
      <c r="B216" s="25"/>
    </row>
    <row r="217" spans="1:2">
      <c r="A217" s="24">
        <v>213</v>
      </c>
      <c r="B217" s="25"/>
    </row>
    <row r="218" spans="1:2">
      <c r="A218" s="24">
        <v>214</v>
      </c>
      <c r="B218" s="25"/>
    </row>
    <row r="219" spans="1:2">
      <c r="A219" s="24">
        <v>215</v>
      </c>
      <c r="B219" s="25"/>
    </row>
    <row r="220" spans="1:2">
      <c r="A220" s="24">
        <v>216</v>
      </c>
      <c r="B220" s="25"/>
    </row>
    <row r="221" spans="1:2">
      <c r="A221" s="24">
        <v>217</v>
      </c>
      <c r="B221" s="25"/>
    </row>
    <row r="222" spans="1:2">
      <c r="A222" s="24">
        <v>218</v>
      </c>
      <c r="B222" s="25"/>
    </row>
    <row r="223" spans="1:2">
      <c r="A223" s="24">
        <v>219</v>
      </c>
      <c r="B223" s="25"/>
    </row>
    <row r="224" spans="1:2">
      <c r="A224" s="24">
        <v>220</v>
      </c>
      <c r="B224" s="25"/>
    </row>
    <row r="225" spans="1:2">
      <c r="A225" s="24">
        <v>221</v>
      </c>
      <c r="B225" s="25"/>
    </row>
    <row r="226" spans="1:2">
      <c r="A226" s="24">
        <v>222</v>
      </c>
      <c r="B226" s="25"/>
    </row>
    <row r="227" spans="1:2">
      <c r="A227" s="24">
        <v>223</v>
      </c>
      <c r="B227" s="25"/>
    </row>
    <row r="228" spans="1:2">
      <c r="A228" s="24">
        <v>224</v>
      </c>
      <c r="B228" s="25"/>
    </row>
    <row r="229" spans="1:2">
      <c r="A229" s="24">
        <v>225</v>
      </c>
      <c r="B229" s="25"/>
    </row>
    <row r="230" spans="1:2">
      <c r="A230" s="24">
        <v>226</v>
      </c>
      <c r="B230" s="25"/>
    </row>
    <row r="231" spans="1:2">
      <c r="A231" s="24">
        <v>227</v>
      </c>
      <c r="B231" s="25"/>
    </row>
    <row r="232" spans="1:2">
      <c r="A232" s="24">
        <v>228</v>
      </c>
      <c r="B232" s="25"/>
    </row>
    <row r="233" spans="1:2">
      <c r="A233" s="24">
        <v>229</v>
      </c>
      <c r="B233" s="25"/>
    </row>
    <row r="234" spans="1:2">
      <c r="A234" s="24">
        <v>230</v>
      </c>
      <c r="B234" s="25"/>
    </row>
    <row r="235" spans="1:2">
      <c r="A235" s="24">
        <v>231</v>
      </c>
      <c r="B235" s="25"/>
    </row>
    <row r="236" spans="1:2">
      <c r="A236" s="24">
        <v>232</v>
      </c>
      <c r="B236" s="25"/>
    </row>
    <row r="237" spans="1:2">
      <c r="A237" s="24">
        <v>233</v>
      </c>
      <c r="B237" s="25"/>
    </row>
    <row r="238" spans="1:2">
      <c r="A238" s="24">
        <v>234</v>
      </c>
      <c r="B238" s="25"/>
    </row>
    <row r="239" spans="1:2">
      <c r="A239" s="24">
        <v>235</v>
      </c>
      <c r="B239" s="25"/>
    </row>
    <row r="240" spans="1:2">
      <c r="A240" s="24">
        <v>236</v>
      </c>
      <c r="B240" s="25"/>
    </row>
    <row r="241" spans="1:2">
      <c r="A241" s="24">
        <v>237</v>
      </c>
      <c r="B241" s="25"/>
    </row>
    <row r="242" spans="1:2">
      <c r="A242" s="24">
        <v>238</v>
      </c>
      <c r="B242" s="25"/>
    </row>
    <row r="243" spans="1:2">
      <c r="A243" s="24">
        <v>239</v>
      </c>
      <c r="B243" s="25"/>
    </row>
    <row r="244" spans="1:2">
      <c r="A244" s="24">
        <v>240</v>
      </c>
      <c r="B244" s="25"/>
    </row>
    <row r="245" spans="1:2">
      <c r="A245" s="24">
        <v>241</v>
      </c>
      <c r="B245" s="25"/>
    </row>
    <row r="246" spans="1:2">
      <c r="A246" s="24">
        <v>242</v>
      </c>
      <c r="B246" s="25"/>
    </row>
    <row r="247" spans="1:2">
      <c r="A247" s="24">
        <v>243</v>
      </c>
      <c r="B247" s="25"/>
    </row>
    <row r="248" spans="1:2">
      <c r="A248" s="24">
        <v>244</v>
      </c>
      <c r="B248" s="25"/>
    </row>
    <row r="249" spans="1:2">
      <c r="A249" s="24">
        <v>245</v>
      </c>
      <c r="B249" s="25"/>
    </row>
    <row r="250" spans="1:2">
      <c r="A250" s="24">
        <v>246</v>
      </c>
      <c r="B250" s="25"/>
    </row>
    <row r="251" spans="1:2">
      <c r="A251" s="24">
        <v>247</v>
      </c>
      <c r="B251" s="25"/>
    </row>
    <row r="252" spans="1:2">
      <c r="A252" s="24">
        <v>248</v>
      </c>
      <c r="B252" s="25"/>
    </row>
    <row r="253" spans="1:2">
      <c r="A253" s="24">
        <v>249</v>
      </c>
      <c r="B253" s="25"/>
    </row>
    <row r="254" spans="1:2">
      <c r="A254" s="24">
        <v>250</v>
      </c>
      <c r="B254" s="25"/>
    </row>
    <row r="255" spans="1:2">
      <c r="A255" s="24">
        <v>251</v>
      </c>
      <c r="B255" s="25"/>
    </row>
    <row r="256" spans="1:2">
      <c r="A256" s="24">
        <v>252</v>
      </c>
      <c r="B256" s="25"/>
    </row>
    <row r="257" spans="1:2">
      <c r="A257" s="24">
        <v>253</v>
      </c>
      <c r="B257" s="25"/>
    </row>
    <row r="258" spans="1:2">
      <c r="A258" s="24">
        <v>254</v>
      </c>
      <c r="B258" s="25"/>
    </row>
    <row r="259" spans="1:2">
      <c r="A259" s="24">
        <v>255</v>
      </c>
      <c r="B259" s="25"/>
    </row>
    <row r="260" spans="1:2">
      <c r="A260" s="24">
        <v>256</v>
      </c>
      <c r="B260" s="25"/>
    </row>
    <row r="261" spans="1:2">
      <c r="A261" s="24">
        <v>257</v>
      </c>
      <c r="B261" s="25"/>
    </row>
    <row r="262" spans="1:2">
      <c r="A262" s="24">
        <v>258</v>
      </c>
      <c r="B262" s="25"/>
    </row>
    <row r="263" spans="1:2">
      <c r="A263" s="24">
        <v>259</v>
      </c>
      <c r="B263" s="25"/>
    </row>
    <row r="264" spans="1:2">
      <c r="A264" s="24">
        <v>260</v>
      </c>
      <c r="B264" s="25"/>
    </row>
    <row r="265" spans="1:2">
      <c r="A265" s="24">
        <v>261</v>
      </c>
      <c r="B265" s="25"/>
    </row>
    <row r="266" spans="1:2">
      <c r="A266" s="24">
        <v>262</v>
      </c>
      <c r="B266" s="25"/>
    </row>
    <row r="267" spans="1:2">
      <c r="A267" s="24">
        <v>263</v>
      </c>
      <c r="B267" s="25"/>
    </row>
    <row r="268" spans="1:2">
      <c r="A268" s="24">
        <v>264</v>
      </c>
      <c r="B268" s="25"/>
    </row>
    <row r="269" spans="1:2">
      <c r="A269" s="24">
        <v>265</v>
      </c>
      <c r="B269" s="25"/>
    </row>
    <row r="270" spans="1:2">
      <c r="A270" s="24">
        <v>266</v>
      </c>
      <c r="B270" s="25"/>
    </row>
    <row r="271" spans="1:2">
      <c r="A271" s="24">
        <v>267</v>
      </c>
      <c r="B271" s="25"/>
    </row>
    <row r="272" spans="1:2">
      <c r="A272" s="24">
        <v>268</v>
      </c>
      <c r="B272" s="25"/>
    </row>
    <row r="273" spans="1:2">
      <c r="A273" s="24">
        <v>269</v>
      </c>
      <c r="B273" s="25"/>
    </row>
    <row r="274" spans="1:2">
      <c r="A274" s="24">
        <v>270</v>
      </c>
      <c r="B274" s="25"/>
    </row>
    <row r="275" spans="1:2">
      <c r="A275" s="24">
        <v>271</v>
      </c>
      <c r="B275" s="25"/>
    </row>
    <row r="276" spans="1:2">
      <c r="A276" s="24">
        <v>272</v>
      </c>
      <c r="B276" s="25"/>
    </row>
    <row r="277" spans="1:2">
      <c r="A277" s="24">
        <v>273</v>
      </c>
      <c r="B277" s="25"/>
    </row>
    <row r="278" spans="1:2">
      <c r="A278" s="24">
        <v>274</v>
      </c>
      <c r="B278" s="25"/>
    </row>
    <row r="279" spans="1:2">
      <c r="A279" s="24">
        <v>275</v>
      </c>
      <c r="B279" s="25"/>
    </row>
    <row r="280" spans="1:2">
      <c r="A280" s="24">
        <v>276</v>
      </c>
      <c r="B280" s="25"/>
    </row>
    <row r="281" spans="1:2">
      <c r="A281" s="24">
        <v>277</v>
      </c>
      <c r="B281" s="25"/>
    </row>
    <row r="282" spans="1:2">
      <c r="A282" s="24">
        <v>278</v>
      </c>
      <c r="B282" s="25"/>
    </row>
    <row r="283" spans="1:2">
      <c r="A283" s="24">
        <v>279</v>
      </c>
      <c r="B283" s="25"/>
    </row>
    <row r="284" spans="1:2">
      <c r="A284" s="24">
        <v>280</v>
      </c>
      <c r="B284" s="25"/>
    </row>
    <row r="285" spans="1:2">
      <c r="A285" s="24">
        <v>281</v>
      </c>
      <c r="B285" s="25"/>
    </row>
    <row r="286" spans="1:2">
      <c r="A286" s="24">
        <v>282</v>
      </c>
      <c r="B286" s="25"/>
    </row>
    <row r="287" spans="1:2">
      <c r="A287" s="24">
        <v>283</v>
      </c>
      <c r="B287" s="25"/>
    </row>
    <row r="288" spans="1:2">
      <c r="A288" s="24">
        <v>284</v>
      </c>
      <c r="B288" s="25"/>
    </row>
    <row r="289" spans="1:2">
      <c r="A289" s="24">
        <v>285</v>
      </c>
      <c r="B289" s="25"/>
    </row>
    <row r="290" spans="1:2">
      <c r="A290" s="24">
        <v>286</v>
      </c>
      <c r="B290" s="25"/>
    </row>
    <row r="291" spans="1:2">
      <c r="A291" s="24">
        <v>287</v>
      </c>
      <c r="B291" s="25"/>
    </row>
    <row r="292" spans="1:2">
      <c r="A292" s="24">
        <v>288</v>
      </c>
      <c r="B292" s="25"/>
    </row>
    <row r="293" spans="1:2">
      <c r="A293" s="24">
        <v>289</v>
      </c>
      <c r="B293" s="25"/>
    </row>
    <row r="294" spans="1:2">
      <c r="A294" s="24">
        <v>290</v>
      </c>
      <c r="B294" s="25"/>
    </row>
    <row r="295" spans="1:2">
      <c r="A295" s="24">
        <v>291</v>
      </c>
      <c r="B295" s="25"/>
    </row>
    <row r="296" spans="1:2">
      <c r="A296" s="24">
        <v>292</v>
      </c>
      <c r="B296" s="25"/>
    </row>
    <row r="297" spans="1:2">
      <c r="A297" s="24">
        <v>293</v>
      </c>
      <c r="B297" s="25"/>
    </row>
    <row r="298" spans="1:2">
      <c r="A298" s="24">
        <v>294</v>
      </c>
      <c r="B298" s="25"/>
    </row>
    <row r="299" spans="1:2">
      <c r="A299" s="24">
        <v>295</v>
      </c>
      <c r="B299" s="25"/>
    </row>
    <row r="300" spans="1:2">
      <c r="A300" s="24">
        <v>296</v>
      </c>
      <c r="B300" s="25"/>
    </row>
    <row r="301" spans="1:2">
      <c r="A301" s="24">
        <v>297</v>
      </c>
      <c r="B301" s="25"/>
    </row>
    <row r="302" spans="1:2">
      <c r="A302" s="24">
        <v>298</v>
      </c>
      <c r="B302" s="25"/>
    </row>
    <row r="303" spans="1:2">
      <c r="A303" s="24">
        <v>299</v>
      </c>
      <c r="B303" s="25"/>
    </row>
    <row r="304" spans="1:2">
      <c r="A304" s="24">
        <v>300</v>
      </c>
      <c r="B304" s="25"/>
    </row>
    <row r="305" spans="1:2">
      <c r="A305" s="24">
        <v>301</v>
      </c>
      <c r="B305" s="25"/>
    </row>
    <row r="306" spans="1:2">
      <c r="A306" s="24">
        <v>302</v>
      </c>
      <c r="B306" s="25"/>
    </row>
    <row r="307" spans="1:2">
      <c r="A307" s="24">
        <v>303</v>
      </c>
      <c r="B307" s="25"/>
    </row>
    <row r="308" spans="1:2">
      <c r="A308" s="24">
        <v>304</v>
      </c>
      <c r="B308" s="25"/>
    </row>
    <row r="309" spans="1:2">
      <c r="A309" s="24">
        <v>305</v>
      </c>
      <c r="B309" s="25"/>
    </row>
    <row r="310" spans="1:2">
      <c r="A310" s="24">
        <v>306</v>
      </c>
      <c r="B310" s="25"/>
    </row>
    <row r="311" spans="1:2">
      <c r="A311" s="24">
        <v>307</v>
      </c>
      <c r="B311" s="25"/>
    </row>
    <row r="312" spans="1:2">
      <c r="A312" s="24">
        <v>308</v>
      </c>
      <c r="B312" s="25"/>
    </row>
    <row r="313" spans="1:2">
      <c r="A313" s="24">
        <v>309</v>
      </c>
      <c r="B313" s="25"/>
    </row>
    <row r="314" spans="1:2">
      <c r="A314" s="24">
        <v>310</v>
      </c>
      <c r="B314" s="25"/>
    </row>
    <row r="315" spans="1:2">
      <c r="A315" s="24">
        <v>311</v>
      </c>
      <c r="B315" s="25"/>
    </row>
    <row r="316" spans="1:2">
      <c r="A316" s="24">
        <v>312</v>
      </c>
      <c r="B316" s="25"/>
    </row>
    <row r="317" spans="1:2">
      <c r="A317" s="24">
        <v>313</v>
      </c>
      <c r="B317" s="25"/>
    </row>
    <row r="318" spans="1:2">
      <c r="A318" s="24">
        <v>314</v>
      </c>
      <c r="B318" s="25"/>
    </row>
    <row r="319" spans="1:2">
      <c r="A319" s="24">
        <v>315</v>
      </c>
      <c r="B319" s="25"/>
    </row>
    <row r="320" spans="1:2">
      <c r="A320" s="24">
        <v>316</v>
      </c>
      <c r="B320" s="25"/>
    </row>
    <row r="321" spans="1:2">
      <c r="A321" s="24">
        <v>317</v>
      </c>
      <c r="B321" s="25"/>
    </row>
    <row r="322" spans="1:2">
      <c r="A322" s="24">
        <v>318</v>
      </c>
      <c r="B322" s="25"/>
    </row>
    <row r="323" spans="1:2">
      <c r="A323" s="24">
        <v>319</v>
      </c>
      <c r="B323" s="25"/>
    </row>
    <row r="324" spans="1:2">
      <c r="A324" s="24">
        <v>320</v>
      </c>
      <c r="B324" s="25"/>
    </row>
    <row r="325" spans="1:2">
      <c r="A325" s="24">
        <v>321</v>
      </c>
      <c r="B325" s="25"/>
    </row>
    <row r="326" spans="1:2">
      <c r="A326" s="24">
        <v>322</v>
      </c>
      <c r="B326" s="25"/>
    </row>
    <row r="327" spans="1:2">
      <c r="A327" s="24">
        <v>323</v>
      </c>
      <c r="B327" s="25"/>
    </row>
    <row r="328" spans="1:2">
      <c r="A328" s="24">
        <v>324</v>
      </c>
      <c r="B328" s="25"/>
    </row>
    <row r="329" spans="1:2">
      <c r="A329" s="24">
        <v>325</v>
      </c>
      <c r="B329" s="25"/>
    </row>
    <row r="330" spans="1:2">
      <c r="A330" s="24">
        <v>326</v>
      </c>
      <c r="B330" s="25"/>
    </row>
    <row r="331" spans="1:2">
      <c r="A331" s="24">
        <v>327</v>
      </c>
      <c r="B331" s="25"/>
    </row>
    <row r="332" spans="1:2">
      <c r="A332" s="24">
        <v>328</v>
      </c>
      <c r="B332" s="25"/>
    </row>
    <row r="333" spans="1:2">
      <c r="A333" s="24">
        <v>329</v>
      </c>
      <c r="B333" s="25"/>
    </row>
    <row r="334" spans="1:2">
      <c r="A334" s="24">
        <v>330</v>
      </c>
      <c r="B334" s="25"/>
    </row>
    <row r="335" spans="1:2">
      <c r="A335" s="24">
        <v>331</v>
      </c>
      <c r="B335" s="25"/>
    </row>
    <row r="336" spans="1:2">
      <c r="A336" s="24">
        <v>332</v>
      </c>
      <c r="B336" s="25"/>
    </row>
    <row r="337" spans="1:2">
      <c r="A337" s="24">
        <v>333</v>
      </c>
      <c r="B337" s="25"/>
    </row>
    <row r="338" spans="1:2">
      <c r="A338" s="24">
        <v>334</v>
      </c>
      <c r="B338" s="25"/>
    </row>
    <row r="339" spans="1:2">
      <c r="A339" s="24">
        <v>335</v>
      </c>
      <c r="B339" s="25"/>
    </row>
    <row r="340" spans="1:2">
      <c r="A340" s="24">
        <v>336</v>
      </c>
      <c r="B340" s="25"/>
    </row>
    <row r="341" spans="1:2">
      <c r="A341" s="24">
        <v>337</v>
      </c>
      <c r="B341" s="25"/>
    </row>
    <row r="342" spans="1:2">
      <c r="A342" s="24">
        <v>338</v>
      </c>
      <c r="B342" s="25"/>
    </row>
    <row r="343" spans="1:2">
      <c r="A343" s="24">
        <v>339</v>
      </c>
      <c r="B343" s="25"/>
    </row>
    <row r="344" spans="1:2">
      <c r="A344" s="24">
        <v>340</v>
      </c>
      <c r="B344" s="25"/>
    </row>
    <row r="345" spans="1:2">
      <c r="A345" s="24">
        <v>341</v>
      </c>
      <c r="B345" s="25"/>
    </row>
    <row r="346" spans="1:2">
      <c r="A346" s="24">
        <v>342</v>
      </c>
      <c r="B346" s="25"/>
    </row>
    <row r="347" spans="1:2">
      <c r="A347" s="24">
        <v>343</v>
      </c>
      <c r="B347" s="25"/>
    </row>
    <row r="348" spans="1:2">
      <c r="A348" s="24">
        <v>344</v>
      </c>
      <c r="B348" s="25"/>
    </row>
    <row r="349" spans="1:2">
      <c r="A349" s="24">
        <v>345</v>
      </c>
      <c r="B349" s="25"/>
    </row>
    <row r="350" spans="1:2">
      <c r="A350" s="24">
        <v>346</v>
      </c>
      <c r="B350" s="25"/>
    </row>
    <row r="351" spans="1:2">
      <c r="A351" s="24">
        <v>347</v>
      </c>
      <c r="B351" s="25"/>
    </row>
    <row r="352" spans="1:2">
      <c r="A352" s="24">
        <v>348</v>
      </c>
      <c r="B352" s="25"/>
    </row>
    <row r="353" spans="1:2">
      <c r="A353" s="24">
        <v>349</v>
      </c>
      <c r="B353" s="25"/>
    </row>
    <row r="354" spans="1:2">
      <c r="A354" s="24">
        <v>350</v>
      </c>
      <c r="B354" s="25"/>
    </row>
    <row r="355" spans="1:2">
      <c r="A355" s="24">
        <v>351</v>
      </c>
      <c r="B355" s="25"/>
    </row>
    <row r="356" spans="1:2">
      <c r="A356" s="24">
        <v>352</v>
      </c>
      <c r="B356" s="25"/>
    </row>
    <row r="357" spans="1:2">
      <c r="A357" s="24">
        <v>353</v>
      </c>
      <c r="B357" s="25"/>
    </row>
    <row r="358" spans="1:2">
      <c r="A358" s="24">
        <v>354</v>
      </c>
      <c r="B358" s="25"/>
    </row>
    <row r="359" spans="1:2">
      <c r="A359" s="24">
        <v>355</v>
      </c>
      <c r="B359" s="25"/>
    </row>
    <row r="360" spans="1:2">
      <c r="A360" s="24">
        <v>356</v>
      </c>
      <c r="B360" s="25"/>
    </row>
    <row r="361" spans="1:2">
      <c r="A361" s="24">
        <v>357</v>
      </c>
      <c r="B361" s="25"/>
    </row>
    <row r="362" spans="1:2">
      <c r="A362" s="24">
        <v>358</v>
      </c>
      <c r="B362" s="25"/>
    </row>
    <row r="363" spans="1:2">
      <c r="A363" s="24">
        <v>359</v>
      </c>
      <c r="B363" s="25"/>
    </row>
    <row r="364" spans="1:2">
      <c r="A364" s="24">
        <v>360</v>
      </c>
      <c r="B364" s="25"/>
    </row>
    <row r="365" spans="1:2">
      <c r="A365" s="24">
        <v>361</v>
      </c>
      <c r="B365" s="25"/>
    </row>
    <row r="366" spans="1:2">
      <c r="A366" s="24">
        <v>362</v>
      </c>
      <c r="B366" s="25"/>
    </row>
    <row r="367" spans="1:2">
      <c r="A367" s="24">
        <v>363</v>
      </c>
      <c r="B367" s="25"/>
    </row>
    <row r="368" spans="1:2">
      <c r="A368" s="24">
        <v>364</v>
      </c>
      <c r="B368" s="25"/>
    </row>
    <row r="369" spans="1:2">
      <c r="A369" s="24">
        <v>365</v>
      </c>
      <c r="B369" s="25"/>
    </row>
    <row r="370" spans="1:2">
      <c r="A370" s="24">
        <v>366</v>
      </c>
      <c r="B370" s="25"/>
    </row>
    <row r="371" spans="1:2">
      <c r="A371" s="24">
        <v>367</v>
      </c>
      <c r="B371" s="25"/>
    </row>
    <row r="372" spans="1:2">
      <c r="A372" s="24">
        <v>368</v>
      </c>
      <c r="B372" s="25"/>
    </row>
    <row r="373" spans="1:2">
      <c r="A373" s="24">
        <v>369</v>
      </c>
      <c r="B373" s="25"/>
    </row>
    <row r="374" spans="1:2">
      <c r="A374" s="24">
        <v>370</v>
      </c>
      <c r="B374" s="25"/>
    </row>
    <row r="375" spans="1:2">
      <c r="A375" s="24">
        <v>371</v>
      </c>
      <c r="B375" s="25"/>
    </row>
    <row r="376" spans="1:2">
      <c r="A376" s="24">
        <v>372</v>
      </c>
      <c r="B376" s="25"/>
    </row>
    <row r="377" spans="1:2">
      <c r="A377" s="24">
        <v>373</v>
      </c>
      <c r="B377" s="25"/>
    </row>
    <row r="378" spans="1:2">
      <c r="A378" s="24">
        <v>374</v>
      </c>
      <c r="B378" s="25"/>
    </row>
    <row r="379" spans="1:2">
      <c r="A379" s="24">
        <v>375</v>
      </c>
      <c r="B379" s="25"/>
    </row>
    <row r="380" spans="1:2">
      <c r="A380" s="24">
        <v>376</v>
      </c>
      <c r="B380" s="25"/>
    </row>
    <row r="381" spans="1:2">
      <c r="A381" s="24">
        <v>377</v>
      </c>
      <c r="B381" s="25"/>
    </row>
    <row r="382" spans="1:2">
      <c r="A382" s="24">
        <v>378</v>
      </c>
      <c r="B382" s="25"/>
    </row>
    <row r="383" spans="1:2">
      <c r="A383" s="24">
        <v>379</v>
      </c>
      <c r="B383" s="25"/>
    </row>
    <row r="384" spans="1:2">
      <c r="A384" s="24">
        <v>380</v>
      </c>
      <c r="B384" s="25"/>
    </row>
    <row r="385" spans="1:2">
      <c r="A385" s="24">
        <v>381</v>
      </c>
      <c r="B385" s="25"/>
    </row>
    <row r="386" spans="1:2">
      <c r="A386" s="24">
        <v>382</v>
      </c>
      <c r="B386" s="25"/>
    </row>
    <row r="387" spans="1:2">
      <c r="A387" s="24">
        <v>383</v>
      </c>
      <c r="B387" s="25"/>
    </row>
    <row r="388" spans="1:2">
      <c r="A388" s="24">
        <v>384</v>
      </c>
      <c r="B388" s="25"/>
    </row>
    <row r="389" spans="1:2">
      <c r="A389" s="24">
        <v>385</v>
      </c>
      <c r="B389" s="25"/>
    </row>
    <row r="390" spans="1:2">
      <c r="A390" s="24">
        <v>386</v>
      </c>
      <c r="B390" s="25"/>
    </row>
    <row r="391" spans="1:2">
      <c r="A391" s="24">
        <v>387</v>
      </c>
      <c r="B391" s="25"/>
    </row>
    <row r="392" spans="1:2">
      <c r="A392" s="24">
        <v>388</v>
      </c>
      <c r="B392" s="25"/>
    </row>
    <row r="393" spans="1:2">
      <c r="A393" s="24">
        <v>389</v>
      </c>
      <c r="B393" s="25"/>
    </row>
    <row r="394" spans="1:2">
      <c r="A394" s="24">
        <v>390</v>
      </c>
      <c r="B394" s="25"/>
    </row>
    <row r="395" spans="1:2">
      <c r="A395" s="24">
        <v>391</v>
      </c>
      <c r="B395" s="25"/>
    </row>
    <row r="396" spans="1:2">
      <c r="A396" s="24">
        <v>392</v>
      </c>
      <c r="B396" s="25"/>
    </row>
    <row r="397" spans="1:2">
      <c r="A397" s="24">
        <v>393</v>
      </c>
      <c r="B397" s="25"/>
    </row>
    <row r="398" spans="1:2">
      <c r="A398" s="24">
        <v>394</v>
      </c>
      <c r="B398" s="25"/>
    </row>
    <row r="399" spans="1:2">
      <c r="A399" s="24">
        <v>395</v>
      </c>
      <c r="B399" s="25"/>
    </row>
    <row r="400" spans="1:2">
      <c r="A400" s="24">
        <v>396</v>
      </c>
      <c r="B400" s="25"/>
    </row>
    <row r="401" spans="1:2">
      <c r="A401" s="24">
        <v>397</v>
      </c>
      <c r="B401" s="25"/>
    </row>
    <row r="402" spans="1:2">
      <c r="A402" s="24">
        <v>398</v>
      </c>
      <c r="B402" s="25"/>
    </row>
    <row r="403" spans="1:2">
      <c r="A403" s="24">
        <v>399</v>
      </c>
      <c r="B403" s="25"/>
    </row>
    <row r="404" spans="1:2">
      <c r="A404" s="24">
        <v>400</v>
      </c>
      <c r="B404" s="25"/>
    </row>
    <row r="405" spans="1:2">
      <c r="A405" s="24">
        <v>401</v>
      </c>
      <c r="B405" s="25"/>
    </row>
    <row r="406" spans="1:2">
      <c r="A406" s="24">
        <v>402</v>
      </c>
      <c r="B406" s="25"/>
    </row>
    <row r="407" spans="1:2">
      <c r="A407" s="24">
        <v>403</v>
      </c>
      <c r="B407" s="25"/>
    </row>
    <row r="408" spans="1:2">
      <c r="A408" s="24">
        <v>404</v>
      </c>
      <c r="B408" s="25"/>
    </row>
    <row r="409" spans="1:2">
      <c r="A409" s="24">
        <v>405</v>
      </c>
      <c r="B409" s="25"/>
    </row>
    <row r="410" spans="1:2">
      <c r="A410" s="24">
        <v>406</v>
      </c>
      <c r="B410" s="25"/>
    </row>
    <row r="411" spans="1:2">
      <c r="A411" s="24">
        <v>407</v>
      </c>
      <c r="B411" s="25"/>
    </row>
    <row r="412" spans="1:2">
      <c r="A412" s="24">
        <v>408</v>
      </c>
      <c r="B412" s="25"/>
    </row>
    <row r="413" spans="1:2">
      <c r="A413" s="24">
        <v>409</v>
      </c>
      <c r="B413" s="25"/>
    </row>
    <row r="414" spans="1:2">
      <c r="A414" s="24">
        <v>410</v>
      </c>
      <c r="B414" s="25"/>
    </row>
    <row r="415" spans="1:2">
      <c r="A415" s="24">
        <v>411</v>
      </c>
      <c r="B415" s="25"/>
    </row>
    <row r="416" spans="1:2">
      <c r="A416" s="24">
        <v>412</v>
      </c>
      <c r="B416" s="25"/>
    </row>
    <row r="417" spans="1:2">
      <c r="A417" s="24">
        <v>413</v>
      </c>
      <c r="B417" s="25"/>
    </row>
    <row r="418" spans="1:2">
      <c r="A418" s="24">
        <v>414</v>
      </c>
      <c r="B418" s="25"/>
    </row>
    <row r="419" spans="1:2">
      <c r="A419" s="24">
        <v>415</v>
      </c>
      <c r="B419" s="25"/>
    </row>
    <row r="420" spans="1:2">
      <c r="A420" s="24">
        <v>416</v>
      </c>
      <c r="B420" s="25"/>
    </row>
    <row r="421" spans="1:2">
      <c r="A421" s="24">
        <v>417</v>
      </c>
      <c r="B421" s="25"/>
    </row>
    <row r="422" spans="1:2">
      <c r="A422" s="24">
        <v>418</v>
      </c>
      <c r="B422" s="25"/>
    </row>
    <row r="423" spans="1:2">
      <c r="A423" s="24">
        <v>419</v>
      </c>
      <c r="B423" s="25"/>
    </row>
    <row r="424" spans="1:2">
      <c r="A424" s="24">
        <v>420</v>
      </c>
      <c r="B424" s="25"/>
    </row>
    <row r="425" spans="1:2">
      <c r="A425" s="24">
        <v>421</v>
      </c>
      <c r="B425" s="25"/>
    </row>
    <row r="426" spans="1:2">
      <c r="A426" s="24">
        <v>422</v>
      </c>
      <c r="B426" s="25"/>
    </row>
    <row r="427" spans="1:2">
      <c r="A427" s="24">
        <v>423</v>
      </c>
      <c r="B427" s="25"/>
    </row>
    <row r="428" spans="1:2">
      <c r="A428" s="24">
        <v>424</v>
      </c>
      <c r="B428" s="25"/>
    </row>
    <row r="429" spans="1:2">
      <c r="A429" s="24">
        <v>425</v>
      </c>
      <c r="B429" s="25"/>
    </row>
    <row r="430" spans="1:2">
      <c r="A430" s="24">
        <v>426</v>
      </c>
      <c r="B430" s="25"/>
    </row>
    <row r="431" spans="1:2">
      <c r="A431" s="24">
        <v>427</v>
      </c>
      <c r="B431" s="25"/>
    </row>
    <row r="432" spans="1:2">
      <c r="A432" s="24">
        <v>428</v>
      </c>
      <c r="B432" s="25"/>
    </row>
    <row r="433" spans="1:2">
      <c r="A433" s="24">
        <v>429</v>
      </c>
      <c r="B433" s="25"/>
    </row>
    <row r="434" spans="1:2">
      <c r="A434" s="24">
        <v>430</v>
      </c>
      <c r="B434" s="25"/>
    </row>
    <row r="435" spans="1:2">
      <c r="A435" s="24">
        <v>431</v>
      </c>
      <c r="B435" s="25"/>
    </row>
    <row r="436" spans="1:2">
      <c r="A436" s="24">
        <v>432</v>
      </c>
      <c r="B436" s="25"/>
    </row>
    <row r="437" spans="1:2">
      <c r="A437" s="24">
        <v>433</v>
      </c>
      <c r="B437" s="25"/>
    </row>
    <row r="438" spans="1:2">
      <c r="A438" s="24">
        <v>434</v>
      </c>
      <c r="B438" s="25"/>
    </row>
    <row r="439" spans="1:2">
      <c r="A439" s="24">
        <v>435</v>
      </c>
      <c r="B439" s="25"/>
    </row>
    <row r="440" spans="1:2">
      <c r="A440" s="24">
        <v>436</v>
      </c>
      <c r="B440" s="25"/>
    </row>
    <row r="441" spans="1:2">
      <c r="A441" s="24">
        <v>437</v>
      </c>
      <c r="B441" s="25"/>
    </row>
    <row r="442" spans="1:2">
      <c r="A442" s="24">
        <v>438</v>
      </c>
      <c r="B442" s="25"/>
    </row>
    <row r="443" spans="1:2">
      <c r="A443" s="24">
        <v>439</v>
      </c>
      <c r="B443" s="25"/>
    </row>
    <row r="444" spans="1:2">
      <c r="A444" s="24">
        <v>440</v>
      </c>
      <c r="B444" s="25"/>
    </row>
    <row r="445" spans="1:2">
      <c r="A445" s="24">
        <v>441</v>
      </c>
      <c r="B445" s="25"/>
    </row>
    <row r="446" spans="1:2">
      <c r="A446" s="24">
        <v>442</v>
      </c>
      <c r="B446" s="25"/>
    </row>
    <row r="447" spans="1:2">
      <c r="A447" s="24">
        <v>443</v>
      </c>
      <c r="B447" s="25"/>
    </row>
    <row r="448" spans="1:2">
      <c r="A448" s="24">
        <v>444</v>
      </c>
      <c r="B448" s="25"/>
    </row>
    <row r="449" spans="1:2">
      <c r="A449" s="24">
        <v>445</v>
      </c>
      <c r="B449" s="25"/>
    </row>
    <row r="450" spans="1:2">
      <c r="A450" s="24">
        <v>446</v>
      </c>
      <c r="B450" s="25"/>
    </row>
    <row r="451" spans="1:2">
      <c r="A451" s="24">
        <v>447</v>
      </c>
      <c r="B451" s="25"/>
    </row>
    <row r="452" spans="1:2">
      <c r="A452" s="24">
        <v>448</v>
      </c>
      <c r="B452" s="25"/>
    </row>
    <row r="453" spans="1:2">
      <c r="A453" s="24">
        <v>449</v>
      </c>
      <c r="B453" s="25"/>
    </row>
    <row r="454" spans="1:2">
      <c r="A454" s="24">
        <v>450</v>
      </c>
      <c r="B454" s="25"/>
    </row>
    <row r="455" spans="1:2">
      <c r="A455" s="24">
        <v>451</v>
      </c>
      <c r="B455" s="25"/>
    </row>
    <row r="456" spans="1:2">
      <c r="A456" s="24">
        <v>452</v>
      </c>
      <c r="B456" s="25"/>
    </row>
    <row r="457" spans="1:2">
      <c r="A457" s="24">
        <v>453</v>
      </c>
      <c r="B457" s="25"/>
    </row>
    <row r="458" spans="1:2">
      <c r="A458" s="24">
        <v>454</v>
      </c>
      <c r="B458" s="25"/>
    </row>
    <row r="459" spans="1:2">
      <c r="A459" s="24">
        <v>455</v>
      </c>
      <c r="B459" s="25"/>
    </row>
    <row r="460" spans="1:2">
      <c r="A460" s="24">
        <v>456</v>
      </c>
      <c r="B460" s="25"/>
    </row>
    <row r="461" spans="1:2">
      <c r="A461" s="24">
        <v>457</v>
      </c>
      <c r="B461" s="25"/>
    </row>
    <row r="462" spans="1:2">
      <c r="A462" s="24">
        <v>458</v>
      </c>
      <c r="B462" s="25"/>
    </row>
    <row r="463" spans="1:2">
      <c r="A463" s="24">
        <v>459</v>
      </c>
      <c r="B463" s="25"/>
    </row>
    <row r="464" spans="1:2">
      <c r="A464" s="24">
        <v>460</v>
      </c>
      <c r="B464" s="25"/>
    </row>
    <row r="465" spans="1:2">
      <c r="A465" s="24">
        <v>461</v>
      </c>
      <c r="B465" s="25"/>
    </row>
    <row r="466" spans="1:2">
      <c r="A466" s="24">
        <v>462</v>
      </c>
      <c r="B466" s="25"/>
    </row>
    <row r="467" spans="1:2">
      <c r="A467" s="24">
        <v>463</v>
      </c>
      <c r="B467" s="25"/>
    </row>
    <row r="468" spans="1:2">
      <c r="A468" s="24">
        <v>464</v>
      </c>
      <c r="B468" s="25"/>
    </row>
    <row r="469" spans="1:2">
      <c r="A469" s="24">
        <v>465</v>
      </c>
      <c r="B469" s="25"/>
    </row>
    <row r="470" spans="1:2">
      <c r="A470" s="24">
        <v>466</v>
      </c>
      <c r="B470" s="25"/>
    </row>
    <row r="471" spans="1:2">
      <c r="A471" s="24">
        <v>467</v>
      </c>
      <c r="B471" s="25"/>
    </row>
    <row r="472" spans="1:2">
      <c r="A472" s="24">
        <v>468</v>
      </c>
      <c r="B472" s="25"/>
    </row>
    <row r="473" spans="1:2">
      <c r="A473" s="24">
        <v>469</v>
      </c>
      <c r="B473" s="25"/>
    </row>
    <row r="474" spans="1:2">
      <c r="A474" s="24">
        <v>470</v>
      </c>
      <c r="B474" s="25"/>
    </row>
    <row r="475" spans="1:2">
      <c r="A475" s="24">
        <v>471</v>
      </c>
      <c r="B475" s="25"/>
    </row>
    <row r="476" spans="1:2">
      <c r="A476" s="24">
        <v>472</v>
      </c>
      <c r="B476" s="25"/>
    </row>
    <row r="477" spans="1:2">
      <c r="A477" s="24">
        <v>473</v>
      </c>
      <c r="B477" s="25"/>
    </row>
    <row r="478" spans="1:2">
      <c r="A478" s="24">
        <v>474</v>
      </c>
      <c r="B478" s="25"/>
    </row>
    <row r="479" spans="1:2">
      <c r="A479" s="24">
        <v>475</v>
      </c>
      <c r="B479" s="25"/>
    </row>
    <row r="480" spans="1:2">
      <c r="A480" s="24">
        <v>476</v>
      </c>
      <c r="B480" s="25"/>
    </row>
    <row r="481" spans="1:2">
      <c r="A481" s="24">
        <v>477</v>
      </c>
      <c r="B481" s="25"/>
    </row>
    <row r="482" spans="1:2">
      <c r="A482" s="24">
        <v>478</v>
      </c>
      <c r="B482" s="25"/>
    </row>
    <row r="483" spans="1:2">
      <c r="A483" s="24">
        <v>479</v>
      </c>
      <c r="B483" s="25"/>
    </row>
    <row r="484" spans="1:2">
      <c r="A484" s="24">
        <v>480</v>
      </c>
      <c r="B484" s="25"/>
    </row>
    <row r="485" spans="1:2">
      <c r="A485" s="24">
        <v>481</v>
      </c>
      <c r="B485" s="25"/>
    </row>
    <row r="486" spans="1:2">
      <c r="A486" s="24">
        <v>482</v>
      </c>
      <c r="B486" s="25"/>
    </row>
    <row r="487" spans="1:2">
      <c r="A487" s="24">
        <v>483</v>
      </c>
      <c r="B487" s="25"/>
    </row>
    <row r="488" spans="1:2">
      <c r="A488" s="24">
        <v>484</v>
      </c>
      <c r="B488" s="25"/>
    </row>
    <row r="489" spans="1:2">
      <c r="A489" s="24">
        <v>485</v>
      </c>
      <c r="B489" s="25"/>
    </row>
    <row r="490" spans="1:2">
      <c r="A490" s="24">
        <v>486</v>
      </c>
      <c r="B490" s="25"/>
    </row>
    <row r="491" spans="1:2">
      <c r="A491" s="24">
        <v>487</v>
      </c>
      <c r="B491" s="25"/>
    </row>
    <row r="492" spans="1:2">
      <c r="A492" s="24">
        <v>488</v>
      </c>
      <c r="B492" s="25"/>
    </row>
    <row r="493" spans="1:2">
      <c r="A493" s="24">
        <v>489</v>
      </c>
      <c r="B493" s="25"/>
    </row>
    <row r="494" spans="1:2">
      <c r="A494" s="24">
        <v>490</v>
      </c>
      <c r="B494" s="25"/>
    </row>
    <row r="495" spans="1:2">
      <c r="A495" s="24">
        <v>491</v>
      </c>
      <c r="B495" s="25"/>
    </row>
    <row r="496" spans="1:2">
      <c r="A496" s="24">
        <v>492</v>
      </c>
      <c r="B496" s="25"/>
    </row>
    <row r="497" spans="1:2">
      <c r="A497" s="24">
        <v>493</v>
      </c>
      <c r="B497" s="25"/>
    </row>
    <row r="498" spans="1:2">
      <c r="A498" s="24">
        <v>494</v>
      </c>
      <c r="B498" s="25"/>
    </row>
    <row r="499" spans="1:2">
      <c r="A499" s="24">
        <v>495</v>
      </c>
      <c r="B499" s="25"/>
    </row>
    <row r="500" spans="1:2">
      <c r="A500" s="24">
        <v>496</v>
      </c>
      <c r="B500" s="25"/>
    </row>
    <row r="501" spans="1:2">
      <c r="A501" s="24">
        <v>497</v>
      </c>
      <c r="B501" s="25"/>
    </row>
    <row r="502" spans="1:2">
      <c r="A502" s="24">
        <v>498</v>
      </c>
      <c r="B502" s="25"/>
    </row>
    <row r="503" spans="1:2">
      <c r="A503" s="24">
        <v>499</v>
      </c>
      <c r="B503" s="25"/>
    </row>
    <row r="504" spans="1:2">
      <c r="A504" s="24">
        <v>500</v>
      </c>
      <c r="B504" s="25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3397-933F-4834-8A55-73DA3F97D7C4}">
  <dimension ref="A4:O504"/>
  <sheetViews>
    <sheetView workbookViewId="0">
      <selection activeCell="Z9" sqref="Z9"/>
    </sheetView>
  </sheetViews>
  <sheetFormatPr defaultColWidth="8.7109375" defaultRowHeight="14.25"/>
  <cols>
    <col min="1" max="1" width="8.7109375" style="24"/>
    <col min="2" max="2" width="9" style="24" bestFit="1" customWidth="1"/>
    <col min="3" max="16384" width="8.7109375" style="24"/>
  </cols>
  <sheetData>
    <row r="4" spans="1:15">
      <c r="D4" s="24">
        <v>-100</v>
      </c>
      <c r="N4" s="24">
        <v>-100</v>
      </c>
    </row>
    <row r="5" spans="1:15">
      <c r="A5" s="24">
        <v>1</v>
      </c>
      <c r="B5" s="25">
        <f ca="1">100*(sim!$C$3+NORMSINV(RAND())*sim!$C$4)</f>
        <v>1.3071141363188696</v>
      </c>
      <c r="D5" s="24">
        <v>-3</v>
      </c>
      <c r="E5" s="24" cm="1">
        <f t="array" aca="1" ref="E5" ca="1">SUMPRODUCT(IF($B$5:$B$504&gt;D4,1,0),IF($B$5:$B$504&lt;=D5,1,0))</f>
        <v>0</v>
      </c>
      <c r="N5" s="24">
        <v>-3</v>
      </c>
      <c r="O5" s="24" cm="1">
        <f t="array" aca="1" ref="O5" ca="1">SUMPRODUCT(IF($B$5:$B$504&gt;N4,1,0),IF($B$5:$B$504&lt;=N5,1,0))</f>
        <v>0</v>
      </c>
    </row>
    <row r="6" spans="1:15">
      <c r="A6" s="24">
        <v>2</v>
      </c>
      <c r="B6" s="25">
        <f ca="1">100*(sim!$C$3+NORMSINV(RAND())*sim!$C$4)</f>
        <v>2.3969525358272468</v>
      </c>
      <c r="D6" s="24">
        <v>-2.9</v>
      </c>
      <c r="E6" s="24" cm="1">
        <f t="array" aca="1" ref="E6" ca="1">SUMPRODUCT(IF($B$5:$B$504&gt;D5,1,0),IF($B$5:$B$504&lt;=D6,1,0))</f>
        <v>0</v>
      </c>
      <c r="N6" s="24">
        <v>-2.75</v>
      </c>
      <c r="O6" s="24" cm="1">
        <f t="array" aca="1" ref="O6" ca="1">SUMPRODUCT(IF($B$5:$B$504&gt;N5,1,0),IF($B$5:$B$504&lt;=N6,1,0))</f>
        <v>0</v>
      </c>
    </row>
    <row r="7" spans="1:15">
      <c r="A7" s="24">
        <v>3</v>
      </c>
      <c r="B7" s="25">
        <f ca="1">100*(sim!$C$3+NORMSINV(RAND())*sim!$C$4)</f>
        <v>3.656807072066802</v>
      </c>
      <c r="D7" s="24">
        <v>-2.8</v>
      </c>
      <c r="E7" s="24" cm="1">
        <f t="array" aca="1" ref="E7" ca="1">SUMPRODUCT(IF($B$5:$B$504&gt;D6,1,0),IF($B$5:$B$504&lt;=D7,1,0))</f>
        <v>0</v>
      </c>
      <c r="N7" s="24">
        <v>-2.5</v>
      </c>
      <c r="O7" s="24" cm="1">
        <f t="array" aca="1" ref="O7" ca="1">SUMPRODUCT(IF($B$5:$B$504&gt;N6,1,0),IF($B$5:$B$504&lt;=N7,1,0))</f>
        <v>0</v>
      </c>
    </row>
    <row r="8" spans="1:15">
      <c r="A8" s="24">
        <v>4</v>
      </c>
      <c r="B8" s="25">
        <f ca="1">100*(sim!$C$3+NORMSINV(RAND())*sim!$C$4)</f>
        <v>4.4752722999401344</v>
      </c>
      <c r="D8" s="24">
        <v>-2.7</v>
      </c>
      <c r="E8" s="24" cm="1">
        <f t="array" aca="1" ref="E8" ca="1">SUMPRODUCT(IF($B$5:$B$504&gt;D7,1,0),IF($B$5:$B$504&lt;=D8,1,0))</f>
        <v>0</v>
      </c>
      <c r="N8" s="24">
        <v>-2.25</v>
      </c>
      <c r="O8" s="24" cm="1">
        <f t="array" aca="1" ref="O8" ca="1">SUMPRODUCT(IF($B$5:$B$504&gt;N7,1,0),IF($B$5:$B$504&lt;=N8,1,0))</f>
        <v>0</v>
      </c>
    </row>
    <row r="9" spans="1:15">
      <c r="A9" s="24">
        <v>5</v>
      </c>
      <c r="B9" s="25">
        <f ca="1">100*(sim!$C$3+NORMSINV(RAND())*sim!$C$4)</f>
        <v>2.0603478481216819</v>
      </c>
      <c r="D9" s="24">
        <v>-2.6</v>
      </c>
      <c r="E9" s="24" cm="1">
        <f t="array" aca="1" ref="E9" ca="1">SUMPRODUCT(IF($B$5:$B$504&gt;D8,1,0),IF($B$5:$B$504&lt;=D9,1,0))</f>
        <v>0</v>
      </c>
      <c r="N9" s="24">
        <v>-2</v>
      </c>
      <c r="O9" s="24" cm="1">
        <f t="array" aca="1" ref="O9" ca="1">SUMPRODUCT(IF($B$5:$B$504&gt;N8,1,0),IF($B$5:$B$504&lt;=N9,1,0))</f>
        <v>0</v>
      </c>
    </row>
    <row r="10" spans="1:15">
      <c r="A10" s="24">
        <v>6</v>
      </c>
      <c r="B10" s="25">
        <f ca="1">100*(sim!$C$3+NORMSINV(RAND())*sim!$C$4)</f>
        <v>2.4903015212125412</v>
      </c>
      <c r="D10" s="24">
        <v>-2.5</v>
      </c>
      <c r="E10" s="24" cm="1">
        <f t="array" aca="1" ref="E10" ca="1">SUMPRODUCT(IF($B$5:$B$504&gt;D9,1,0),IF($B$5:$B$504&lt;=D10,1,0))</f>
        <v>0</v>
      </c>
      <c r="N10" s="24">
        <v>-1.75</v>
      </c>
      <c r="O10" s="24" cm="1">
        <f t="array" aca="1" ref="O10" ca="1">SUMPRODUCT(IF($B$5:$B$504&gt;N9,1,0),IF($B$5:$B$504&lt;=N10,1,0))</f>
        <v>0</v>
      </c>
    </row>
    <row r="11" spans="1:15">
      <c r="A11" s="24">
        <v>7</v>
      </c>
      <c r="B11" s="25">
        <f ca="1">100*(sim!$C$3+NORMSINV(RAND())*sim!$C$4)</f>
        <v>1.2047291867800254</v>
      </c>
      <c r="D11" s="24">
        <v>-2.4</v>
      </c>
      <c r="E11" s="24" cm="1">
        <f t="array" aca="1" ref="E11" ca="1">SUMPRODUCT(IF($B$5:$B$504&gt;D10,1,0),IF($B$5:$B$504&lt;=D11,1,0))</f>
        <v>0</v>
      </c>
      <c r="N11" s="24">
        <v>-1.5</v>
      </c>
      <c r="O11" s="24" cm="1">
        <f t="array" aca="1" ref="O11" ca="1">SUMPRODUCT(IF($B$5:$B$504&gt;N10,1,0),IF($B$5:$B$504&lt;=N11,1,0))</f>
        <v>0</v>
      </c>
    </row>
    <row r="12" spans="1:15">
      <c r="A12" s="24">
        <v>8</v>
      </c>
      <c r="B12" s="25">
        <f ca="1">100*(sim!$C$3+NORMSINV(RAND())*sim!$C$4)</f>
        <v>2.5709991362958284</v>
      </c>
      <c r="D12" s="24">
        <v>-2.2999999999999998</v>
      </c>
      <c r="E12" s="24" cm="1">
        <f t="array" aca="1" ref="E12" ca="1">SUMPRODUCT(IF($B$5:$B$504&gt;D11,1,0),IF($B$5:$B$504&lt;=D12,1,0))</f>
        <v>0</v>
      </c>
      <c r="N12" s="24">
        <v>-1.25</v>
      </c>
      <c r="O12" s="24" cm="1">
        <f t="array" aca="1" ref="O12" ca="1">SUMPRODUCT(IF($B$5:$B$504&gt;N11,1,0),IF($B$5:$B$504&lt;=N12,1,0))</f>
        <v>0</v>
      </c>
    </row>
    <row r="13" spans="1:15">
      <c r="A13" s="24">
        <v>9</v>
      </c>
      <c r="B13" s="25">
        <f ca="1">100*(sim!$C$3+NORMSINV(RAND())*sim!$C$4)</f>
        <v>2.1826604001643695</v>
      </c>
      <c r="D13" s="24">
        <v>-2.2000000000000002</v>
      </c>
      <c r="E13" s="24" cm="1">
        <f t="array" aca="1" ref="E13" ca="1">SUMPRODUCT(IF($B$5:$B$504&gt;D12,1,0),IF($B$5:$B$504&lt;=D13,1,0))</f>
        <v>0</v>
      </c>
      <c r="N13" s="24">
        <v>-1</v>
      </c>
      <c r="O13" s="24" cm="1">
        <f t="array" aca="1" ref="O13" ca="1">SUMPRODUCT(IF($B$5:$B$504&gt;N12,1,0),IF($B$5:$B$504&lt;=N13,1,0))</f>
        <v>0</v>
      </c>
    </row>
    <row r="14" spans="1:15">
      <c r="A14" s="24">
        <v>10</v>
      </c>
      <c r="B14" s="25">
        <f ca="1">100*(sim!$C$3+NORMSINV(RAND())*sim!$C$4)</f>
        <v>3.3578228137738404</v>
      </c>
      <c r="D14" s="24">
        <v>-2.1</v>
      </c>
      <c r="E14" s="24" cm="1">
        <f t="array" aca="1" ref="E14" ca="1">SUMPRODUCT(IF($B$5:$B$504&gt;D13,1,0),IF($B$5:$B$504&lt;=D14,1,0))</f>
        <v>0</v>
      </c>
      <c r="N14" s="24">
        <v>-0.75</v>
      </c>
      <c r="O14" s="24" cm="1">
        <f t="array" aca="1" ref="O14" ca="1">SUMPRODUCT(IF($B$5:$B$504&gt;N13,1,0),IF($B$5:$B$504&lt;=N14,1,0))</f>
        <v>0</v>
      </c>
    </row>
    <row r="15" spans="1:15">
      <c r="A15" s="24">
        <v>11</v>
      </c>
      <c r="B15" s="25">
        <f ca="1">100*(sim!$C$3+NORMSINV(RAND())*sim!$C$4)</f>
        <v>0.91651358530641081</v>
      </c>
      <c r="D15" s="24">
        <v>-2</v>
      </c>
      <c r="E15" s="24" cm="1">
        <f t="array" aca="1" ref="E15" ca="1">SUMPRODUCT(IF($B$5:$B$504&gt;D14,1,0),IF($B$5:$B$504&lt;=D15,1,0))</f>
        <v>0</v>
      </c>
      <c r="N15" s="24">
        <v>-0.5</v>
      </c>
      <c r="O15" s="24" cm="1">
        <f t="array" aca="1" ref="O15" ca="1">SUMPRODUCT(IF($B$5:$B$504&gt;N14,1,0),IF($B$5:$B$504&lt;=N15,1,0))</f>
        <v>1</v>
      </c>
    </row>
    <row r="16" spans="1:15">
      <c r="A16" s="24">
        <v>12</v>
      </c>
      <c r="B16" s="25">
        <f ca="1">100*(sim!$C$3+NORMSINV(RAND())*sim!$C$4)</f>
        <v>0.86254794432329818</v>
      </c>
      <c r="D16" s="24">
        <v>-1.9</v>
      </c>
      <c r="E16" s="24" cm="1">
        <f t="array" aca="1" ref="E16" ca="1">SUMPRODUCT(IF($B$5:$B$504&gt;D15,1,0),IF($B$5:$B$504&lt;=D16,1,0))</f>
        <v>0</v>
      </c>
      <c r="N16" s="24">
        <v>-0.25</v>
      </c>
      <c r="O16" s="24" cm="1">
        <f t="array" aca="1" ref="O16" ca="1">SUMPRODUCT(IF($B$5:$B$504&gt;N15,1,0),IF($B$5:$B$504&lt;=N16,1,0))</f>
        <v>5</v>
      </c>
    </row>
    <row r="17" spans="1:15">
      <c r="A17" s="24">
        <v>13</v>
      </c>
      <c r="B17" s="25">
        <f ca="1">100*(sim!$C$3+NORMSINV(RAND())*sim!$C$4)</f>
        <v>1.7371370284382686</v>
      </c>
      <c r="D17" s="24">
        <v>-1.8</v>
      </c>
      <c r="E17" s="24" cm="1">
        <f t="array" aca="1" ref="E17" ca="1">SUMPRODUCT(IF($B$5:$B$504&gt;D16,1,0),IF($B$5:$B$504&lt;=D17,1,0))</f>
        <v>0</v>
      </c>
      <c r="N17" s="24">
        <v>0</v>
      </c>
      <c r="O17" s="24" cm="1">
        <f t="array" aca="1" ref="O17" ca="1">SUMPRODUCT(IF($B$5:$B$504&gt;N16,1,0),IF($B$5:$B$504&lt;=N17,1,0))</f>
        <v>1</v>
      </c>
    </row>
    <row r="18" spans="1:15">
      <c r="A18" s="24">
        <v>14</v>
      </c>
      <c r="B18" s="25">
        <f ca="1">100*(sim!$C$3+NORMSINV(RAND())*sim!$C$4)</f>
        <v>0.87528377615264885</v>
      </c>
      <c r="D18" s="24">
        <v>-1.7</v>
      </c>
      <c r="E18" s="24" cm="1">
        <f t="array" aca="1" ref="E18" ca="1">SUMPRODUCT(IF($B$5:$B$504&gt;D17,1,0),IF($B$5:$B$504&lt;=D18,1,0))</f>
        <v>0</v>
      </c>
      <c r="N18" s="24">
        <v>0.25</v>
      </c>
      <c r="O18" s="24" cm="1">
        <f t="array" aca="1" ref="O18" ca="1">SUMPRODUCT(IF($B$5:$B$504&gt;N17,1,0),IF($B$5:$B$504&lt;=N18,1,0))</f>
        <v>8</v>
      </c>
    </row>
    <row r="19" spans="1:15">
      <c r="A19" s="24">
        <v>15</v>
      </c>
      <c r="B19" s="25">
        <f ca="1">100*(sim!$C$3+NORMSINV(RAND())*sim!$C$4)</f>
        <v>0.64595825236680982</v>
      </c>
      <c r="D19" s="24">
        <v>-1.6</v>
      </c>
      <c r="E19" s="24" cm="1">
        <f t="array" aca="1" ref="E19" ca="1">SUMPRODUCT(IF($B$5:$B$504&gt;D18,1,0),IF($B$5:$B$504&lt;=D19,1,0))</f>
        <v>0</v>
      </c>
      <c r="N19" s="24">
        <v>0.5</v>
      </c>
      <c r="O19" s="24" cm="1">
        <f t="array" aca="1" ref="O19" ca="1">SUMPRODUCT(IF($B$5:$B$504&gt;N18,1,0),IF($B$5:$B$504&lt;=N19,1,0))</f>
        <v>13</v>
      </c>
    </row>
    <row r="20" spans="1:15">
      <c r="A20" s="24">
        <v>16</v>
      </c>
      <c r="B20" s="25">
        <f ca="1">100*(sim!$C$3+NORMSINV(RAND())*sim!$C$4)</f>
        <v>3.189045036362828</v>
      </c>
      <c r="D20" s="24">
        <v>-1.5</v>
      </c>
      <c r="E20" s="24" cm="1">
        <f t="array" aca="1" ref="E20" ca="1">SUMPRODUCT(IF($B$5:$B$504&gt;D19,1,0),IF($B$5:$B$504&lt;=D20,1,0))</f>
        <v>0</v>
      </c>
      <c r="N20" s="24">
        <v>0.75</v>
      </c>
      <c r="O20" s="24" cm="1">
        <f t="array" aca="1" ref="O20" ca="1">SUMPRODUCT(IF($B$5:$B$504&gt;N19,1,0),IF($B$5:$B$504&lt;=N20,1,0))</f>
        <v>19</v>
      </c>
    </row>
    <row r="21" spans="1:15">
      <c r="A21" s="24">
        <v>17</v>
      </c>
      <c r="B21" s="25">
        <f ca="1">100*(sim!$C$3+NORMSINV(RAND())*sim!$C$4)</f>
        <v>2.087315152055349</v>
      </c>
      <c r="D21" s="24">
        <v>-1.4</v>
      </c>
      <c r="E21" s="24" cm="1">
        <f t="array" aca="1" ref="E21" ca="1">SUMPRODUCT(IF($B$5:$B$504&gt;D20,1,0),IF($B$5:$B$504&lt;=D21,1,0))</f>
        <v>0</v>
      </c>
      <c r="N21" s="24">
        <v>1</v>
      </c>
      <c r="O21" s="24" cm="1">
        <f t="array" aca="1" ref="O21" ca="1">SUMPRODUCT(IF($B$5:$B$504&gt;N20,1,0),IF($B$5:$B$504&lt;=N21,1,0))</f>
        <v>27</v>
      </c>
    </row>
    <row r="22" spans="1:15">
      <c r="A22" s="24">
        <v>18</v>
      </c>
      <c r="B22" s="25">
        <f ca="1">100*(sim!$C$3+NORMSINV(RAND())*sim!$C$4)</f>
        <v>2.7917925680795306</v>
      </c>
      <c r="D22" s="24">
        <v>-1.3</v>
      </c>
      <c r="E22" s="24" cm="1">
        <f t="array" aca="1" ref="E22" ca="1">SUMPRODUCT(IF($B$5:$B$504&gt;D21,1,0),IF($B$5:$B$504&lt;=D22,1,0))</f>
        <v>0</v>
      </c>
      <c r="N22" s="24">
        <v>1.25</v>
      </c>
      <c r="O22" s="24" cm="1">
        <f t="array" aca="1" ref="O22" ca="1">SUMPRODUCT(IF($B$5:$B$504&gt;N21,1,0),IF($B$5:$B$504&lt;=N22,1,0))</f>
        <v>34</v>
      </c>
    </row>
    <row r="23" spans="1:15">
      <c r="A23" s="24">
        <v>19</v>
      </c>
      <c r="B23" s="25">
        <f ca="1">100*(sim!$C$3+NORMSINV(RAND())*sim!$C$4)</f>
        <v>3.2447232782873674</v>
      </c>
      <c r="D23" s="24">
        <v>-1.2</v>
      </c>
      <c r="E23" s="24" cm="1">
        <f t="array" aca="1" ref="E23" ca="1">SUMPRODUCT(IF($B$5:$B$504&gt;D22,1,0),IF($B$5:$B$504&lt;=D23,1,0))</f>
        <v>0</v>
      </c>
      <c r="N23" s="24">
        <v>1.5</v>
      </c>
      <c r="O23" s="24" cm="1">
        <f t="array" aca="1" ref="O23" ca="1">SUMPRODUCT(IF($B$5:$B$504&gt;N22,1,0),IF($B$5:$B$504&lt;=N23,1,0))</f>
        <v>34</v>
      </c>
    </row>
    <row r="24" spans="1:15">
      <c r="A24" s="24">
        <v>20</v>
      </c>
      <c r="B24" s="25">
        <f ca="1">100*(sim!$C$3+NORMSINV(RAND())*sim!$C$4)</f>
        <v>1.2260631890167966</v>
      </c>
      <c r="D24" s="24">
        <v>-1.1000000000000001</v>
      </c>
      <c r="E24" s="24" cm="1">
        <f t="array" aca="1" ref="E24" ca="1">SUMPRODUCT(IF($B$5:$B$504&gt;D23,1,0),IF($B$5:$B$504&lt;=D24,1,0))</f>
        <v>0</v>
      </c>
      <c r="N24" s="24">
        <v>1.75</v>
      </c>
      <c r="O24" s="24" cm="1">
        <f t="array" aca="1" ref="O24" ca="1">SUMPRODUCT(IF($B$5:$B$504&gt;N23,1,0),IF($B$5:$B$504&lt;=N24,1,0))</f>
        <v>49</v>
      </c>
    </row>
    <row r="25" spans="1:15">
      <c r="A25" s="24">
        <v>21</v>
      </c>
      <c r="B25" s="25">
        <f ca="1">100*(sim!$C$3+NORMSINV(RAND())*sim!$C$4)</f>
        <v>2.6313694404873154</v>
      </c>
      <c r="D25" s="24">
        <v>-1</v>
      </c>
      <c r="E25" s="24" cm="1">
        <f t="array" aca="1" ref="E25" ca="1">SUMPRODUCT(IF($B$5:$B$504&gt;D24,1,0),IF($B$5:$B$504&lt;=D25,1,0))</f>
        <v>0</v>
      </c>
      <c r="N25" s="24">
        <v>2</v>
      </c>
      <c r="O25" s="24" cm="1">
        <f t="array" aca="1" ref="O25" ca="1">SUMPRODUCT(IF($B$5:$B$504&gt;N24,1,0),IF($B$5:$B$504&lt;=N25,1,0))</f>
        <v>47</v>
      </c>
    </row>
    <row r="26" spans="1:15">
      <c r="A26" s="24">
        <v>22</v>
      </c>
      <c r="B26" s="25">
        <f ca="1">100*(sim!$C$3+NORMSINV(RAND())*sim!$C$4)</f>
        <v>3.1570502814827046</v>
      </c>
      <c r="D26" s="24">
        <v>-0.9</v>
      </c>
      <c r="E26" s="24" cm="1">
        <f t="array" aca="1" ref="E26" ca="1">SUMPRODUCT(IF($B$5:$B$504&gt;D25,1,0),IF($B$5:$B$504&lt;=D26,1,0))</f>
        <v>0</v>
      </c>
      <c r="N26" s="24">
        <v>2.25</v>
      </c>
      <c r="O26" s="24" cm="1">
        <f t="array" aca="1" ref="O26" ca="1">SUMPRODUCT(IF($B$5:$B$504&gt;N25,1,0),IF($B$5:$B$504&lt;=N26,1,0))</f>
        <v>52</v>
      </c>
    </row>
    <row r="27" spans="1:15">
      <c r="A27" s="24">
        <v>23</v>
      </c>
      <c r="B27" s="25">
        <f ca="1">100*(sim!$C$3+NORMSINV(RAND())*sim!$C$4)</f>
        <v>3.7349201874763565</v>
      </c>
      <c r="D27" s="24">
        <v>-0.8</v>
      </c>
      <c r="E27" s="24" cm="1">
        <f t="array" aca="1" ref="E27" ca="1">SUMPRODUCT(IF($B$5:$B$504&gt;D26,1,0),IF($B$5:$B$504&lt;=D27,1,0))</f>
        <v>0</v>
      </c>
      <c r="N27" s="24">
        <v>2.5</v>
      </c>
      <c r="O27" s="24" cm="1">
        <f t="array" aca="1" ref="O27" ca="1">SUMPRODUCT(IF($B$5:$B$504&gt;N26,1,0),IF($B$5:$B$504&lt;=N27,1,0))</f>
        <v>45</v>
      </c>
    </row>
    <row r="28" spans="1:15">
      <c r="A28" s="24">
        <v>24</v>
      </c>
      <c r="B28" s="25">
        <f ca="1">100*(sim!$C$3+NORMSINV(RAND())*sim!$C$4)</f>
        <v>2.0883480938318577</v>
      </c>
      <c r="D28" s="24">
        <v>-0.7</v>
      </c>
      <c r="E28" s="24" cm="1">
        <f t="array" aca="1" ref="E28" ca="1">SUMPRODUCT(IF($B$5:$B$504&gt;D27,1,0),IF($B$5:$B$504&lt;=D28,1,0))</f>
        <v>0</v>
      </c>
      <c r="N28" s="24">
        <v>2.75</v>
      </c>
      <c r="O28" s="24" cm="1">
        <f t="array" aca="1" ref="O28" ca="1">SUMPRODUCT(IF($B$5:$B$504&gt;N27,1,0),IF($B$5:$B$504&lt;=N28,1,0))</f>
        <v>50</v>
      </c>
    </row>
    <row r="29" spans="1:15">
      <c r="A29" s="24">
        <v>25</v>
      </c>
      <c r="B29" s="25">
        <f ca="1">100*(sim!$C$3+NORMSINV(RAND())*sim!$C$4)</f>
        <v>1.7820519395173686</v>
      </c>
      <c r="D29" s="24">
        <v>-0.6</v>
      </c>
      <c r="E29" s="24" cm="1">
        <f t="array" aca="1" ref="E29" ca="1">SUMPRODUCT(IF($B$5:$B$504&gt;D28,1,0),IF($B$5:$B$504&lt;=D29,1,0))</f>
        <v>0</v>
      </c>
      <c r="N29" s="24">
        <v>3</v>
      </c>
      <c r="O29" s="24" cm="1">
        <f t="array" aca="1" ref="O29" ca="1">SUMPRODUCT(IF($B$5:$B$504&gt;N28,1,0),IF($B$5:$B$504&lt;=N29,1,0))</f>
        <v>37</v>
      </c>
    </row>
    <row r="30" spans="1:15">
      <c r="A30" s="24">
        <v>26</v>
      </c>
      <c r="B30" s="25">
        <f ca="1">100*(sim!$C$3+NORMSINV(RAND())*sim!$C$4)</f>
        <v>1.21763761260995</v>
      </c>
      <c r="D30" s="24">
        <v>-0.5</v>
      </c>
      <c r="E30" s="24" cm="1">
        <f t="array" aca="1" ref="E30" ca="1">SUMPRODUCT(IF($B$5:$B$504&gt;D29,1,0),IF($B$5:$B$504&lt;=D30,1,0))</f>
        <v>1</v>
      </c>
      <c r="I30" s="24" t="s">
        <v>16</v>
      </c>
      <c r="N30" s="24">
        <v>3.25</v>
      </c>
      <c r="O30" s="24" cm="1">
        <f t="array" aca="1" ref="O30" ca="1">SUMPRODUCT(IF($B$5:$B$504&gt;N29,1,0),IF($B$5:$B$504&lt;=N30,1,0))</f>
        <v>27</v>
      </c>
    </row>
    <row r="31" spans="1:15">
      <c r="A31" s="24">
        <v>27</v>
      </c>
      <c r="B31" s="25">
        <f ca="1">100*(sim!$C$3+NORMSINV(RAND())*sim!$C$4)</f>
        <v>2.2973814849849679</v>
      </c>
      <c r="D31" s="24">
        <v>-0.4</v>
      </c>
      <c r="E31" s="24" cm="1">
        <f t="array" aca="1" ref="E31" ca="1">SUMPRODUCT(IF($B$5:$B$504&gt;D30,1,0),IF($B$5:$B$504&lt;=D31,1,0))</f>
        <v>3</v>
      </c>
      <c r="N31" s="24">
        <v>3.5</v>
      </c>
      <c r="O31" s="24" cm="1">
        <f t="array" aca="1" ref="O31" ca="1">SUMPRODUCT(IF($B$5:$B$504&gt;N30,1,0),IF($B$5:$B$504&lt;=N31,1,0))</f>
        <v>22</v>
      </c>
    </row>
    <row r="32" spans="1:15">
      <c r="A32" s="24">
        <v>28</v>
      </c>
      <c r="B32" s="25">
        <f ca="1">100*(sim!$C$3+NORMSINV(RAND())*sim!$C$4)</f>
        <v>2.5436703062897235</v>
      </c>
      <c r="D32" s="24">
        <v>-0.3</v>
      </c>
      <c r="E32" s="24" cm="1">
        <f t="array" aca="1" ref="E32" ca="1">SUMPRODUCT(IF($B$5:$B$504&gt;D31,1,0),IF($B$5:$B$504&lt;=D32,1,0))</f>
        <v>2</v>
      </c>
      <c r="N32" s="24">
        <v>3.75</v>
      </c>
      <c r="O32" s="24" cm="1">
        <f t="array" aca="1" ref="O32" ca="1">SUMPRODUCT(IF($B$5:$B$504&gt;N31,1,0),IF($B$5:$B$504&lt;=N32,1,0))</f>
        <v>12</v>
      </c>
    </row>
    <row r="33" spans="1:15">
      <c r="A33" s="24">
        <v>29</v>
      </c>
      <c r="B33" s="25">
        <f ca="1">100*(sim!$C$3+NORMSINV(RAND())*sim!$C$4)</f>
        <v>2.6054885878218288</v>
      </c>
      <c r="D33" s="24">
        <v>-0.2</v>
      </c>
      <c r="E33" s="24" cm="1">
        <f t="array" aca="1" ref="E33" ca="1">SUMPRODUCT(IF($B$5:$B$504&gt;D32,1,0),IF($B$5:$B$504&lt;=D33,1,0))</f>
        <v>0</v>
      </c>
      <c r="N33" s="24">
        <v>4</v>
      </c>
      <c r="O33" s="24" cm="1">
        <f t="array" aca="1" ref="O33" ca="1">SUMPRODUCT(IF($B$5:$B$504&gt;N32,1,0),IF($B$5:$B$504&lt;=N33,1,0))</f>
        <v>9</v>
      </c>
    </row>
    <row r="34" spans="1:15">
      <c r="A34" s="24">
        <v>30</v>
      </c>
      <c r="B34" s="25">
        <f ca="1">100*(sim!$C$3+NORMSINV(RAND())*sim!$C$4)</f>
        <v>2.4677236663097442</v>
      </c>
      <c r="D34" s="24">
        <v>-0.1</v>
      </c>
      <c r="E34" s="24" cm="1">
        <f t="array" aca="1" ref="E34" ca="1">SUMPRODUCT(IF($B$5:$B$504&gt;D33,1,0),IF($B$5:$B$504&lt;=D34,1,0))</f>
        <v>0</v>
      </c>
      <c r="N34" s="24">
        <v>4.25</v>
      </c>
      <c r="O34" s="24" cm="1">
        <f t="array" aca="1" ref="O34" ca="1">SUMPRODUCT(IF($B$5:$B$504&gt;N33,1,0),IF($B$5:$B$504&lt;=N34,1,0))</f>
        <v>3</v>
      </c>
    </row>
    <row r="35" spans="1:15">
      <c r="A35" s="24">
        <v>31</v>
      </c>
      <c r="B35" s="25">
        <f ca="1">100*(sim!$C$3+NORMSINV(RAND())*sim!$C$4)</f>
        <v>1.4401605314067298</v>
      </c>
      <c r="D35" s="24">
        <v>0</v>
      </c>
      <c r="E35" s="24" cm="1">
        <f t="array" aca="1" ref="E35" ca="1">SUMPRODUCT(IF($B$5:$B$504&gt;D34,1,0),IF($B$5:$B$504&lt;=D35,1,0))</f>
        <v>1</v>
      </c>
      <c r="N35" s="24">
        <v>4.5</v>
      </c>
      <c r="O35" s="24" cm="1">
        <f t="array" aca="1" ref="O35" ca="1">SUMPRODUCT(IF($B$5:$B$504&gt;N34,1,0),IF($B$5:$B$504&lt;=N35,1,0))</f>
        <v>3</v>
      </c>
    </row>
    <row r="36" spans="1:15">
      <c r="A36" s="24">
        <v>32</v>
      </c>
      <c r="B36" s="25">
        <f ca="1">100*(sim!$C$3+NORMSINV(RAND())*sim!$C$4)</f>
        <v>3.7767946178851055</v>
      </c>
      <c r="D36" s="24">
        <v>0.1</v>
      </c>
      <c r="E36" s="24" cm="1">
        <f t="array" aca="1" ref="E36" ca="1">SUMPRODUCT(IF($B$5:$B$504&gt;D35,1,0),IF($B$5:$B$504&lt;=D36,1,0))</f>
        <v>4</v>
      </c>
      <c r="N36" s="24">
        <v>4.75</v>
      </c>
      <c r="O36" s="24" cm="1">
        <f t="array" aca="1" ref="O36" ca="1">SUMPRODUCT(IF($B$5:$B$504&gt;N35,1,0),IF($B$5:$B$504&lt;=N36,1,0))</f>
        <v>2</v>
      </c>
    </row>
    <row r="37" spans="1:15">
      <c r="A37" s="24">
        <v>33</v>
      </c>
      <c r="B37" s="25">
        <f ca="1">100*(sim!$C$3+NORMSINV(RAND())*sim!$C$4)</f>
        <v>2.2769845574054459</v>
      </c>
      <c r="D37" s="24">
        <v>0.2</v>
      </c>
      <c r="E37" s="24" cm="1">
        <f t="array" aca="1" ref="E37" ca="1">SUMPRODUCT(IF($B$5:$B$504&gt;D36,1,0),IF($B$5:$B$504&lt;=D37,1,0))</f>
        <v>4</v>
      </c>
      <c r="N37" s="24">
        <v>5</v>
      </c>
      <c r="O37" s="24" cm="1">
        <f t="array" aca="1" ref="O37" ca="1">SUMPRODUCT(IF($B$5:$B$504&gt;N36,1,0),IF($B$5:$B$504&lt;=N37,1,0))</f>
        <v>0</v>
      </c>
    </row>
    <row r="38" spans="1:15" ht="15">
      <c r="A38" s="24">
        <v>34</v>
      </c>
      <c r="B38" s="25">
        <f ca="1">100*(sim!$C$3+NORMSINV(RAND())*sim!$C$4)</f>
        <v>0.35942996620831369</v>
      </c>
      <c r="D38" s="24">
        <v>0.3</v>
      </c>
      <c r="E38" s="24" cm="1">
        <f t="array" aca="1" ref="E38" ca="1">SUMPRODUCT(IF($B$5:$B$504&gt;D37,1,0),IF($B$5:$B$504&lt;=D38,1,0))</f>
        <v>2</v>
      </c>
      <c r="N38"/>
      <c r="O38"/>
    </row>
    <row r="39" spans="1:15" ht="15">
      <c r="A39" s="24">
        <v>35</v>
      </c>
      <c r="B39" s="25">
        <f ca="1">100*(sim!$C$3+NORMSINV(RAND())*sim!$C$4)</f>
        <v>1.9512770013371932</v>
      </c>
      <c r="D39" s="24">
        <v>0.4</v>
      </c>
      <c r="E39" s="24" cm="1">
        <f t="array" aca="1" ref="E39" ca="1">SUMPRODUCT(IF($B$5:$B$504&gt;D38,1,0),IF($B$5:$B$504&lt;=D39,1,0))</f>
        <v>7</v>
      </c>
      <c r="N39"/>
      <c r="O39"/>
    </row>
    <row r="40" spans="1:15" ht="15">
      <c r="A40" s="24">
        <v>36</v>
      </c>
      <c r="B40" s="25">
        <f ca="1">100*(sim!$C$3+NORMSINV(RAND())*sim!$C$4)</f>
        <v>0.94012009496536941</v>
      </c>
      <c r="D40" s="24">
        <v>0.5</v>
      </c>
      <c r="E40" s="24" cm="1">
        <f t="array" aca="1" ref="E40" ca="1">SUMPRODUCT(IF($B$5:$B$504&gt;D39,1,0),IF($B$5:$B$504&lt;=D40,1,0))</f>
        <v>4</v>
      </c>
      <c r="N40"/>
      <c r="O40"/>
    </row>
    <row r="41" spans="1:15" ht="15">
      <c r="A41" s="24">
        <v>37</v>
      </c>
      <c r="B41" s="25">
        <f ca="1">100*(sim!$C$3+NORMSINV(RAND())*sim!$C$4)</f>
        <v>1.8657836859428429</v>
      </c>
      <c r="D41" s="24">
        <v>0.6</v>
      </c>
      <c r="E41" s="24" cm="1">
        <f t="array" aca="1" ref="E41" ca="1">SUMPRODUCT(IF($B$5:$B$504&gt;D40,1,0),IF($B$5:$B$504&lt;=D41,1,0))</f>
        <v>7</v>
      </c>
      <c r="N41"/>
      <c r="O41"/>
    </row>
    <row r="42" spans="1:15" ht="15">
      <c r="A42" s="24">
        <v>38</v>
      </c>
      <c r="B42" s="25">
        <f ca="1">100*(sim!$C$3+NORMSINV(RAND())*sim!$C$4)</f>
        <v>0.71646196161172115</v>
      </c>
      <c r="D42" s="24">
        <v>0.7</v>
      </c>
      <c r="E42" s="24" cm="1">
        <f t="array" aca="1" ref="E42" ca="1">SUMPRODUCT(IF($B$5:$B$504&gt;D41,1,0),IF($B$5:$B$504&lt;=D42,1,0))</f>
        <v>9</v>
      </c>
      <c r="N42"/>
      <c r="O42"/>
    </row>
    <row r="43" spans="1:15" ht="15">
      <c r="A43" s="24">
        <v>39</v>
      </c>
      <c r="B43" s="25">
        <f ca="1">100*(sim!$C$3+NORMSINV(RAND())*sim!$C$4)</f>
        <v>3.2912064001026127</v>
      </c>
      <c r="D43" s="24">
        <v>0.8</v>
      </c>
      <c r="E43" s="24" cm="1">
        <f t="array" aca="1" ref="E43" ca="1">SUMPRODUCT(IF($B$5:$B$504&gt;D42,1,0),IF($B$5:$B$504&lt;=D43,1,0))</f>
        <v>9</v>
      </c>
      <c r="N43"/>
      <c r="O43"/>
    </row>
    <row r="44" spans="1:15" ht="15">
      <c r="A44" s="24">
        <v>40</v>
      </c>
      <c r="B44" s="25">
        <f ca="1">100*(sim!$C$3+NORMSINV(RAND())*sim!$C$4)</f>
        <v>0.76505964650003389</v>
      </c>
      <c r="D44" s="24">
        <v>0.9</v>
      </c>
      <c r="E44" s="24" cm="1">
        <f t="array" aca="1" ref="E44" ca="1">SUMPRODUCT(IF($B$5:$B$504&gt;D43,1,0),IF($B$5:$B$504&lt;=D44,1,0))</f>
        <v>11</v>
      </c>
      <c r="N44"/>
      <c r="O44"/>
    </row>
    <row r="45" spans="1:15" ht="15">
      <c r="A45" s="24">
        <v>41</v>
      </c>
      <c r="B45" s="25">
        <f ca="1">100*(sim!$C$3+NORMSINV(RAND())*sim!$C$4)</f>
        <v>3.3506438516859935</v>
      </c>
      <c r="D45" s="24">
        <v>1</v>
      </c>
      <c r="E45" s="24" cm="1">
        <f t="array" aca="1" ref="E45" ca="1">SUMPRODUCT(IF($B$5:$B$504&gt;D44,1,0),IF($B$5:$B$504&lt;=D45,1,0))</f>
        <v>10</v>
      </c>
      <c r="N45"/>
      <c r="O45"/>
    </row>
    <row r="46" spans="1:15" ht="15">
      <c r="A46" s="24">
        <v>42</v>
      </c>
      <c r="B46" s="25">
        <f ca="1">100*(sim!$C$3+NORMSINV(RAND())*sim!$C$4)</f>
        <v>0.63446405033710107</v>
      </c>
      <c r="D46" s="24">
        <v>1.1000000000000001</v>
      </c>
      <c r="E46" s="24" cm="1">
        <f t="array" aca="1" ref="E46" ca="1">SUMPRODUCT(IF($B$5:$B$504&gt;D45,1,0),IF($B$5:$B$504&lt;=D46,1,0))</f>
        <v>12</v>
      </c>
      <c r="N46"/>
      <c r="O46"/>
    </row>
    <row r="47" spans="1:15" ht="15">
      <c r="A47" s="24">
        <v>43</v>
      </c>
      <c r="B47" s="25">
        <f ca="1">100*(sim!$C$3+NORMSINV(RAND())*sim!$C$4)</f>
        <v>2.5524880348783667</v>
      </c>
      <c r="D47" s="24">
        <v>1.2</v>
      </c>
      <c r="E47" s="24" cm="1">
        <f t="array" aca="1" ref="E47" ca="1">SUMPRODUCT(IF($B$5:$B$504&gt;D46,1,0),IF($B$5:$B$504&lt;=D47,1,0))</f>
        <v>12</v>
      </c>
      <c r="N47"/>
      <c r="O47"/>
    </row>
    <row r="48" spans="1:15" ht="15">
      <c r="A48" s="24">
        <v>44</v>
      </c>
      <c r="B48" s="25">
        <f ca="1">100*(sim!$C$3+NORMSINV(RAND())*sim!$C$4)</f>
        <v>2.9185147071016377</v>
      </c>
      <c r="D48" s="24">
        <v>1.3</v>
      </c>
      <c r="E48" s="24" cm="1">
        <f t="array" aca="1" ref="E48" ca="1">SUMPRODUCT(IF($B$5:$B$504&gt;D47,1,0),IF($B$5:$B$504&lt;=D48,1,0))</f>
        <v>20</v>
      </c>
      <c r="N48"/>
      <c r="O48"/>
    </row>
    <row r="49" spans="1:15" ht="15">
      <c r="A49" s="24">
        <v>45</v>
      </c>
      <c r="B49" s="25">
        <f ca="1">100*(sim!$C$3+NORMSINV(RAND())*sim!$C$4)</f>
        <v>1.9966017240363769</v>
      </c>
      <c r="D49" s="24">
        <v>1.4</v>
      </c>
      <c r="E49" s="24" cm="1">
        <f t="array" aca="1" ref="E49" ca="1">SUMPRODUCT(IF($B$5:$B$504&gt;D48,1,0),IF($B$5:$B$504&lt;=D49,1,0))</f>
        <v>15</v>
      </c>
      <c r="N49"/>
      <c r="O49"/>
    </row>
    <row r="50" spans="1:15" ht="15">
      <c r="A50" s="24">
        <v>46</v>
      </c>
      <c r="B50" s="25">
        <f ca="1">100*(sim!$C$3+NORMSINV(RAND())*sim!$C$4)</f>
        <v>2.1920220787564526</v>
      </c>
      <c r="D50" s="24">
        <v>1.5</v>
      </c>
      <c r="E50" s="24" cm="1">
        <f t="array" aca="1" ref="E50" ca="1">SUMPRODUCT(IF($B$5:$B$504&gt;D49,1,0),IF($B$5:$B$504&lt;=D50,1,0))</f>
        <v>9</v>
      </c>
      <c r="N50"/>
      <c r="O50"/>
    </row>
    <row r="51" spans="1:15" ht="15">
      <c r="A51" s="24">
        <v>47</v>
      </c>
      <c r="B51" s="25">
        <f ca="1">100*(sim!$C$3+NORMSINV(RAND())*sim!$C$4)</f>
        <v>1.4220762968834737</v>
      </c>
      <c r="D51" s="24">
        <v>1.6</v>
      </c>
      <c r="E51" s="24" cm="1">
        <f t="array" aca="1" ref="E51" ca="1">SUMPRODUCT(IF($B$5:$B$504&gt;D50,1,0),IF($B$5:$B$504&lt;=D51,1,0))</f>
        <v>14</v>
      </c>
      <c r="N51"/>
      <c r="O51"/>
    </row>
    <row r="52" spans="1:15" ht="15">
      <c r="A52" s="24">
        <v>48</v>
      </c>
      <c r="B52" s="25">
        <f ca="1">100*(sim!$C$3+NORMSINV(RAND())*sim!$C$4)</f>
        <v>0.82978819461583031</v>
      </c>
      <c r="D52" s="24">
        <v>1.7</v>
      </c>
      <c r="E52" s="24" cm="1">
        <f t="array" aca="1" ref="E52" ca="1">SUMPRODUCT(IF($B$5:$B$504&gt;D51,1,0),IF($B$5:$B$504&lt;=D52,1,0))</f>
        <v>29</v>
      </c>
      <c r="N52"/>
      <c r="O52"/>
    </row>
    <row r="53" spans="1:15" ht="15">
      <c r="A53" s="24">
        <v>49</v>
      </c>
      <c r="B53" s="25">
        <f ca="1">100*(sim!$C$3+NORMSINV(RAND())*sim!$C$4)</f>
        <v>2.7550309856735771</v>
      </c>
      <c r="D53" s="24">
        <v>1.8</v>
      </c>
      <c r="E53" s="24" cm="1">
        <f t="array" aca="1" ref="E53" ca="1">SUMPRODUCT(IF($B$5:$B$504&gt;D52,1,0),IF($B$5:$B$504&lt;=D53,1,0))</f>
        <v>15</v>
      </c>
      <c r="N53"/>
      <c r="O53"/>
    </row>
    <row r="54" spans="1:15" ht="15">
      <c r="A54" s="24">
        <v>50</v>
      </c>
      <c r="B54" s="25">
        <f ca="1">100*(sim!$C$3+NORMSINV(RAND())*sim!$C$4)</f>
        <v>3.7565648762914008</v>
      </c>
      <c r="D54" s="24">
        <v>1.9</v>
      </c>
      <c r="E54" s="24" cm="1">
        <f t="array" aca="1" ref="E54" ca="1">SUMPRODUCT(IF($B$5:$B$504&gt;D53,1,0),IF($B$5:$B$504&lt;=D54,1,0))</f>
        <v>19</v>
      </c>
      <c r="N54"/>
      <c r="O54"/>
    </row>
    <row r="55" spans="1:15" ht="15">
      <c r="A55" s="24">
        <v>51</v>
      </c>
      <c r="B55" s="25">
        <f ca="1">100*(sim!$C$3+NORMSINV(RAND())*sim!$C$4)</f>
        <v>2.8782739275528693</v>
      </c>
      <c r="D55" s="24">
        <v>2</v>
      </c>
      <c r="E55" s="24" cm="1">
        <f t="array" aca="1" ref="E55" ca="1">SUMPRODUCT(IF($B$5:$B$504&gt;D54,1,0),IF($B$5:$B$504&lt;=D55,1,0))</f>
        <v>19</v>
      </c>
      <c r="N55"/>
      <c r="O55"/>
    </row>
    <row r="56" spans="1:15" ht="15">
      <c r="A56" s="24">
        <v>52</v>
      </c>
      <c r="B56" s="25">
        <f ca="1">100*(sim!$C$3+NORMSINV(RAND())*sim!$C$4)</f>
        <v>2.3904562422148676</v>
      </c>
      <c r="D56" s="24">
        <v>2.1</v>
      </c>
      <c r="E56" s="24" cm="1">
        <f t="array" aca="1" ref="E56" ca="1">SUMPRODUCT(IF($B$5:$B$504&gt;D55,1,0),IF($B$5:$B$504&lt;=D56,1,0))</f>
        <v>15</v>
      </c>
      <c r="N56"/>
      <c r="O56"/>
    </row>
    <row r="57" spans="1:15" ht="15">
      <c r="A57" s="24">
        <v>53</v>
      </c>
      <c r="B57" s="25">
        <f ca="1">100*(sim!$C$3+NORMSINV(RAND())*sim!$C$4)</f>
        <v>2.2487698147520985</v>
      </c>
      <c r="D57" s="24">
        <v>2.2000000000000002</v>
      </c>
      <c r="E57" s="24" cm="1">
        <f t="array" aca="1" ref="E57" ca="1">SUMPRODUCT(IF($B$5:$B$504&gt;D56,1,0),IF($B$5:$B$504&lt;=D57,1,0))</f>
        <v>23</v>
      </c>
      <c r="N57"/>
      <c r="O57"/>
    </row>
    <row r="58" spans="1:15" ht="15">
      <c r="A58" s="24">
        <v>54</v>
      </c>
      <c r="B58" s="25">
        <f ca="1">100*(sim!$C$3+NORMSINV(RAND())*sim!$C$4)</f>
        <v>1.8757631380409459</v>
      </c>
      <c r="D58" s="24">
        <v>2.2999999999999998</v>
      </c>
      <c r="E58" s="24" cm="1">
        <f t="array" aca="1" ref="E58" ca="1">SUMPRODUCT(IF($B$5:$B$504&gt;D57,1,0),IF($B$5:$B$504&lt;=D58,1,0))</f>
        <v>21</v>
      </c>
      <c r="N58"/>
      <c r="O58"/>
    </row>
    <row r="59" spans="1:15" ht="15">
      <c r="A59" s="24">
        <v>55</v>
      </c>
      <c r="B59" s="25">
        <f ca="1">100*(sim!$C$3+NORMSINV(RAND())*sim!$C$4)</f>
        <v>1.1153552952816324</v>
      </c>
      <c r="D59" s="24">
        <v>2.4</v>
      </c>
      <c r="E59" s="24" cm="1">
        <f t="array" aca="1" ref="E59" ca="1">SUMPRODUCT(IF($B$5:$B$504&gt;D58,1,0),IF($B$5:$B$504&lt;=D59,1,0))</f>
        <v>19</v>
      </c>
      <c r="N59"/>
      <c r="O59"/>
    </row>
    <row r="60" spans="1:15" ht="15">
      <c r="A60" s="24">
        <v>56</v>
      </c>
      <c r="B60" s="25">
        <f ca="1">100*(sim!$C$3+NORMSINV(RAND())*sim!$C$4)</f>
        <v>0.15508319177834246</v>
      </c>
      <c r="D60" s="24">
        <v>2.5000000000000102</v>
      </c>
      <c r="E60" s="24" cm="1">
        <f t="array" aca="1" ref="E60" ca="1">SUMPRODUCT(IF($B$5:$B$504&gt;D59,1,0),IF($B$5:$B$504&lt;=D60,1,0))</f>
        <v>19</v>
      </c>
      <c r="N60"/>
      <c r="O60"/>
    </row>
    <row r="61" spans="1:15" ht="15">
      <c r="A61" s="24">
        <v>57</v>
      </c>
      <c r="B61" s="25">
        <f ca="1">100*(sim!$C$3+NORMSINV(RAND())*sim!$C$4)</f>
        <v>1.7685816590723171</v>
      </c>
      <c r="D61" s="24">
        <v>2.6</v>
      </c>
      <c r="E61" s="24" cm="1">
        <f t="array" aca="1" ref="E61" ca="1">SUMPRODUCT(IF($B$5:$B$504&gt;D60,1,0),IF($B$5:$B$504&lt;=D61,1,0))</f>
        <v>22</v>
      </c>
      <c r="N61"/>
      <c r="O61"/>
    </row>
    <row r="62" spans="1:15" ht="15">
      <c r="A62" s="24">
        <v>58</v>
      </c>
      <c r="B62" s="25">
        <f ca="1">100*(sim!$C$3+NORMSINV(RAND())*sim!$C$4)</f>
        <v>1.930796422018509</v>
      </c>
      <c r="D62" s="24">
        <v>2.7</v>
      </c>
      <c r="E62" s="24" cm="1">
        <f t="array" aca="1" ref="E62" ca="1">SUMPRODUCT(IF($B$5:$B$504&gt;D61,1,0),IF($B$5:$B$504&lt;=D62,1,0))</f>
        <v>16</v>
      </c>
      <c r="N62"/>
      <c r="O62"/>
    </row>
    <row r="63" spans="1:15" ht="15">
      <c r="A63" s="24">
        <v>59</v>
      </c>
      <c r="B63" s="25">
        <f ca="1">100*(sim!$C$3+NORMSINV(RAND())*sim!$C$4)</f>
        <v>2.7719179439921326</v>
      </c>
      <c r="D63" s="24">
        <v>2.80000000000001</v>
      </c>
      <c r="E63" s="24" cm="1">
        <f t="array" aca="1" ref="E63" ca="1">SUMPRODUCT(IF($B$5:$B$504&gt;D62,1,0),IF($B$5:$B$504&lt;=D63,1,0))</f>
        <v>21</v>
      </c>
      <c r="N63"/>
      <c r="O63"/>
    </row>
    <row r="64" spans="1:15" ht="15">
      <c r="A64" s="24">
        <v>60</v>
      </c>
      <c r="B64" s="25">
        <f ca="1">100*(sim!$C$3+NORMSINV(RAND())*sim!$C$4)</f>
        <v>0.63792745751688174</v>
      </c>
      <c r="D64" s="24">
        <v>2.9000000000000101</v>
      </c>
      <c r="E64" s="24" cm="1">
        <f t="array" aca="1" ref="E64" ca="1">SUMPRODUCT(IF($B$5:$B$504&gt;D63,1,0),IF($B$5:$B$504&lt;=D64,1,0))</f>
        <v>17</v>
      </c>
      <c r="N64"/>
      <c r="O64"/>
    </row>
    <row r="65" spans="1:15" ht="15">
      <c r="A65" s="24">
        <v>61</v>
      </c>
      <c r="B65" s="25">
        <f ca="1">100*(sim!$C$3+NORMSINV(RAND())*sim!$C$4)</f>
        <v>1.2452745013416295</v>
      </c>
      <c r="D65" s="24">
        <v>3.0000000000000102</v>
      </c>
      <c r="E65" s="24" cm="1">
        <f t="array" aca="1" ref="E65" ca="1">SUMPRODUCT(IF($B$5:$B$504&gt;D64,1,0),IF($B$5:$B$504&lt;=D65,1,0))</f>
        <v>11</v>
      </c>
      <c r="N65"/>
      <c r="O65"/>
    </row>
    <row r="66" spans="1:15" ht="15">
      <c r="A66" s="24">
        <v>62</v>
      </c>
      <c r="B66" s="25">
        <f ca="1">100*(sim!$C$3+NORMSINV(RAND())*sim!$C$4)</f>
        <v>1.6618215105704062</v>
      </c>
      <c r="D66" s="24">
        <v>3.1</v>
      </c>
      <c r="E66" s="24" cm="1">
        <f t="array" aca="1" ref="E66" ca="1">SUMPRODUCT(IF($B$5:$B$504&gt;D65,1,0),IF($B$5:$B$504&lt;=D66,1,0))</f>
        <v>11</v>
      </c>
      <c r="N66"/>
      <c r="O66"/>
    </row>
    <row r="67" spans="1:15" ht="15">
      <c r="A67" s="24">
        <v>63</v>
      </c>
      <c r="B67" s="25">
        <f ca="1">100*(sim!$C$3+NORMSINV(RAND())*sim!$C$4)</f>
        <v>2.0634878961852192</v>
      </c>
      <c r="D67" s="24">
        <v>3.2000000000000099</v>
      </c>
      <c r="E67" s="24" cm="1">
        <f t="array" aca="1" ref="E67" ca="1">SUMPRODUCT(IF($B$5:$B$504&gt;D66,1,0),IF($B$5:$B$504&lt;=D67,1,0))</f>
        <v>12</v>
      </c>
      <c r="N67"/>
      <c r="O67"/>
    </row>
    <row r="68" spans="1:15" ht="15">
      <c r="A68" s="24">
        <v>64</v>
      </c>
      <c r="B68" s="25">
        <f ca="1">100*(sim!$C$3+NORMSINV(RAND())*sim!$C$4)</f>
        <v>2.4726682633375003</v>
      </c>
      <c r="D68" s="24">
        <v>3.30000000000001</v>
      </c>
      <c r="E68" s="24" cm="1">
        <f t="array" aca="1" ref="E68" ca="1">SUMPRODUCT(IF($B$5:$B$504&gt;D67,1,0),IF($B$5:$B$504&lt;=D68,1,0))</f>
        <v>7</v>
      </c>
      <c r="N68"/>
      <c r="O68"/>
    </row>
    <row r="69" spans="1:15" ht="15">
      <c r="A69" s="24">
        <v>65</v>
      </c>
      <c r="B69" s="25">
        <f ca="1">100*(sim!$C$3+NORMSINV(RAND())*sim!$C$4)</f>
        <v>2.53294646639457</v>
      </c>
      <c r="D69" s="24">
        <v>3.4000000000000101</v>
      </c>
      <c r="E69" s="24" cm="1">
        <f t="array" aca="1" ref="E69" ca="1">SUMPRODUCT(IF($B$5:$B$504&gt;D68,1,0),IF($B$5:$B$504&lt;=D69,1,0))</f>
        <v>8</v>
      </c>
      <c r="N69"/>
      <c r="O69"/>
    </row>
    <row r="70" spans="1:15" ht="15">
      <c r="A70" s="24">
        <v>66</v>
      </c>
      <c r="B70" s="25">
        <f ca="1">100*(sim!$C$3+NORMSINV(RAND())*sim!$C$4)</f>
        <v>1.2125616356410667</v>
      </c>
      <c r="D70" s="24">
        <v>3.5000000000000102</v>
      </c>
      <c r="E70" s="24" cm="1">
        <f t="array" aca="1" ref="E70" ca="1">SUMPRODUCT(IF($B$5:$B$504&gt;D69,1,0),IF($B$5:$B$504&lt;=D70,1,0))</f>
        <v>11</v>
      </c>
      <c r="N70"/>
      <c r="O70"/>
    </row>
    <row r="71" spans="1:15" ht="15">
      <c r="A71" s="24">
        <v>67</v>
      </c>
      <c r="B71" s="25">
        <f ca="1">100*(sim!$C$3+NORMSINV(RAND())*sim!$C$4)</f>
        <v>2.0408758086102008</v>
      </c>
      <c r="D71" s="24">
        <v>3.6000000000000099</v>
      </c>
      <c r="E71" s="24" cm="1">
        <f t="array" aca="1" ref="E71" ca="1">SUMPRODUCT(IF($B$5:$B$504&gt;D70,1,0),IF($B$5:$B$504&lt;=D71,1,0))</f>
        <v>3</v>
      </c>
      <c r="N71"/>
      <c r="O71"/>
    </row>
    <row r="72" spans="1:15" ht="15">
      <c r="A72" s="24">
        <v>68</v>
      </c>
      <c r="B72" s="25">
        <f ca="1">100*(sim!$C$3+NORMSINV(RAND())*sim!$C$4)</f>
        <v>1.3779299087532293</v>
      </c>
      <c r="D72" s="24">
        <v>3.7000000000000099</v>
      </c>
      <c r="E72" s="24" cm="1">
        <f t="array" aca="1" ref="E72" ca="1">SUMPRODUCT(IF($B$5:$B$504&gt;D71,1,0),IF($B$5:$B$504&lt;=D72,1,0))</f>
        <v>8</v>
      </c>
      <c r="N72"/>
      <c r="O72"/>
    </row>
    <row r="73" spans="1:15" ht="15">
      <c r="A73" s="24">
        <v>69</v>
      </c>
      <c r="B73" s="25">
        <f ca="1">100*(sim!$C$3+NORMSINV(RAND())*sim!$C$4)</f>
        <v>2.234756454066404</v>
      </c>
      <c r="D73" s="24">
        <v>3.80000000000001</v>
      </c>
      <c r="E73" s="24" cm="1">
        <f t="array" aca="1" ref="E73" ca="1">SUMPRODUCT(IF($B$5:$B$504&gt;D72,1,0),IF($B$5:$B$504&lt;=D73,1,0))</f>
        <v>5</v>
      </c>
      <c r="N73"/>
      <c r="O73"/>
    </row>
    <row r="74" spans="1:15" ht="15">
      <c r="A74" s="24">
        <v>70</v>
      </c>
      <c r="B74" s="25">
        <f ca="1">100*(sim!$C$3+NORMSINV(RAND())*sim!$C$4)</f>
        <v>2.2181232647754903</v>
      </c>
      <c r="D74" s="24">
        <v>3.9000000000000101</v>
      </c>
      <c r="E74" s="24" cm="1">
        <f t="array" aca="1" ref="E74" ca="1">SUMPRODUCT(IF($B$5:$B$504&gt;D73,1,0),IF($B$5:$B$504&lt;=D74,1,0))</f>
        <v>3</v>
      </c>
      <c r="N74"/>
      <c r="O74"/>
    </row>
    <row r="75" spans="1:15" ht="15">
      <c r="A75" s="24">
        <v>71</v>
      </c>
      <c r="B75" s="25">
        <f ca="1">100*(sim!$C$3+NORMSINV(RAND())*sim!$C$4)</f>
        <v>2.8954458781683008</v>
      </c>
      <c r="D75" s="24">
        <v>4.0000000000000098</v>
      </c>
      <c r="E75" s="24" cm="1">
        <f t="array" aca="1" ref="E75" ca="1">SUMPRODUCT(IF($B$5:$B$504&gt;D74,1,0),IF($B$5:$B$504&lt;=D75,1,0))</f>
        <v>2</v>
      </c>
      <c r="N75"/>
      <c r="O75"/>
    </row>
    <row r="76" spans="1:15" ht="15">
      <c r="A76" s="24">
        <v>72</v>
      </c>
      <c r="B76" s="25">
        <f ca="1">100*(sim!$C$3+NORMSINV(RAND())*sim!$C$4)</f>
        <v>2.9927633855895204</v>
      </c>
      <c r="D76" s="24">
        <v>4.1000000000000103</v>
      </c>
      <c r="E76" s="24" cm="1">
        <f t="array" aca="1" ref="E76" ca="1">SUMPRODUCT(IF($B$5:$B$504&gt;D75,1,0),IF($B$5:$B$504&lt;=D76,1,0))</f>
        <v>2</v>
      </c>
      <c r="N76"/>
      <c r="O76"/>
    </row>
    <row r="77" spans="1:15" ht="15">
      <c r="A77" s="24">
        <v>73</v>
      </c>
      <c r="B77" s="25">
        <f ca="1">100*(sim!$C$3+NORMSINV(RAND())*sim!$C$4)</f>
        <v>1.1953595298435713</v>
      </c>
      <c r="D77" s="24">
        <v>4.2000000000000099</v>
      </c>
      <c r="E77" s="24" cm="1">
        <f t="array" aca="1" ref="E77" ca="1">SUMPRODUCT(IF($B$5:$B$504&gt;D76,1,0),IF($B$5:$B$504&lt;=D77,1,0))</f>
        <v>0</v>
      </c>
      <c r="N77"/>
      <c r="O77"/>
    </row>
    <row r="78" spans="1:15" ht="15">
      <c r="A78" s="24">
        <v>74</v>
      </c>
      <c r="B78" s="25">
        <f ca="1">100*(sim!$C$3+NORMSINV(RAND())*sim!$C$4)</f>
        <v>1.6038455811654424</v>
      </c>
      <c r="D78" s="24">
        <v>4.3000000000000096</v>
      </c>
      <c r="E78" s="24" cm="1">
        <f t="array" aca="1" ref="E78" ca="1">SUMPRODUCT(IF($B$5:$B$504&gt;D77,1,0),IF($B$5:$B$504&lt;=D78,1,0))</f>
        <v>1</v>
      </c>
      <c r="N78"/>
      <c r="O78"/>
    </row>
    <row r="79" spans="1:15" ht="15">
      <c r="A79" s="24">
        <v>75</v>
      </c>
      <c r="B79" s="25">
        <f ca="1">100*(sim!$C$3+NORMSINV(RAND())*sim!$C$4)</f>
        <v>3.4253707330259129</v>
      </c>
      <c r="D79" s="24">
        <v>4.4000000000000101</v>
      </c>
      <c r="E79" s="24" cm="1">
        <f t="array" aca="1" ref="E79" ca="1">SUMPRODUCT(IF($B$5:$B$504&gt;D78,1,0),IF($B$5:$B$504&lt;=D79,1,0))</f>
        <v>1</v>
      </c>
      <c r="N79"/>
      <c r="O79"/>
    </row>
    <row r="80" spans="1:15" ht="15">
      <c r="A80" s="24">
        <v>76</v>
      </c>
      <c r="B80" s="25">
        <f ca="1">100*(sim!$C$3+NORMSINV(RAND())*sim!$C$4)</f>
        <v>2.508950930494533</v>
      </c>
      <c r="D80" s="24">
        <v>4.5000000000000098</v>
      </c>
      <c r="E80" s="24" cm="1">
        <f t="array" aca="1" ref="E80" ca="1">SUMPRODUCT(IF($B$5:$B$504&gt;D79,1,0),IF($B$5:$B$504&lt;=D80,1,0))</f>
        <v>2</v>
      </c>
      <c r="N80"/>
      <c r="O80"/>
    </row>
    <row r="81" spans="1:15" ht="15">
      <c r="A81" s="24">
        <v>77</v>
      </c>
      <c r="B81" s="25">
        <f ca="1">100*(sim!$C$3+NORMSINV(RAND())*sim!$C$4)</f>
        <v>3.1832526313695437</v>
      </c>
      <c r="D81" s="24">
        <v>4.6000000000000103</v>
      </c>
      <c r="E81" s="24" cm="1">
        <f t="array" aca="1" ref="E81" ca="1">SUMPRODUCT(IF($B$5:$B$504&gt;D80,1,0),IF($B$5:$B$504&lt;=D81,1,0))</f>
        <v>1</v>
      </c>
      <c r="N81"/>
      <c r="O81"/>
    </row>
    <row r="82" spans="1:15" ht="15">
      <c r="A82" s="24">
        <v>78</v>
      </c>
      <c r="B82" s="25">
        <f ca="1">100*(sim!$C$3+NORMSINV(RAND())*sim!$C$4)</f>
        <v>2.1032700895729719</v>
      </c>
      <c r="D82" s="24">
        <v>4.7000000000000099</v>
      </c>
      <c r="E82" s="24" cm="1">
        <f t="array" aca="1" ref="E82" ca="1">SUMPRODUCT(IF($B$5:$B$504&gt;D81,1,0),IF($B$5:$B$504&lt;=D82,1,0))</f>
        <v>1</v>
      </c>
      <c r="N82"/>
      <c r="O82"/>
    </row>
    <row r="83" spans="1:15" ht="15">
      <c r="A83" s="24">
        <v>79</v>
      </c>
      <c r="B83" s="25">
        <f ca="1">100*(sim!$C$3+NORMSINV(RAND())*sim!$C$4)</f>
        <v>2.0746511721876701</v>
      </c>
      <c r="D83" s="24">
        <v>4.8000000000000096</v>
      </c>
      <c r="E83" s="24" cm="1">
        <f t="array" aca="1" ref="E83" ca="1">SUMPRODUCT(IF($B$5:$B$504&gt;D82,1,0),IF($B$5:$B$504&lt;=D83,1,0))</f>
        <v>0</v>
      </c>
      <c r="N83"/>
      <c r="O83"/>
    </row>
    <row r="84" spans="1:15" ht="15">
      <c r="A84" s="24">
        <v>80</v>
      </c>
      <c r="B84" s="25">
        <f ca="1">100*(sim!$C$3+NORMSINV(RAND())*sim!$C$4)</f>
        <v>3.0432167741497449</v>
      </c>
      <c r="D84" s="24">
        <v>4.9000000000000101</v>
      </c>
      <c r="E84" s="24" cm="1">
        <f t="array" aca="1" ref="E84" ca="1">SUMPRODUCT(IF($B$5:$B$504&gt;D83,1,0),IF($B$5:$B$504&lt;=D84,1,0))</f>
        <v>0</v>
      </c>
      <c r="N84"/>
      <c r="O84"/>
    </row>
    <row r="85" spans="1:15" ht="15">
      <c r="A85" s="24">
        <v>81</v>
      </c>
      <c r="B85" s="25">
        <f ca="1">100*(sim!$C$3+NORMSINV(RAND())*sim!$C$4)</f>
        <v>0.60498441928852986</v>
      </c>
      <c r="D85" s="24">
        <v>5.0000000000000098</v>
      </c>
      <c r="E85" s="24" cm="1">
        <f t="array" aca="1" ref="E85" ca="1">SUMPRODUCT(IF($B$5:$B$504&gt;D84,1,0),IF($B$5:$B$504&lt;=D85,1,0))</f>
        <v>0</v>
      </c>
      <c r="N85"/>
      <c r="O85"/>
    </row>
    <row r="86" spans="1:15" ht="15">
      <c r="A86" s="24">
        <v>82</v>
      </c>
      <c r="B86" s="25">
        <f ca="1">100*(sim!$C$3+NORMSINV(RAND())*sim!$C$4)</f>
        <v>2.3684562862049661</v>
      </c>
      <c r="D86" s="24">
        <v>100</v>
      </c>
      <c r="E86" s="24" cm="1">
        <f t="array" aca="1" ref="E86" ca="1">SUMPRODUCT(IF($B$5:$B$504&gt;D85,1,0),IF($B$5:$B$504&lt;=D86,1,0))</f>
        <v>0</v>
      </c>
      <c r="N86"/>
      <c r="O86"/>
    </row>
    <row r="87" spans="1:15">
      <c r="A87" s="24">
        <v>83</v>
      </c>
      <c r="B87" s="25">
        <f ca="1">100*(sim!$C$3+NORMSINV(RAND())*sim!$C$4)</f>
        <v>1.2623084348606466</v>
      </c>
    </row>
    <row r="88" spans="1:15">
      <c r="A88" s="24">
        <v>84</v>
      </c>
      <c r="B88" s="25">
        <f ca="1">100*(sim!$C$3+NORMSINV(RAND())*sim!$C$4)</f>
        <v>2.9628692235302143</v>
      </c>
    </row>
    <row r="89" spans="1:15">
      <c r="A89" s="24">
        <v>85</v>
      </c>
      <c r="B89" s="25">
        <f ca="1">100*(sim!$C$3+NORMSINV(RAND())*sim!$C$4)</f>
        <v>1.7749634220373962</v>
      </c>
    </row>
    <row r="90" spans="1:15">
      <c r="A90" s="24">
        <v>86</v>
      </c>
      <c r="B90" s="25">
        <f ca="1">100*(sim!$C$3+NORMSINV(RAND())*sim!$C$4)</f>
        <v>2.8525212113491043</v>
      </c>
    </row>
    <row r="91" spans="1:15">
      <c r="A91" s="24">
        <v>87</v>
      </c>
      <c r="B91" s="25">
        <f ca="1">100*(sim!$C$3+NORMSINV(RAND())*sim!$C$4)</f>
        <v>1.0880752801992613</v>
      </c>
    </row>
    <row r="92" spans="1:15">
      <c r="A92" s="24">
        <v>88</v>
      </c>
      <c r="B92" s="25">
        <f ca="1">100*(sim!$C$3+NORMSINV(RAND())*sim!$C$4)</f>
        <v>1.2864205247189884</v>
      </c>
    </row>
    <row r="93" spans="1:15">
      <c r="A93" s="24">
        <v>89</v>
      </c>
      <c r="B93" s="25">
        <f ca="1">100*(sim!$C$3+NORMSINV(RAND())*sim!$C$4)</f>
        <v>2.5879985757623412</v>
      </c>
    </row>
    <row r="94" spans="1:15">
      <c r="A94" s="24">
        <v>90</v>
      </c>
      <c r="B94" s="25">
        <f ca="1">100*(sim!$C$3+NORMSINV(RAND())*sim!$C$4)</f>
        <v>3.1981991109144361</v>
      </c>
    </row>
    <row r="95" spans="1:15">
      <c r="A95" s="24">
        <v>91</v>
      </c>
      <c r="B95" s="25">
        <f ca="1">100*(sim!$C$3+NORMSINV(RAND())*sim!$C$4)</f>
        <v>1.8885593763328969</v>
      </c>
    </row>
    <row r="96" spans="1:15">
      <c r="A96" s="24">
        <v>92</v>
      </c>
      <c r="B96" s="25">
        <f ca="1">100*(sim!$C$3+NORMSINV(RAND())*sim!$C$4)</f>
        <v>2.0670118088023588</v>
      </c>
    </row>
    <row r="97" spans="1:2">
      <c r="A97" s="24">
        <v>93</v>
      </c>
      <c r="B97" s="25">
        <f ca="1">100*(sim!$C$3+NORMSINV(RAND())*sim!$C$4)</f>
        <v>1.7142119403489</v>
      </c>
    </row>
    <row r="98" spans="1:2">
      <c r="A98" s="24">
        <v>94</v>
      </c>
      <c r="B98" s="25">
        <f ca="1">100*(sim!$C$3+NORMSINV(RAND())*sim!$C$4)</f>
        <v>2.3721865470791577</v>
      </c>
    </row>
    <row r="99" spans="1:2">
      <c r="A99" s="24">
        <v>95</v>
      </c>
      <c r="B99" s="25">
        <f ca="1">100*(sim!$C$3+NORMSINV(RAND())*sim!$C$4)</f>
        <v>2.2121643308563139</v>
      </c>
    </row>
    <row r="100" spans="1:2">
      <c r="A100" s="24">
        <v>96</v>
      </c>
      <c r="B100" s="25">
        <f ca="1">100*(sim!$C$3+NORMSINV(RAND())*sim!$C$4)</f>
        <v>1.6166315541048206</v>
      </c>
    </row>
    <row r="101" spans="1:2">
      <c r="A101" s="24">
        <v>97</v>
      </c>
      <c r="B101" s="25">
        <f ca="1">100*(sim!$C$3+NORMSINV(RAND())*sim!$C$4)</f>
        <v>3.6986656135201077</v>
      </c>
    </row>
    <row r="102" spans="1:2">
      <c r="A102" s="24">
        <v>98</v>
      </c>
      <c r="B102" s="25">
        <f ca="1">100*(sim!$C$3+NORMSINV(RAND())*sim!$C$4)</f>
        <v>2.0555414348788714</v>
      </c>
    </row>
    <row r="103" spans="1:2">
      <c r="A103" s="24">
        <v>99</v>
      </c>
      <c r="B103" s="25">
        <f ca="1">100*(sim!$C$3+NORMSINV(RAND())*sim!$C$4)</f>
        <v>2.5842816272187674</v>
      </c>
    </row>
    <row r="104" spans="1:2">
      <c r="A104" s="24">
        <v>100</v>
      </c>
      <c r="B104" s="25">
        <f ca="1">100*(sim!$C$3+NORMSINV(RAND())*sim!$C$4)</f>
        <v>3.0029151702010317</v>
      </c>
    </row>
    <row r="105" spans="1:2">
      <c r="A105" s="24">
        <v>101</v>
      </c>
      <c r="B105" s="25">
        <f ca="1">100*(sim!$C$3+NORMSINV(RAND())*sim!$C$4)</f>
        <v>3.446454225648357</v>
      </c>
    </row>
    <row r="106" spans="1:2">
      <c r="A106" s="24">
        <v>102</v>
      </c>
      <c r="B106" s="25">
        <f ca="1">100*(sim!$C$3+NORMSINV(RAND())*sim!$C$4)</f>
        <v>2.0383080855164191</v>
      </c>
    </row>
    <row r="107" spans="1:2">
      <c r="A107" s="24">
        <v>103</v>
      </c>
      <c r="B107" s="25">
        <f ca="1">100*(sim!$C$3+NORMSINV(RAND())*sim!$C$4)</f>
        <v>2.1927400920862183</v>
      </c>
    </row>
    <row r="108" spans="1:2">
      <c r="A108" s="24">
        <v>104</v>
      </c>
      <c r="B108" s="25">
        <f ca="1">100*(sim!$C$3+NORMSINV(RAND())*sim!$C$4)</f>
        <v>3.2569508760370707</v>
      </c>
    </row>
    <row r="109" spans="1:2">
      <c r="A109" s="24">
        <v>105</v>
      </c>
      <c r="B109" s="25">
        <f ca="1">100*(sim!$C$3+NORMSINV(RAND())*sim!$C$4)</f>
        <v>2.1629662961375469</v>
      </c>
    </row>
    <row r="110" spans="1:2">
      <c r="A110" s="24">
        <v>106</v>
      </c>
      <c r="B110" s="25">
        <f ca="1">100*(sim!$C$3+NORMSINV(RAND())*sim!$C$4)</f>
        <v>2.364466752678176</v>
      </c>
    </row>
    <row r="111" spans="1:2">
      <c r="A111" s="24">
        <v>107</v>
      </c>
      <c r="B111" s="25">
        <f ca="1">100*(sim!$C$3+NORMSINV(RAND())*sim!$C$4)</f>
        <v>0.74489928249522475</v>
      </c>
    </row>
    <row r="112" spans="1:2">
      <c r="A112" s="24">
        <v>108</v>
      </c>
      <c r="B112" s="25">
        <f ca="1">100*(sim!$C$3+NORMSINV(RAND())*sim!$C$4)</f>
        <v>2.4734629370783319</v>
      </c>
    </row>
    <row r="113" spans="1:2">
      <c r="A113" s="24">
        <v>109</v>
      </c>
      <c r="B113" s="25">
        <f ca="1">100*(sim!$C$3+NORMSINV(RAND())*sim!$C$4)</f>
        <v>3.4094107374164686</v>
      </c>
    </row>
    <row r="114" spans="1:2">
      <c r="A114" s="24">
        <v>110</v>
      </c>
      <c r="B114" s="25">
        <f ca="1">100*(sim!$C$3+NORMSINV(RAND())*sim!$C$4)</f>
        <v>3.529157800894557</v>
      </c>
    </row>
    <row r="115" spans="1:2">
      <c r="A115" s="24">
        <v>111</v>
      </c>
      <c r="B115" s="25">
        <f ca="1">100*(sim!$C$3+NORMSINV(RAND())*sim!$C$4)</f>
        <v>1.2550512284562156</v>
      </c>
    </row>
    <row r="116" spans="1:2">
      <c r="A116" s="24">
        <v>112</v>
      </c>
      <c r="B116" s="25">
        <f ca="1">100*(sim!$C$3+NORMSINV(RAND())*sim!$C$4)</f>
        <v>0.47298870318861347</v>
      </c>
    </row>
    <row r="117" spans="1:2">
      <c r="A117" s="24">
        <v>113</v>
      </c>
      <c r="B117" s="25">
        <f ca="1">100*(sim!$C$3+NORMSINV(RAND())*sim!$C$4)</f>
        <v>1.4107641713371299</v>
      </c>
    </row>
    <row r="118" spans="1:2">
      <c r="A118" s="24">
        <v>114</v>
      </c>
      <c r="B118" s="25">
        <f ca="1">100*(sim!$C$3+NORMSINV(RAND())*sim!$C$4)</f>
        <v>1.0798697052125512</v>
      </c>
    </row>
    <row r="119" spans="1:2">
      <c r="A119" s="24">
        <v>115</v>
      </c>
      <c r="B119" s="25">
        <f ca="1">100*(sim!$C$3+NORMSINV(RAND())*sim!$C$4)</f>
        <v>2.4891788159296815</v>
      </c>
    </row>
    <row r="120" spans="1:2">
      <c r="A120" s="24">
        <v>116</v>
      </c>
      <c r="B120" s="25">
        <f ca="1">100*(sim!$C$3+NORMSINV(RAND())*sim!$C$4)</f>
        <v>3.3728089664512719</v>
      </c>
    </row>
    <row r="121" spans="1:2">
      <c r="A121" s="24">
        <v>117</v>
      </c>
      <c r="B121" s="25">
        <f ca="1">100*(sim!$C$3+NORMSINV(RAND())*sim!$C$4)</f>
        <v>0.76465398143868502</v>
      </c>
    </row>
    <row r="122" spans="1:2">
      <c r="A122" s="24">
        <v>118</v>
      </c>
      <c r="B122" s="25">
        <f ca="1">100*(sim!$C$3+NORMSINV(RAND())*sim!$C$4)</f>
        <v>2.7094143019564187</v>
      </c>
    </row>
    <row r="123" spans="1:2">
      <c r="A123" s="24">
        <v>119</v>
      </c>
      <c r="B123" s="25">
        <f ca="1">100*(sim!$C$3+NORMSINV(RAND())*sim!$C$4)</f>
        <v>1.4171206125120901</v>
      </c>
    </row>
    <row r="124" spans="1:2">
      <c r="A124" s="24">
        <v>120</v>
      </c>
      <c r="B124" s="25">
        <f ca="1">100*(sim!$C$3+NORMSINV(RAND())*sim!$C$4)</f>
        <v>2.7003265044162901</v>
      </c>
    </row>
    <row r="125" spans="1:2">
      <c r="A125" s="24">
        <v>121</v>
      </c>
      <c r="B125" s="25">
        <f ca="1">100*(sim!$C$3+NORMSINV(RAND())*sim!$C$4)</f>
        <v>2.7976758466695917</v>
      </c>
    </row>
    <row r="126" spans="1:2">
      <c r="A126" s="24">
        <v>122</v>
      </c>
      <c r="B126" s="25">
        <f ca="1">100*(sim!$C$3+NORMSINV(RAND())*sim!$C$4)</f>
        <v>1.9713589507733542</v>
      </c>
    </row>
    <row r="127" spans="1:2">
      <c r="A127" s="24">
        <v>123</v>
      </c>
      <c r="B127" s="25">
        <f ca="1">100*(sim!$C$3+NORMSINV(RAND())*sim!$C$4)</f>
        <v>1.5763882714401378</v>
      </c>
    </row>
    <row r="128" spans="1:2">
      <c r="A128" s="24">
        <v>124</v>
      </c>
      <c r="B128" s="25">
        <f ca="1">100*(sim!$C$3+NORMSINV(RAND())*sim!$C$4)</f>
        <v>4.032477118051812</v>
      </c>
    </row>
    <row r="129" spans="1:2">
      <c r="A129" s="24">
        <v>125</v>
      </c>
      <c r="B129" s="25">
        <f ca="1">100*(sim!$C$3+NORMSINV(RAND())*sim!$C$4)</f>
        <v>3.0563209809744758</v>
      </c>
    </row>
    <row r="130" spans="1:2">
      <c r="A130" s="24">
        <v>126</v>
      </c>
      <c r="B130" s="25">
        <f ca="1">100*(sim!$C$3+NORMSINV(RAND())*sim!$C$4)</f>
        <v>1.9063986233899137</v>
      </c>
    </row>
    <row r="131" spans="1:2">
      <c r="A131" s="24">
        <v>127</v>
      </c>
      <c r="B131" s="25">
        <f ca="1">100*(sim!$C$3+NORMSINV(RAND())*sim!$C$4)</f>
        <v>3.0825087785619463</v>
      </c>
    </row>
    <row r="132" spans="1:2">
      <c r="A132" s="24">
        <v>128</v>
      </c>
      <c r="B132" s="25">
        <f ca="1">100*(sim!$C$3+NORMSINV(RAND())*sim!$C$4)</f>
        <v>2.7067071761105996</v>
      </c>
    </row>
    <row r="133" spans="1:2">
      <c r="A133" s="24">
        <v>129</v>
      </c>
      <c r="B133" s="25">
        <f ca="1">100*(sim!$C$3+NORMSINV(RAND())*sim!$C$4)</f>
        <v>2.6228100969343777</v>
      </c>
    </row>
    <row r="134" spans="1:2">
      <c r="A134" s="24">
        <v>130</v>
      </c>
      <c r="B134" s="25">
        <f ca="1">100*(sim!$C$3+NORMSINV(RAND())*sim!$C$4)</f>
        <v>0.90194927514921264</v>
      </c>
    </row>
    <row r="135" spans="1:2">
      <c r="A135" s="24">
        <v>131</v>
      </c>
      <c r="B135" s="25">
        <f ca="1">100*(sim!$C$3+NORMSINV(RAND())*sim!$C$4)</f>
        <v>2.5991537156567106</v>
      </c>
    </row>
    <row r="136" spans="1:2">
      <c r="A136" s="24">
        <v>132</v>
      </c>
      <c r="B136" s="25">
        <f ca="1">100*(sim!$C$3+NORMSINV(RAND())*sim!$C$4)</f>
        <v>0.3359687246506326</v>
      </c>
    </row>
    <row r="137" spans="1:2">
      <c r="A137" s="24">
        <v>133</v>
      </c>
      <c r="B137" s="25">
        <f ca="1">100*(sim!$C$3+NORMSINV(RAND())*sim!$C$4)</f>
        <v>1.293015962279771</v>
      </c>
    </row>
    <row r="138" spans="1:2">
      <c r="A138" s="24">
        <v>134</v>
      </c>
      <c r="B138" s="25">
        <f ca="1">100*(sim!$C$3+NORMSINV(RAND())*sim!$C$4)</f>
        <v>3.1056642335981195</v>
      </c>
    </row>
    <row r="139" spans="1:2">
      <c r="A139" s="24">
        <v>135</v>
      </c>
      <c r="B139" s="25">
        <f ca="1">100*(sim!$C$3+NORMSINV(RAND())*sim!$C$4)</f>
        <v>1.9663001191083371</v>
      </c>
    </row>
    <row r="140" spans="1:2">
      <c r="A140" s="24">
        <v>136</v>
      </c>
      <c r="B140" s="25">
        <f ca="1">100*(sim!$C$3+NORMSINV(RAND())*sim!$C$4)</f>
        <v>2.4732101590786084</v>
      </c>
    </row>
    <row r="141" spans="1:2">
      <c r="A141" s="24">
        <v>137</v>
      </c>
      <c r="B141" s="25">
        <f ca="1">100*(sim!$C$3+NORMSINV(RAND())*sim!$C$4)</f>
        <v>2.802153790556515</v>
      </c>
    </row>
    <row r="142" spans="1:2">
      <c r="A142" s="24">
        <v>138</v>
      </c>
      <c r="B142" s="25">
        <f ca="1">100*(sim!$C$3+NORMSINV(RAND())*sim!$C$4)</f>
        <v>1.6002968359062655</v>
      </c>
    </row>
    <row r="143" spans="1:2">
      <c r="A143" s="24">
        <v>139</v>
      </c>
      <c r="B143" s="25">
        <f ca="1">100*(sim!$C$3+NORMSINV(RAND())*sim!$C$4)</f>
        <v>4.2383150759333343</v>
      </c>
    </row>
    <row r="144" spans="1:2">
      <c r="A144" s="24">
        <v>140</v>
      </c>
      <c r="B144" s="25">
        <f ca="1">100*(sim!$C$3+NORMSINV(RAND())*sim!$C$4)</f>
        <v>2.732601404099662</v>
      </c>
    </row>
    <row r="145" spans="1:2">
      <c r="A145" s="24">
        <v>141</v>
      </c>
      <c r="B145" s="25">
        <f ca="1">100*(sim!$C$3+NORMSINV(RAND())*sim!$C$4)</f>
        <v>1.4139562435326261</v>
      </c>
    </row>
    <row r="146" spans="1:2">
      <c r="A146" s="24">
        <v>142</v>
      </c>
      <c r="B146" s="25">
        <f ca="1">100*(sim!$C$3+NORMSINV(RAND())*sim!$C$4)</f>
        <v>2.653129446202585</v>
      </c>
    </row>
    <row r="147" spans="1:2">
      <c r="A147" s="24">
        <v>143</v>
      </c>
      <c r="B147" s="25">
        <f ca="1">100*(sim!$C$3+NORMSINV(RAND())*sim!$C$4)</f>
        <v>3.3006240576505315</v>
      </c>
    </row>
    <row r="148" spans="1:2">
      <c r="A148" s="24">
        <v>144</v>
      </c>
      <c r="B148" s="25">
        <f ca="1">100*(sim!$C$3+NORMSINV(RAND())*sim!$C$4)</f>
        <v>2.21582425310481</v>
      </c>
    </row>
    <row r="149" spans="1:2">
      <c r="A149" s="24">
        <v>145</v>
      </c>
      <c r="B149" s="25">
        <f ca="1">100*(sim!$C$3+NORMSINV(RAND())*sim!$C$4)</f>
        <v>1.6917031479776166</v>
      </c>
    </row>
    <row r="150" spans="1:2">
      <c r="A150" s="24">
        <v>146</v>
      </c>
      <c r="B150" s="25">
        <f ca="1">100*(sim!$C$3+NORMSINV(RAND())*sim!$C$4)</f>
        <v>2.9066531848444908</v>
      </c>
    </row>
    <row r="151" spans="1:2">
      <c r="A151" s="24">
        <v>147</v>
      </c>
      <c r="B151" s="25">
        <f ca="1">100*(sim!$C$3+NORMSINV(RAND())*sim!$C$4)</f>
        <v>2.3492167273553259</v>
      </c>
    </row>
    <row r="152" spans="1:2">
      <c r="A152" s="24">
        <v>148</v>
      </c>
      <c r="B152" s="25">
        <f ca="1">100*(sim!$C$3+NORMSINV(RAND())*sim!$C$4)</f>
        <v>1.8379851479283658</v>
      </c>
    </row>
    <row r="153" spans="1:2">
      <c r="A153" s="24">
        <v>149</v>
      </c>
      <c r="B153" s="25">
        <f ca="1">100*(sim!$C$3+NORMSINV(RAND())*sim!$C$4)</f>
        <v>2.9107633242390727</v>
      </c>
    </row>
    <row r="154" spans="1:2">
      <c r="A154" s="24">
        <v>150</v>
      </c>
      <c r="B154" s="25">
        <f ca="1">100*(sim!$C$3+NORMSINV(RAND())*sim!$C$4)</f>
        <v>2.8176910778053106</v>
      </c>
    </row>
    <row r="155" spans="1:2">
      <c r="A155" s="24">
        <v>151</v>
      </c>
      <c r="B155" s="25">
        <f ca="1">100*(sim!$C$3+NORMSINV(RAND())*sim!$C$4)</f>
        <v>4.0505993304995354</v>
      </c>
    </row>
    <row r="156" spans="1:2">
      <c r="A156" s="24">
        <v>152</v>
      </c>
      <c r="B156" s="25">
        <f ca="1">100*(sim!$C$3+NORMSINV(RAND())*sim!$C$4)</f>
        <v>3.8377698222121643</v>
      </c>
    </row>
    <row r="157" spans="1:2">
      <c r="A157" s="24">
        <v>153</v>
      </c>
      <c r="B157" s="25">
        <f ca="1">100*(sim!$C$3+NORMSINV(RAND())*sim!$C$4)</f>
        <v>2.2244303630248723</v>
      </c>
    </row>
    <row r="158" spans="1:2">
      <c r="A158" s="24">
        <v>154</v>
      </c>
      <c r="B158" s="25">
        <f ca="1">100*(sim!$C$3+NORMSINV(RAND())*sim!$C$4)</f>
        <v>2.1990153162791919</v>
      </c>
    </row>
    <row r="159" spans="1:2">
      <c r="A159" s="24">
        <v>155</v>
      </c>
      <c r="B159" s="25">
        <f ca="1">100*(sim!$C$3+NORMSINV(RAND())*sim!$C$4)</f>
        <v>2.4347097526986201</v>
      </c>
    </row>
    <row r="160" spans="1:2">
      <c r="A160" s="24">
        <v>156</v>
      </c>
      <c r="B160" s="25">
        <f ca="1">100*(sim!$C$3+NORMSINV(RAND())*sim!$C$4)</f>
        <v>0.57487420472237782</v>
      </c>
    </row>
    <row r="161" spans="1:2">
      <c r="A161" s="24">
        <v>157</v>
      </c>
      <c r="B161" s="25">
        <f ca="1">100*(sim!$C$3+NORMSINV(RAND())*sim!$C$4)</f>
        <v>3.2783879657638084</v>
      </c>
    </row>
    <row r="162" spans="1:2">
      <c r="A162" s="24">
        <v>158</v>
      </c>
      <c r="B162" s="25">
        <f ca="1">100*(sim!$C$3+NORMSINV(RAND())*sim!$C$4)</f>
        <v>2.1175105181826641</v>
      </c>
    </row>
    <row r="163" spans="1:2">
      <c r="A163" s="24">
        <v>159</v>
      </c>
      <c r="B163" s="25">
        <f ca="1">100*(sim!$C$3+NORMSINV(RAND())*sim!$C$4)</f>
        <v>1.0761885473328079</v>
      </c>
    </row>
    <row r="164" spans="1:2">
      <c r="A164" s="24">
        <v>160</v>
      </c>
      <c r="B164" s="25">
        <f ca="1">100*(sim!$C$3+NORMSINV(RAND())*sim!$C$4)</f>
        <v>2.3786223415995988</v>
      </c>
    </row>
    <row r="165" spans="1:2">
      <c r="A165" s="24">
        <v>161</v>
      </c>
      <c r="B165" s="25">
        <f ca="1">100*(sim!$C$3+NORMSINV(RAND())*sim!$C$4)</f>
        <v>3.8569907969324739</v>
      </c>
    </row>
    <row r="166" spans="1:2">
      <c r="A166" s="24">
        <v>162</v>
      </c>
      <c r="B166" s="25">
        <f ca="1">100*(sim!$C$3+NORMSINV(RAND())*sim!$C$4)</f>
        <v>2.0697207896270604</v>
      </c>
    </row>
    <row r="167" spans="1:2">
      <c r="A167" s="24">
        <v>163</v>
      </c>
      <c r="B167" s="25">
        <f ca="1">100*(sim!$C$3+NORMSINV(RAND())*sim!$C$4)</f>
        <v>0.32460952542944682</v>
      </c>
    </row>
    <row r="168" spans="1:2">
      <c r="A168" s="24">
        <v>164</v>
      </c>
      <c r="B168" s="25">
        <f ca="1">100*(sim!$C$3+NORMSINV(RAND())*sim!$C$4)</f>
        <v>2.7366480952160663</v>
      </c>
    </row>
    <row r="169" spans="1:2">
      <c r="A169" s="24">
        <v>165</v>
      </c>
      <c r="B169" s="25">
        <f ca="1">100*(sim!$C$3+NORMSINV(RAND())*sim!$C$4)</f>
        <v>1.6025607237587625</v>
      </c>
    </row>
    <row r="170" spans="1:2">
      <c r="A170" s="24">
        <v>166</v>
      </c>
      <c r="B170" s="25">
        <f ca="1">100*(sim!$C$3+NORMSINV(RAND())*sim!$C$4)</f>
        <v>2.5301382164630883</v>
      </c>
    </row>
    <row r="171" spans="1:2">
      <c r="A171" s="24">
        <v>167</v>
      </c>
      <c r="B171" s="25">
        <f ca="1">100*(sim!$C$3+NORMSINV(RAND())*sim!$C$4)</f>
        <v>2.6277324922077359</v>
      </c>
    </row>
    <row r="172" spans="1:2">
      <c r="A172" s="24">
        <v>168</v>
      </c>
      <c r="B172" s="25">
        <f ca="1">100*(sim!$C$3+NORMSINV(RAND())*sim!$C$4)</f>
        <v>1.1020818903865679</v>
      </c>
    </row>
    <row r="173" spans="1:2">
      <c r="A173" s="24">
        <v>169</v>
      </c>
      <c r="B173" s="25">
        <f ca="1">100*(sim!$C$3+NORMSINV(RAND())*sim!$C$4)</f>
        <v>0.49282714816581263</v>
      </c>
    </row>
    <row r="174" spans="1:2">
      <c r="A174" s="24">
        <v>170</v>
      </c>
      <c r="B174" s="25">
        <f ca="1">100*(sim!$C$3+NORMSINV(RAND())*sim!$C$4)</f>
        <v>0.4449407884364775</v>
      </c>
    </row>
    <row r="175" spans="1:2">
      <c r="A175" s="24">
        <v>171</v>
      </c>
      <c r="B175" s="25">
        <f ca="1">100*(sim!$C$3+NORMSINV(RAND())*sim!$C$4)</f>
        <v>3.4099151712927473</v>
      </c>
    </row>
    <row r="176" spans="1:2">
      <c r="A176" s="24">
        <v>172</v>
      </c>
      <c r="B176" s="25">
        <f ca="1">100*(sim!$C$3+NORMSINV(RAND())*sim!$C$4)</f>
        <v>3.5644961907894763</v>
      </c>
    </row>
    <row r="177" spans="1:2">
      <c r="A177" s="24">
        <v>173</v>
      </c>
      <c r="B177" s="25">
        <f ca="1">100*(sim!$C$3+NORMSINV(RAND())*sim!$C$4)</f>
        <v>2.3203306377288158</v>
      </c>
    </row>
    <row r="178" spans="1:2">
      <c r="A178" s="24">
        <v>174</v>
      </c>
      <c r="B178" s="25">
        <f ca="1">100*(sim!$C$3+NORMSINV(RAND())*sim!$C$4)</f>
        <v>1.6180825645009111</v>
      </c>
    </row>
    <row r="179" spans="1:2">
      <c r="A179" s="24">
        <v>175</v>
      </c>
      <c r="B179" s="25">
        <f ca="1">100*(sim!$C$3+NORMSINV(RAND())*sim!$C$4)</f>
        <v>2.8290358810666829</v>
      </c>
    </row>
    <row r="180" spans="1:2">
      <c r="A180" s="24">
        <v>176</v>
      </c>
      <c r="B180" s="25">
        <f ca="1">100*(sim!$C$3+NORMSINV(RAND())*sim!$C$4)</f>
        <v>2.4539345563739179</v>
      </c>
    </row>
    <row r="181" spans="1:2">
      <c r="A181" s="24">
        <v>177</v>
      </c>
      <c r="B181" s="25">
        <f ca="1">100*(sim!$C$3+NORMSINV(RAND())*sim!$C$4)</f>
        <v>0.58008908761982259</v>
      </c>
    </row>
    <row r="182" spans="1:2">
      <c r="A182" s="24">
        <v>178</v>
      </c>
      <c r="B182" s="25">
        <f ca="1">100*(sim!$C$3+NORMSINV(RAND())*sim!$C$4)</f>
        <v>0.83815495495853776</v>
      </c>
    </row>
    <row r="183" spans="1:2">
      <c r="A183" s="24">
        <v>179</v>
      </c>
      <c r="B183" s="25">
        <f ca="1">100*(sim!$C$3+NORMSINV(RAND())*sim!$C$4)</f>
        <v>2.8045460872537591</v>
      </c>
    </row>
    <row r="184" spans="1:2">
      <c r="A184" s="24">
        <v>180</v>
      </c>
      <c r="B184" s="25">
        <f ca="1">100*(sim!$C$3+NORMSINV(RAND())*sim!$C$4)</f>
        <v>3.9018041789209139</v>
      </c>
    </row>
    <row r="185" spans="1:2">
      <c r="A185" s="24">
        <v>181</v>
      </c>
      <c r="B185" s="25">
        <f ca="1">100*(sim!$C$3+NORMSINV(RAND())*sim!$C$4)</f>
        <v>2.7897756711729764</v>
      </c>
    </row>
    <row r="186" spans="1:2">
      <c r="A186" s="24">
        <v>182</v>
      </c>
      <c r="B186" s="25">
        <f ca="1">100*(sim!$C$3+NORMSINV(RAND())*sim!$C$4)</f>
        <v>2.318431504769173</v>
      </c>
    </row>
    <row r="187" spans="1:2">
      <c r="A187" s="24">
        <v>183</v>
      </c>
      <c r="B187" s="25">
        <f ca="1">100*(sim!$C$3+NORMSINV(RAND())*sim!$C$4)</f>
        <v>2.8762118880855172</v>
      </c>
    </row>
    <row r="188" spans="1:2">
      <c r="A188" s="24">
        <v>184</v>
      </c>
      <c r="B188" s="25">
        <f ca="1">100*(sim!$C$3+NORMSINV(RAND())*sim!$C$4)</f>
        <v>2.5369752311746931</v>
      </c>
    </row>
    <row r="189" spans="1:2">
      <c r="A189" s="24">
        <v>185</v>
      </c>
      <c r="B189" s="25">
        <f ca="1">100*(sim!$C$3+NORMSINV(RAND())*sim!$C$4)</f>
        <v>1.7067838736132008</v>
      </c>
    </row>
    <row r="190" spans="1:2">
      <c r="A190" s="24">
        <v>186</v>
      </c>
      <c r="B190" s="25">
        <f ca="1">100*(sim!$C$3+NORMSINV(RAND())*sim!$C$4)</f>
        <v>3.1164240346775793</v>
      </c>
    </row>
    <row r="191" spans="1:2">
      <c r="A191" s="24">
        <v>187</v>
      </c>
      <c r="B191" s="25">
        <f ca="1">100*(sim!$C$3+NORMSINV(RAND())*sim!$C$4)</f>
        <v>1.9096377716580002</v>
      </c>
    </row>
    <row r="192" spans="1:2">
      <c r="A192" s="24">
        <v>188</v>
      </c>
      <c r="B192" s="25">
        <f ca="1">100*(sim!$C$3+NORMSINV(RAND())*sim!$C$4)</f>
        <v>2.277510884352473</v>
      </c>
    </row>
    <row r="193" spans="1:2">
      <c r="A193" s="24">
        <v>189</v>
      </c>
      <c r="B193" s="25">
        <f ca="1">100*(sim!$C$3+NORMSINV(RAND())*sim!$C$4)</f>
        <v>2.795315022910442</v>
      </c>
    </row>
    <row r="194" spans="1:2">
      <c r="A194" s="24">
        <v>190</v>
      </c>
      <c r="B194" s="25">
        <f ca="1">100*(sim!$C$3+NORMSINV(RAND())*sim!$C$4)</f>
        <v>1.3128410372826658</v>
      </c>
    </row>
    <row r="195" spans="1:2">
      <c r="A195" s="24">
        <v>191</v>
      </c>
      <c r="B195" s="25">
        <f ca="1">100*(sim!$C$3+NORMSINV(RAND())*sim!$C$4)</f>
        <v>1.3455523135085363</v>
      </c>
    </row>
    <row r="196" spans="1:2">
      <c r="A196" s="24">
        <v>192</v>
      </c>
      <c r="B196" s="25">
        <f ca="1">100*(sim!$C$3+NORMSINV(RAND())*sim!$C$4)</f>
        <v>1.5760372416050439</v>
      </c>
    </row>
    <row r="197" spans="1:2">
      <c r="A197" s="24">
        <v>193</v>
      </c>
      <c r="B197" s="25">
        <f ca="1">100*(sim!$C$3+NORMSINV(RAND())*sim!$C$4)</f>
        <v>2.6332923553509571</v>
      </c>
    </row>
    <row r="198" spans="1:2">
      <c r="A198" s="24">
        <v>194</v>
      </c>
      <c r="B198" s="25">
        <f ca="1">100*(sim!$C$3+NORMSINV(RAND())*sim!$C$4)</f>
        <v>3.2192731045402212</v>
      </c>
    </row>
    <row r="199" spans="1:2">
      <c r="A199" s="24">
        <v>195</v>
      </c>
      <c r="B199" s="25">
        <f ca="1">100*(sim!$C$3+NORMSINV(RAND())*sim!$C$4)</f>
        <v>2.4469786907689075</v>
      </c>
    </row>
    <row r="200" spans="1:2">
      <c r="A200" s="24">
        <v>196</v>
      </c>
      <c r="B200" s="25">
        <f ca="1">100*(sim!$C$3+NORMSINV(RAND())*sim!$C$4)</f>
        <v>-0.36539169331279642</v>
      </c>
    </row>
    <row r="201" spans="1:2">
      <c r="A201" s="24">
        <v>197</v>
      </c>
      <c r="B201" s="25">
        <f ca="1">100*(sim!$C$3+NORMSINV(RAND())*sim!$C$4)</f>
        <v>2.671107405716779</v>
      </c>
    </row>
    <row r="202" spans="1:2">
      <c r="A202" s="24">
        <v>198</v>
      </c>
      <c r="B202" s="25">
        <f ca="1">100*(sim!$C$3+NORMSINV(RAND())*sim!$C$4)</f>
        <v>1.5060302610689091</v>
      </c>
    </row>
    <row r="203" spans="1:2">
      <c r="A203" s="24">
        <v>199</v>
      </c>
      <c r="B203" s="25">
        <f ca="1">100*(sim!$C$3+NORMSINV(RAND())*sim!$C$4)</f>
        <v>2.3882713537850324</v>
      </c>
    </row>
    <row r="204" spans="1:2">
      <c r="A204" s="24">
        <v>200</v>
      </c>
      <c r="B204" s="25">
        <f ca="1">100*(sim!$C$3+NORMSINV(RAND())*sim!$C$4)</f>
        <v>3.1916610181625527</v>
      </c>
    </row>
    <row r="205" spans="1:2">
      <c r="A205" s="24">
        <v>201</v>
      </c>
      <c r="B205" s="25">
        <f ca="1">100*(sim!$C$3+NORMSINV(RAND())*sim!$C$4)</f>
        <v>2.4769645967964138</v>
      </c>
    </row>
    <row r="206" spans="1:2">
      <c r="A206" s="24">
        <v>202</v>
      </c>
      <c r="B206" s="25">
        <f ca="1">100*(sim!$C$3+NORMSINV(RAND())*sim!$C$4)</f>
        <v>2.4225277027356449</v>
      </c>
    </row>
    <row r="207" spans="1:2">
      <c r="A207" s="24">
        <v>203</v>
      </c>
      <c r="B207" s="25">
        <f ca="1">100*(sim!$C$3+NORMSINV(RAND())*sim!$C$4)</f>
        <v>2.1429646696411533</v>
      </c>
    </row>
    <row r="208" spans="1:2">
      <c r="A208" s="24">
        <v>204</v>
      </c>
      <c r="B208" s="25">
        <f ca="1">100*(sim!$C$3+NORMSINV(RAND())*sim!$C$4)</f>
        <v>2.6961589689842183</v>
      </c>
    </row>
    <row r="209" spans="1:2">
      <c r="A209" s="24">
        <v>205</v>
      </c>
      <c r="B209" s="25">
        <f ca="1">100*(sim!$C$3+NORMSINV(RAND())*sim!$C$4)</f>
        <v>1.6892496246142363</v>
      </c>
    </row>
    <row r="210" spans="1:2">
      <c r="A210" s="24">
        <v>206</v>
      </c>
      <c r="B210" s="25">
        <f ca="1">100*(sim!$C$3+NORMSINV(RAND())*sim!$C$4)</f>
        <v>3.6549818405005068</v>
      </c>
    </row>
    <row r="211" spans="1:2">
      <c r="A211" s="24">
        <v>207</v>
      </c>
      <c r="B211" s="25">
        <f ca="1">100*(sim!$C$3+NORMSINV(RAND())*sim!$C$4)</f>
        <v>0.65809997973192291</v>
      </c>
    </row>
    <row r="212" spans="1:2">
      <c r="A212" s="24">
        <v>208</v>
      </c>
      <c r="B212" s="25">
        <f ca="1">100*(sim!$C$3+NORMSINV(RAND())*sim!$C$4)</f>
        <v>1.7556135460928817</v>
      </c>
    </row>
    <row r="213" spans="1:2">
      <c r="A213" s="24">
        <v>209</v>
      </c>
      <c r="B213" s="25">
        <f ca="1">100*(sim!$C$3+NORMSINV(RAND())*sim!$C$4)</f>
        <v>3.1675647034304992</v>
      </c>
    </row>
    <row r="214" spans="1:2">
      <c r="A214" s="24">
        <v>210</v>
      </c>
      <c r="B214" s="25">
        <f ca="1">100*(sim!$C$3+NORMSINV(RAND())*sim!$C$4)</f>
        <v>3.2343710049291667</v>
      </c>
    </row>
    <row r="215" spans="1:2">
      <c r="A215" s="24">
        <v>211</v>
      </c>
      <c r="B215" s="25">
        <f ca="1">100*(sim!$C$3+NORMSINV(RAND())*sim!$C$4)</f>
        <v>2.3390444136054933</v>
      </c>
    </row>
    <row r="216" spans="1:2">
      <c r="A216" s="24">
        <v>212</v>
      </c>
      <c r="B216" s="25">
        <f ca="1">100*(sim!$C$3+NORMSINV(RAND())*sim!$C$4)</f>
        <v>2.5912041417630469</v>
      </c>
    </row>
    <row r="217" spans="1:2">
      <c r="A217" s="24">
        <v>213</v>
      </c>
      <c r="B217" s="25">
        <f ca="1">100*(sim!$C$3+NORMSINV(RAND())*sim!$C$4)</f>
        <v>2.6285999408449978</v>
      </c>
    </row>
    <row r="218" spans="1:2">
      <c r="A218" s="24">
        <v>214</v>
      </c>
      <c r="B218" s="25">
        <f ca="1">100*(sim!$C$3+NORMSINV(RAND())*sim!$C$4)</f>
        <v>0.1656600174580688</v>
      </c>
    </row>
    <row r="219" spans="1:2">
      <c r="A219" s="24">
        <v>215</v>
      </c>
      <c r="B219" s="25">
        <f ca="1">100*(sim!$C$3+NORMSINV(RAND())*sim!$C$4)</f>
        <v>1.4237429074901657</v>
      </c>
    </row>
    <row r="220" spans="1:2">
      <c r="A220" s="24">
        <v>216</v>
      </c>
      <c r="B220" s="25">
        <f ca="1">100*(sim!$C$3+NORMSINV(RAND())*sim!$C$4)</f>
        <v>1.472813069653095</v>
      </c>
    </row>
    <row r="221" spans="1:2">
      <c r="A221" s="24">
        <v>217</v>
      </c>
      <c r="B221" s="25">
        <f ca="1">100*(sim!$C$3+NORMSINV(RAND())*sim!$C$4)</f>
        <v>2.0198720124614296</v>
      </c>
    </row>
    <row r="222" spans="1:2">
      <c r="A222" s="24">
        <v>218</v>
      </c>
      <c r="B222" s="25">
        <f ca="1">100*(sim!$C$3+NORMSINV(RAND())*sim!$C$4)</f>
        <v>2.899719702465843</v>
      </c>
    </row>
    <row r="223" spans="1:2">
      <c r="A223" s="24">
        <v>219</v>
      </c>
      <c r="B223" s="25">
        <f ca="1">100*(sim!$C$3+NORMSINV(RAND())*sim!$C$4)</f>
        <v>1.031628164660956</v>
      </c>
    </row>
    <row r="224" spans="1:2">
      <c r="A224" s="24">
        <v>220</v>
      </c>
      <c r="B224" s="25">
        <f ca="1">100*(sim!$C$3+NORMSINV(RAND())*sim!$C$4)</f>
        <v>2.8177061303545194</v>
      </c>
    </row>
    <row r="225" spans="1:2">
      <c r="A225" s="24">
        <v>221</v>
      </c>
      <c r="B225" s="25">
        <f ca="1">100*(sim!$C$3+NORMSINV(RAND())*sim!$C$4)</f>
        <v>1.6535450633790396</v>
      </c>
    </row>
    <row r="226" spans="1:2">
      <c r="A226" s="24">
        <v>222</v>
      </c>
      <c r="B226" s="25">
        <f ca="1">100*(sim!$C$3+NORMSINV(RAND())*sim!$C$4)</f>
        <v>2.5711364640739029</v>
      </c>
    </row>
    <row r="227" spans="1:2">
      <c r="A227" s="24">
        <v>223</v>
      </c>
      <c r="B227" s="25">
        <f ca="1">100*(sim!$C$3+NORMSINV(RAND())*sim!$C$4)</f>
        <v>0.91236544200328407</v>
      </c>
    </row>
    <row r="228" spans="1:2">
      <c r="A228" s="24">
        <v>224</v>
      </c>
      <c r="B228" s="25">
        <f ca="1">100*(sim!$C$3+NORMSINV(RAND())*sim!$C$4)</f>
        <v>2.5179223238717059</v>
      </c>
    </row>
    <row r="229" spans="1:2">
      <c r="A229" s="24">
        <v>225</v>
      </c>
      <c r="B229" s="25">
        <f ca="1">100*(sim!$C$3+NORMSINV(RAND())*sim!$C$4)</f>
        <v>1.3850713169317561</v>
      </c>
    </row>
    <row r="230" spans="1:2">
      <c r="A230" s="24">
        <v>226</v>
      </c>
      <c r="B230" s="25">
        <f ca="1">100*(sim!$C$3+NORMSINV(RAND())*sim!$C$4)</f>
        <v>1.6123586801655556</v>
      </c>
    </row>
    <row r="231" spans="1:2">
      <c r="A231" s="24">
        <v>227</v>
      </c>
      <c r="B231" s="25">
        <f ca="1">100*(sim!$C$3+NORMSINV(RAND())*sim!$C$4)</f>
        <v>1.1643690397173541</v>
      </c>
    </row>
    <row r="232" spans="1:2">
      <c r="A232" s="24">
        <v>228</v>
      </c>
      <c r="B232" s="25">
        <f ca="1">100*(sim!$C$3+NORMSINV(RAND())*sim!$C$4)</f>
        <v>2.3145382373602237</v>
      </c>
    </row>
    <row r="233" spans="1:2">
      <c r="A233" s="24">
        <v>229</v>
      </c>
      <c r="B233" s="25">
        <f ca="1">100*(sim!$C$3+NORMSINV(RAND())*sim!$C$4)</f>
        <v>3.5893344410345516</v>
      </c>
    </row>
    <row r="234" spans="1:2">
      <c r="A234" s="24">
        <v>230</v>
      </c>
      <c r="B234" s="25">
        <f ca="1">100*(sim!$C$3+NORMSINV(RAND())*sim!$C$4)</f>
        <v>1.3444694285115304</v>
      </c>
    </row>
    <row r="235" spans="1:2">
      <c r="A235" s="24">
        <v>231</v>
      </c>
      <c r="B235" s="25">
        <f ca="1">100*(sim!$C$3+NORMSINV(RAND())*sim!$C$4)</f>
        <v>0.63014771417310222</v>
      </c>
    </row>
    <row r="236" spans="1:2">
      <c r="A236" s="24">
        <v>232</v>
      </c>
      <c r="B236" s="25">
        <f ca="1">100*(sim!$C$3+NORMSINV(RAND())*sim!$C$4)</f>
        <v>3.0611480888940856</v>
      </c>
    </row>
    <row r="237" spans="1:2">
      <c r="A237" s="24">
        <v>233</v>
      </c>
      <c r="B237" s="25">
        <f ca="1">100*(sim!$C$3+NORMSINV(RAND())*sim!$C$4)</f>
        <v>1.8824740516232421</v>
      </c>
    </row>
    <row r="238" spans="1:2">
      <c r="A238" s="24">
        <v>234</v>
      </c>
      <c r="B238" s="25">
        <f ca="1">100*(sim!$C$3+NORMSINV(RAND())*sim!$C$4)</f>
        <v>2.7241821459071516</v>
      </c>
    </row>
    <row r="239" spans="1:2">
      <c r="A239" s="24">
        <v>235</v>
      </c>
      <c r="B239" s="25">
        <f ca="1">100*(sim!$C$3+NORMSINV(RAND())*sim!$C$4)</f>
        <v>0.19569997018559182</v>
      </c>
    </row>
    <row r="240" spans="1:2">
      <c r="A240" s="24">
        <v>236</v>
      </c>
      <c r="B240" s="25">
        <f ca="1">100*(sim!$C$3+NORMSINV(RAND())*sim!$C$4)</f>
        <v>2.7198921244405225</v>
      </c>
    </row>
    <row r="241" spans="1:2">
      <c r="A241" s="24">
        <v>237</v>
      </c>
      <c r="B241" s="25">
        <f ca="1">100*(sim!$C$3+NORMSINV(RAND())*sim!$C$4)</f>
        <v>2.6269016340095113</v>
      </c>
    </row>
    <row r="242" spans="1:2">
      <c r="A242" s="24">
        <v>238</v>
      </c>
      <c r="B242" s="25">
        <f ca="1">100*(sim!$C$3+NORMSINV(RAND())*sim!$C$4)</f>
        <v>2.8424955608899416</v>
      </c>
    </row>
    <row r="243" spans="1:2">
      <c r="A243" s="24">
        <v>239</v>
      </c>
      <c r="B243" s="25">
        <f ca="1">100*(sim!$C$3+NORMSINV(RAND())*sim!$C$4)</f>
        <v>2.1792661962866542</v>
      </c>
    </row>
    <row r="244" spans="1:2">
      <c r="A244" s="24">
        <v>240</v>
      </c>
      <c r="B244" s="25">
        <f ca="1">100*(sim!$C$3+NORMSINV(RAND())*sim!$C$4)</f>
        <v>3.1853004762321153</v>
      </c>
    </row>
    <row r="245" spans="1:2">
      <c r="A245" s="24">
        <v>241</v>
      </c>
      <c r="B245" s="25">
        <f ca="1">100*(sim!$C$3+NORMSINV(RAND())*sim!$C$4)</f>
        <v>1.2410869375023055</v>
      </c>
    </row>
    <row r="246" spans="1:2">
      <c r="A246" s="24">
        <v>242</v>
      </c>
      <c r="B246" s="25">
        <f ca="1">100*(sim!$C$3+NORMSINV(RAND())*sim!$C$4)</f>
        <v>2.5753143726596233</v>
      </c>
    </row>
    <row r="247" spans="1:2">
      <c r="A247" s="24">
        <v>243</v>
      </c>
      <c r="B247" s="25">
        <f ca="1">100*(sim!$C$3+NORMSINV(RAND())*sim!$C$4)</f>
        <v>-0.59186093117885408</v>
      </c>
    </row>
    <row r="248" spans="1:2">
      <c r="A248" s="24">
        <v>244</v>
      </c>
      <c r="B248" s="25">
        <f ca="1">100*(sim!$C$3+NORMSINV(RAND())*sim!$C$4)</f>
        <v>1.2588142364376291</v>
      </c>
    </row>
    <row r="249" spans="1:2">
      <c r="A249" s="24">
        <v>245</v>
      </c>
      <c r="B249" s="25">
        <f ca="1">100*(sim!$C$3+NORMSINV(RAND())*sim!$C$4)</f>
        <v>2.1348826165137011</v>
      </c>
    </row>
    <row r="250" spans="1:2">
      <c r="A250" s="24">
        <v>246</v>
      </c>
      <c r="B250" s="25">
        <f ca="1">100*(sim!$C$3+NORMSINV(RAND())*sim!$C$4)</f>
        <v>1.376854563832556</v>
      </c>
    </row>
    <row r="251" spans="1:2">
      <c r="A251" s="24">
        <v>247</v>
      </c>
      <c r="B251" s="25">
        <f ca="1">100*(sim!$C$3+NORMSINV(RAND())*sim!$C$4)</f>
        <v>1.144122855048735</v>
      </c>
    </row>
    <row r="252" spans="1:2">
      <c r="A252" s="24">
        <v>248</v>
      </c>
      <c r="B252" s="25">
        <f ca="1">100*(sim!$C$3+NORMSINV(RAND())*sim!$C$4)</f>
        <v>2.4282244438432876</v>
      </c>
    </row>
    <row r="253" spans="1:2">
      <c r="A253" s="24">
        <v>249</v>
      </c>
      <c r="B253" s="25">
        <f ca="1">100*(sim!$C$3+NORMSINV(RAND())*sim!$C$4)</f>
        <v>4.0509120089606346E-2</v>
      </c>
    </row>
    <row r="254" spans="1:2">
      <c r="A254" s="24">
        <v>250</v>
      </c>
      <c r="B254" s="25">
        <f ca="1">100*(sim!$C$3+NORMSINV(RAND())*sim!$C$4)</f>
        <v>1.6841607485354146</v>
      </c>
    </row>
    <row r="255" spans="1:2">
      <c r="A255" s="24">
        <v>251</v>
      </c>
      <c r="B255" s="25">
        <f ca="1">100*(sim!$C$3+NORMSINV(RAND())*sim!$C$4)</f>
        <v>2.2694220075620679</v>
      </c>
    </row>
    <row r="256" spans="1:2">
      <c r="A256" s="24">
        <v>252</v>
      </c>
      <c r="B256" s="25">
        <f ca="1">100*(sim!$C$3+NORMSINV(RAND())*sim!$C$4)</f>
        <v>1.5240099865489978</v>
      </c>
    </row>
    <row r="257" spans="1:2">
      <c r="A257" s="24">
        <v>253</v>
      </c>
      <c r="B257" s="25">
        <f ca="1">100*(sim!$C$3+NORMSINV(RAND())*sim!$C$4)</f>
        <v>1.8654682277005463</v>
      </c>
    </row>
    <row r="258" spans="1:2">
      <c r="A258" s="24">
        <v>254</v>
      </c>
      <c r="B258" s="25">
        <f ca="1">100*(sim!$C$3+NORMSINV(RAND())*sim!$C$4)</f>
        <v>2.1250882566959928</v>
      </c>
    </row>
    <row r="259" spans="1:2">
      <c r="A259" s="24">
        <v>255</v>
      </c>
      <c r="B259" s="25">
        <f ca="1">100*(sim!$C$3+NORMSINV(RAND())*sim!$C$4)</f>
        <v>0.99267076331696136</v>
      </c>
    </row>
    <row r="260" spans="1:2">
      <c r="A260" s="24">
        <v>256</v>
      </c>
      <c r="B260" s="25">
        <f ca="1">100*(sim!$C$3+NORMSINV(RAND())*sim!$C$4)</f>
        <v>2.482919001241676</v>
      </c>
    </row>
    <row r="261" spans="1:2">
      <c r="A261" s="24">
        <v>257</v>
      </c>
      <c r="B261" s="25">
        <f ca="1">100*(sim!$C$3+NORMSINV(RAND())*sim!$C$4)</f>
        <v>1.377924367261028</v>
      </c>
    </row>
    <row r="262" spans="1:2">
      <c r="A262" s="24">
        <v>258</v>
      </c>
      <c r="B262" s="25">
        <f ca="1">100*(sim!$C$3+NORMSINV(RAND())*sim!$C$4)</f>
        <v>1.046744471837739</v>
      </c>
    </row>
    <row r="263" spans="1:2">
      <c r="A263" s="24">
        <v>259</v>
      </c>
      <c r="B263" s="25">
        <f ca="1">100*(sim!$C$3+NORMSINV(RAND())*sim!$C$4)</f>
        <v>0.68357788938179331</v>
      </c>
    </row>
    <row r="264" spans="1:2">
      <c r="A264" s="24">
        <v>260</v>
      </c>
      <c r="B264" s="25">
        <f ca="1">100*(sim!$C$3+NORMSINV(RAND())*sim!$C$4)</f>
        <v>2.5354161665237434</v>
      </c>
    </row>
    <row r="265" spans="1:2">
      <c r="A265" s="24">
        <v>261</v>
      </c>
      <c r="B265" s="25">
        <f ca="1">100*(sim!$C$3+NORMSINV(RAND())*sim!$C$4)</f>
        <v>2.2275552873963154</v>
      </c>
    </row>
    <row r="266" spans="1:2">
      <c r="A266" s="24">
        <v>262</v>
      </c>
      <c r="B266" s="25">
        <f ca="1">100*(sim!$C$3+NORMSINV(RAND())*sim!$C$4)</f>
        <v>1.3585791873853743</v>
      </c>
    </row>
    <row r="267" spans="1:2">
      <c r="A267" s="24">
        <v>263</v>
      </c>
      <c r="B267" s="25">
        <f ca="1">100*(sim!$C$3+NORMSINV(RAND())*sim!$C$4)</f>
        <v>3.4609226085767895</v>
      </c>
    </row>
    <row r="268" spans="1:2">
      <c r="A268" s="24">
        <v>264</v>
      </c>
      <c r="B268" s="25">
        <f ca="1">100*(sim!$C$3+NORMSINV(RAND())*sim!$C$4)</f>
        <v>2.6393133509609785</v>
      </c>
    </row>
    <row r="269" spans="1:2">
      <c r="A269" s="24">
        <v>265</v>
      </c>
      <c r="B269" s="25">
        <f ca="1">100*(sim!$C$3+NORMSINV(RAND())*sim!$C$4)</f>
        <v>1.6519139920361172</v>
      </c>
    </row>
    <row r="270" spans="1:2">
      <c r="A270" s="24">
        <v>266</v>
      </c>
      <c r="B270" s="25">
        <f ca="1">100*(sim!$C$3+NORMSINV(RAND())*sim!$C$4)</f>
        <v>1.8904177077778521</v>
      </c>
    </row>
    <row r="271" spans="1:2">
      <c r="A271" s="24">
        <v>267</v>
      </c>
      <c r="B271" s="25">
        <f ca="1">100*(sim!$C$3+NORMSINV(RAND())*sim!$C$4)</f>
        <v>3.3129812039547333</v>
      </c>
    </row>
    <row r="272" spans="1:2">
      <c r="A272" s="24">
        <v>268</v>
      </c>
      <c r="B272" s="25">
        <f ca="1">100*(sim!$C$3+NORMSINV(RAND())*sim!$C$4)</f>
        <v>1.0874106725584083</v>
      </c>
    </row>
    <row r="273" spans="1:2">
      <c r="A273" s="24">
        <v>269</v>
      </c>
      <c r="B273" s="25">
        <f ca="1">100*(sim!$C$3+NORMSINV(RAND())*sim!$C$4)</f>
        <v>1.1527809205806736</v>
      </c>
    </row>
    <row r="274" spans="1:2">
      <c r="A274" s="24">
        <v>270</v>
      </c>
      <c r="B274" s="25">
        <f ca="1">100*(sim!$C$3+NORMSINV(RAND())*sim!$C$4)</f>
        <v>1.785595244201742</v>
      </c>
    </row>
    <row r="275" spans="1:2">
      <c r="A275" s="24">
        <v>271</v>
      </c>
      <c r="B275" s="25">
        <f ca="1">100*(sim!$C$3+NORMSINV(RAND())*sim!$C$4)</f>
        <v>0.50883645096952113</v>
      </c>
    </row>
    <row r="276" spans="1:2">
      <c r="A276" s="24">
        <v>272</v>
      </c>
      <c r="B276" s="25">
        <f ca="1">100*(sim!$C$3+NORMSINV(RAND())*sim!$C$4)</f>
        <v>1.8902659324790607</v>
      </c>
    </row>
    <row r="277" spans="1:2">
      <c r="A277" s="24">
        <v>273</v>
      </c>
      <c r="B277" s="25">
        <f ca="1">100*(sim!$C$3+NORMSINV(RAND())*sim!$C$4)</f>
        <v>2.5911686025034966</v>
      </c>
    </row>
    <row r="278" spans="1:2">
      <c r="A278" s="24">
        <v>274</v>
      </c>
      <c r="B278" s="25">
        <f ca="1">100*(sim!$C$3+NORMSINV(RAND())*sim!$C$4)</f>
        <v>0.92039156855417625</v>
      </c>
    </row>
    <row r="279" spans="1:2">
      <c r="A279" s="24">
        <v>275</v>
      </c>
      <c r="B279" s="25">
        <f ca="1">100*(sim!$C$3+NORMSINV(RAND())*sim!$C$4)</f>
        <v>1.5556724495566399</v>
      </c>
    </row>
    <row r="280" spans="1:2">
      <c r="A280" s="24">
        <v>276</v>
      </c>
      <c r="B280" s="25">
        <f ca="1">100*(sim!$C$3+NORMSINV(RAND())*sim!$C$4)</f>
        <v>1.1956578169489038</v>
      </c>
    </row>
    <row r="281" spans="1:2">
      <c r="A281" s="24">
        <v>277</v>
      </c>
      <c r="B281" s="25">
        <f ca="1">100*(sim!$C$3+NORMSINV(RAND())*sim!$C$4)</f>
        <v>2.214443746777035</v>
      </c>
    </row>
    <row r="282" spans="1:2">
      <c r="A282" s="24">
        <v>278</v>
      </c>
      <c r="B282" s="25">
        <f ca="1">100*(sim!$C$3+NORMSINV(RAND())*sim!$C$4)</f>
        <v>2.1914921247524659</v>
      </c>
    </row>
    <row r="283" spans="1:2">
      <c r="A283" s="24">
        <v>279</v>
      </c>
      <c r="B283" s="25">
        <f ca="1">100*(sim!$C$3+NORMSINV(RAND())*sim!$C$4)</f>
        <v>1.8611002862048396</v>
      </c>
    </row>
    <row r="284" spans="1:2">
      <c r="A284" s="24">
        <v>280</v>
      </c>
      <c r="B284" s="25">
        <f ca="1">100*(sim!$C$3+NORMSINV(RAND())*sim!$C$4)</f>
        <v>2.5794261164505774</v>
      </c>
    </row>
    <row r="285" spans="1:2">
      <c r="A285" s="24">
        <v>281</v>
      </c>
      <c r="B285" s="25">
        <f ca="1">100*(sim!$C$3+NORMSINV(RAND())*sim!$C$4)</f>
        <v>1.9869675984705082</v>
      </c>
    </row>
    <row r="286" spans="1:2">
      <c r="A286" s="24">
        <v>282</v>
      </c>
      <c r="B286" s="25">
        <f ca="1">100*(sim!$C$3+NORMSINV(RAND())*sim!$C$4)</f>
        <v>2.8995001726446132E-2</v>
      </c>
    </row>
    <row r="287" spans="1:2">
      <c r="A287" s="24">
        <v>283</v>
      </c>
      <c r="B287" s="25">
        <f ca="1">100*(sim!$C$3+NORMSINV(RAND())*sim!$C$4)</f>
        <v>3.0732890421364636</v>
      </c>
    </row>
    <row r="288" spans="1:2">
      <c r="A288" s="24">
        <v>284</v>
      </c>
      <c r="B288" s="25">
        <f ca="1">100*(sim!$C$3+NORMSINV(RAND())*sim!$C$4)</f>
        <v>2.6684002279898089</v>
      </c>
    </row>
    <row r="289" spans="1:2">
      <c r="A289" s="24">
        <v>285</v>
      </c>
      <c r="B289" s="25">
        <f ca="1">100*(sim!$C$3+NORMSINV(RAND())*sim!$C$4)</f>
        <v>1.6355053663722876</v>
      </c>
    </row>
    <row r="290" spans="1:2">
      <c r="A290" s="24">
        <v>286</v>
      </c>
      <c r="B290" s="25">
        <f ca="1">100*(sim!$C$3+NORMSINV(RAND())*sim!$C$4)</f>
        <v>3.4876930574714899</v>
      </c>
    </row>
    <row r="291" spans="1:2">
      <c r="A291" s="24">
        <v>287</v>
      </c>
      <c r="B291" s="25">
        <f ca="1">100*(sim!$C$3+NORMSINV(RAND())*sim!$C$4)</f>
        <v>1.5963595628867684</v>
      </c>
    </row>
    <row r="292" spans="1:2">
      <c r="A292" s="24">
        <v>288</v>
      </c>
      <c r="B292" s="25">
        <f ca="1">100*(sim!$C$3+NORMSINV(RAND())*sim!$C$4)</f>
        <v>1.4068259088914066</v>
      </c>
    </row>
    <row r="293" spans="1:2">
      <c r="A293" s="24">
        <v>289</v>
      </c>
      <c r="B293" s="25">
        <f ca="1">100*(sim!$C$3+NORMSINV(RAND())*sim!$C$4)</f>
        <v>1.2847572953708253</v>
      </c>
    </row>
    <row r="294" spans="1:2">
      <c r="A294" s="24">
        <v>290</v>
      </c>
      <c r="B294" s="25">
        <f ca="1">100*(sim!$C$3+NORMSINV(RAND())*sim!$C$4)</f>
        <v>0.73338403924654039</v>
      </c>
    </row>
    <row r="295" spans="1:2">
      <c r="A295" s="24">
        <v>291</v>
      </c>
      <c r="B295" s="25">
        <f ca="1">100*(sim!$C$3+NORMSINV(RAND())*sim!$C$4)</f>
        <v>1.7164247431287332</v>
      </c>
    </row>
    <row r="296" spans="1:2">
      <c r="A296" s="24">
        <v>292</v>
      </c>
      <c r="B296" s="25">
        <f ca="1">100*(sim!$C$3+NORMSINV(RAND())*sim!$C$4)</f>
        <v>0.87435575761892848</v>
      </c>
    </row>
    <row r="297" spans="1:2">
      <c r="A297" s="24">
        <v>293</v>
      </c>
      <c r="B297" s="25">
        <f ca="1">100*(sim!$C$3+NORMSINV(RAND())*sim!$C$4)</f>
        <v>1.9202767438950723</v>
      </c>
    </row>
    <row r="298" spans="1:2">
      <c r="A298" s="24">
        <v>294</v>
      </c>
      <c r="B298" s="25">
        <f ca="1">100*(sim!$C$3+NORMSINV(RAND())*sim!$C$4)</f>
        <v>1.5446220081149424</v>
      </c>
    </row>
    <row r="299" spans="1:2">
      <c r="A299" s="24">
        <v>295</v>
      </c>
      <c r="B299" s="25">
        <f ca="1">100*(sim!$C$3+NORMSINV(RAND())*sim!$C$4)</f>
        <v>3.4706620991779507</v>
      </c>
    </row>
    <row r="300" spans="1:2">
      <c r="A300" s="24">
        <v>296</v>
      </c>
      <c r="B300" s="25">
        <f ca="1">100*(sim!$C$3+NORMSINV(RAND())*sim!$C$4)</f>
        <v>1.618780046068198</v>
      </c>
    </row>
    <row r="301" spans="1:2">
      <c r="A301" s="24">
        <v>297</v>
      </c>
      <c r="B301" s="25">
        <f ca="1">100*(sim!$C$3+NORMSINV(RAND())*sim!$C$4)</f>
        <v>1.9960204458636635</v>
      </c>
    </row>
    <row r="302" spans="1:2">
      <c r="A302" s="24">
        <v>298</v>
      </c>
      <c r="B302" s="25">
        <f ca="1">100*(sim!$C$3+NORMSINV(RAND())*sim!$C$4)</f>
        <v>1.6747151381908278</v>
      </c>
    </row>
    <row r="303" spans="1:2">
      <c r="A303" s="24">
        <v>299</v>
      </c>
      <c r="B303" s="25">
        <f ca="1">100*(sim!$C$3+NORMSINV(RAND())*sim!$C$4)</f>
        <v>1.3290555812734663</v>
      </c>
    </row>
    <row r="304" spans="1:2">
      <c r="A304" s="24">
        <v>300</v>
      </c>
      <c r="B304" s="25">
        <f ca="1">100*(sim!$C$3+NORMSINV(RAND())*sim!$C$4)</f>
        <v>2.7787621424313143</v>
      </c>
    </row>
    <row r="305" spans="1:2">
      <c r="A305" s="24">
        <v>301</v>
      </c>
      <c r="B305" s="25">
        <f ca="1">100*(sim!$C$3+NORMSINV(RAND())*sim!$C$4)</f>
        <v>3.6143651945971662</v>
      </c>
    </row>
    <row r="306" spans="1:2">
      <c r="A306" s="24">
        <v>302</v>
      </c>
      <c r="B306" s="25">
        <f ca="1">100*(sim!$C$3+NORMSINV(RAND())*sim!$C$4)</f>
        <v>1.8464853794382223</v>
      </c>
    </row>
    <row r="307" spans="1:2">
      <c r="A307" s="24">
        <v>303</v>
      </c>
      <c r="B307" s="25">
        <f ca="1">100*(sim!$C$3+NORMSINV(RAND())*sim!$C$4)</f>
        <v>2.912523875027234</v>
      </c>
    </row>
    <row r="308" spans="1:2">
      <c r="A308" s="24">
        <v>304</v>
      </c>
      <c r="B308" s="25">
        <f ca="1">100*(sim!$C$3+NORMSINV(RAND())*sim!$C$4)</f>
        <v>1.9519597439181364</v>
      </c>
    </row>
    <row r="309" spans="1:2">
      <c r="A309" s="24">
        <v>305</v>
      </c>
      <c r="B309" s="25">
        <f ca="1">100*(sim!$C$3+NORMSINV(RAND())*sim!$C$4)</f>
        <v>2.2499902306293618</v>
      </c>
    </row>
    <row r="310" spans="1:2">
      <c r="A310" s="24">
        <v>306</v>
      </c>
      <c r="B310" s="25">
        <f ca="1">100*(sim!$C$3+NORMSINV(RAND())*sim!$C$4)</f>
        <v>3.7570630390810362</v>
      </c>
    </row>
    <row r="311" spans="1:2">
      <c r="A311" s="24">
        <v>307</v>
      </c>
      <c r="B311" s="25">
        <f ca="1">100*(sim!$C$3+NORMSINV(RAND())*sim!$C$4)</f>
        <v>0.78031309899309242</v>
      </c>
    </row>
    <row r="312" spans="1:2">
      <c r="A312" s="24">
        <v>308</v>
      </c>
      <c r="B312" s="25">
        <f ca="1">100*(sim!$C$3+NORMSINV(RAND())*sim!$C$4)</f>
        <v>1.9361856186162263</v>
      </c>
    </row>
    <row r="313" spans="1:2">
      <c r="A313" s="24">
        <v>309</v>
      </c>
      <c r="B313" s="25">
        <f ca="1">100*(sim!$C$3+NORMSINV(RAND())*sim!$C$4)</f>
        <v>2.0974950733084974</v>
      </c>
    </row>
    <row r="314" spans="1:2">
      <c r="A314" s="24">
        <v>310</v>
      </c>
      <c r="B314" s="25">
        <f ca="1">100*(sim!$C$3+NORMSINV(RAND())*sim!$C$4)</f>
        <v>3.0382531361257819</v>
      </c>
    </row>
    <row r="315" spans="1:2">
      <c r="A315" s="24">
        <v>311</v>
      </c>
      <c r="B315" s="25">
        <f ca="1">100*(sim!$C$3+NORMSINV(RAND())*sim!$C$4)</f>
        <v>4.6839382634566853</v>
      </c>
    </row>
    <row r="316" spans="1:2">
      <c r="A316" s="24">
        <v>312</v>
      </c>
      <c r="B316" s="25">
        <f ca="1">100*(sim!$C$3+NORMSINV(RAND())*sim!$C$4)</f>
        <v>2.0349129954327561</v>
      </c>
    </row>
    <row r="317" spans="1:2">
      <c r="A317" s="24">
        <v>313</v>
      </c>
      <c r="B317" s="25">
        <f ca="1">100*(sim!$C$3+NORMSINV(RAND())*sim!$C$4)</f>
        <v>1.9615928242829088</v>
      </c>
    </row>
    <row r="318" spans="1:2">
      <c r="A318" s="24">
        <v>314</v>
      </c>
      <c r="B318" s="25">
        <f ca="1">100*(sim!$C$3+NORMSINV(RAND())*sim!$C$4)</f>
        <v>-0.42642100324829685</v>
      </c>
    </row>
    <row r="319" spans="1:2">
      <c r="A319" s="24">
        <v>315</v>
      </c>
      <c r="B319" s="25">
        <f ca="1">100*(sim!$C$3+NORMSINV(RAND())*sim!$C$4)</f>
        <v>2.565287846670016</v>
      </c>
    </row>
    <row r="320" spans="1:2">
      <c r="A320" s="24">
        <v>316</v>
      </c>
      <c r="B320" s="25">
        <f ca="1">100*(sim!$C$3+NORMSINV(RAND())*sim!$C$4)</f>
        <v>0.83048080678033132</v>
      </c>
    </row>
    <row r="321" spans="1:2">
      <c r="A321" s="24">
        <v>317</v>
      </c>
      <c r="B321" s="25">
        <f ca="1">100*(sim!$C$3+NORMSINV(RAND())*sim!$C$4)</f>
        <v>3.662136767573422</v>
      </c>
    </row>
    <row r="322" spans="1:2">
      <c r="A322" s="24">
        <v>318</v>
      </c>
      <c r="B322" s="25">
        <f ca="1">100*(sim!$C$3+NORMSINV(RAND())*sim!$C$4)</f>
        <v>0.99305131492726817</v>
      </c>
    </row>
    <row r="323" spans="1:2">
      <c r="A323" s="24">
        <v>319</v>
      </c>
      <c r="B323" s="25">
        <f ca="1">100*(sim!$C$3+NORMSINV(RAND())*sim!$C$4)</f>
        <v>1.2619866582597419</v>
      </c>
    </row>
    <row r="324" spans="1:2">
      <c r="A324" s="24">
        <v>320</v>
      </c>
      <c r="B324" s="25">
        <f ca="1">100*(sim!$C$3+NORMSINV(RAND())*sim!$C$4)</f>
        <v>1.6602518685067877</v>
      </c>
    </row>
    <row r="325" spans="1:2">
      <c r="A325" s="24">
        <v>321</v>
      </c>
      <c r="B325" s="25">
        <f ca="1">100*(sim!$C$3+NORMSINV(RAND())*sim!$C$4)</f>
        <v>2.3339494822252385</v>
      </c>
    </row>
    <row r="326" spans="1:2">
      <c r="A326" s="24">
        <v>322</v>
      </c>
      <c r="B326" s="25">
        <f ca="1">100*(sim!$C$3+NORMSINV(RAND())*sim!$C$4)</f>
        <v>2.8830691918726203</v>
      </c>
    </row>
    <row r="327" spans="1:2">
      <c r="A327" s="24">
        <v>323</v>
      </c>
      <c r="B327" s="25">
        <f ca="1">100*(sim!$C$3+NORMSINV(RAND())*sim!$C$4)</f>
        <v>1.7557669399534077</v>
      </c>
    </row>
    <row r="328" spans="1:2">
      <c r="A328" s="24">
        <v>324</v>
      </c>
      <c r="B328" s="25">
        <f ca="1">100*(sim!$C$3+NORMSINV(RAND())*sim!$C$4)</f>
        <v>0.57455076676950645</v>
      </c>
    </row>
    <row r="329" spans="1:2">
      <c r="A329" s="24">
        <v>325</v>
      </c>
      <c r="B329" s="25">
        <f ca="1">100*(sim!$C$3+NORMSINV(RAND())*sim!$C$4)</f>
        <v>2.0047045114875499</v>
      </c>
    </row>
    <row r="330" spans="1:2">
      <c r="A330" s="24">
        <v>326</v>
      </c>
      <c r="B330" s="25">
        <f ca="1">100*(sim!$C$3+NORMSINV(RAND())*sim!$C$4)</f>
        <v>1.2934328207967261</v>
      </c>
    </row>
    <row r="331" spans="1:2">
      <c r="A331" s="24">
        <v>327</v>
      </c>
      <c r="B331" s="25">
        <f ca="1">100*(sim!$C$3+NORMSINV(RAND())*sim!$C$4)</f>
        <v>1.1552631827639812</v>
      </c>
    </row>
    <row r="332" spans="1:2">
      <c r="A332" s="24">
        <v>328</v>
      </c>
      <c r="B332" s="25">
        <f ca="1">100*(sim!$C$3+NORMSINV(RAND())*sim!$C$4)</f>
        <v>3.0555376840538937</v>
      </c>
    </row>
    <row r="333" spans="1:2">
      <c r="A333" s="24">
        <v>329</v>
      </c>
      <c r="B333" s="25">
        <f ca="1">100*(sim!$C$3+NORMSINV(RAND())*sim!$C$4)</f>
        <v>2.7327632247177065</v>
      </c>
    </row>
    <row r="334" spans="1:2">
      <c r="A334" s="24">
        <v>330</v>
      </c>
      <c r="B334" s="25">
        <f ca="1">100*(sim!$C$3+NORMSINV(RAND())*sim!$C$4)</f>
        <v>2.8044422691997735</v>
      </c>
    </row>
    <row r="335" spans="1:2">
      <c r="A335" s="24">
        <v>331</v>
      </c>
      <c r="B335" s="25">
        <f ca="1">100*(sim!$C$3+NORMSINV(RAND())*sim!$C$4)</f>
        <v>3.6642826685210772</v>
      </c>
    </row>
    <row r="336" spans="1:2">
      <c r="A336" s="24">
        <v>332</v>
      </c>
      <c r="B336" s="25">
        <f ca="1">100*(sim!$C$3+NORMSINV(RAND())*sim!$C$4)</f>
        <v>2.6900163949784326</v>
      </c>
    </row>
    <row r="337" spans="1:2">
      <c r="A337" s="24">
        <v>333</v>
      </c>
      <c r="B337" s="25">
        <f ca="1">100*(sim!$C$3+NORMSINV(RAND())*sim!$C$4)</f>
        <v>2.4825940843615104</v>
      </c>
    </row>
    <row r="338" spans="1:2">
      <c r="A338" s="24">
        <v>334</v>
      </c>
      <c r="B338" s="25">
        <f ca="1">100*(sim!$C$3+NORMSINV(RAND())*sim!$C$4)</f>
        <v>2.1317194325246742</v>
      </c>
    </row>
    <row r="339" spans="1:2">
      <c r="A339" s="24">
        <v>335</v>
      </c>
      <c r="B339" s="25">
        <f ca="1">100*(sim!$C$3+NORMSINV(RAND())*sim!$C$4)</f>
        <v>2.355670120650565</v>
      </c>
    </row>
    <row r="340" spans="1:2">
      <c r="A340" s="24">
        <v>336</v>
      </c>
      <c r="B340" s="25">
        <f ca="1">100*(sim!$C$3+NORMSINV(RAND())*sim!$C$4)</f>
        <v>1.2281731405484306</v>
      </c>
    </row>
    <row r="341" spans="1:2">
      <c r="A341" s="24">
        <v>337</v>
      </c>
      <c r="B341" s="25">
        <f ca="1">100*(sim!$C$3+NORMSINV(RAND())*sim!$C$4)</f>
        <v>0.5664880381564884</v>
      </c>
    </row>
    <row r="342" spans="1:2">
      <c r="A342" s="24">
        <v>338</v>
      </c>
      <c r="B342" s="25">
        <f ca="1">100*(sim!$C$3+NORMSINV(RAND())*sim!$C$4)</f>
        <v>1.2249790154520663</v>
      </c>
    </row>
    <row r="343" spans="1:2">
      <c r="A343" s="24">
        <v>339</v>
      </c>
      <c r="B343" s="25">
        <f ca="1">100*(sim!$C$3+NORMSINV(RAND())*sim!$C$4)</f>
        <v>2.9971233032348708</v>
      </c>
    </row>
    <row r="344" spans="1:2">
      <c r="A344" s="24">
        <v>340</v>
      </c>
      <c r="B344" s="25">
        <f ca="1">100*(sim!$C$3+NORMSINV(RAND())*sim!$C$4)</f>
        <v>0.33453069514702527</v>
      </c>
    </row>
    <row r="345" spans="1:2">
      <c r="A345" s="24">
        <v>341</v>
      </c>
      <c r="B345" s="25">
        <f ca="1">100*(sim!$C$3+NORMSINV(RAND())*sim!$C$4)</f>
        <v>0.50139915534159929</v>
      </c>
    </row>
    <row r="346" spans="1:2">
      <c r="A346" s="24">
        <v>342</v>
      </c>
      <c r="B346" s="25">
        <f ca="1">100*(sim!$C$3+NORMSINV(RAND())*sim!$C$4)</f>
        <v>3.2271379801972144</v>
      </c>
    </row>
    <row r="347" spans="1:2">
      <c r="A347" s="24">
        <v>343</v>
      </c>
      <c r="B347" s="25">
        <f ca="1">100*(sim!$C$3+NORMSINV(RAND())*sim!$C$4)</f>
        <v>2.43664234392527</v>
      </c>
    </row>
    <row r="348" spans="1:2">
      <c r="A348" s="24">
        <v>344</v>
      </c>
      <c r="B348" s="25">
        <f ca="1">100*(sim!$C$3+NORMSINV(RAND())*sim!$C$4)</f>
        <v>1.7570995234251854</v>
      </c>
    </row>
    <row r="349" spans="1:2">
      <c r="A349" s="24">
        <v>345</v>
      </c>
      <c r="B349" s="25">
        <f ca="1">100*(sim!$C$3+NORMSINV(RAND())*sim!$C$4)</f>
        <v>2.5554629241454672</v>
      </c>
    </row>
    <row r="350" spans="1:2">
      <c r="A350" s="24">
        <v>346</v>
      </c>
      <c r="B350" s="25">
        <f ca="1">100*(sim!$C$3+NORMSINV(RAND())*sim!$C$4)</f>
        <v>-0.44516164874172437</v>
      </c>
    </row>
    <row r="351" spans="1:2">
      <c r="A351" s="24">
        <v>347</v>
      </c>
      <c r="B351" s="25">
        <f ca="1">100*(sim!$C$3+NORMSINV(RAND())*sim!$C$4)</f>
        <v>0.28983604603573071</v>
      </c>
    </row>
    <row r="352" spans="1:2">
      <c r="A352" s="24">
        <v>348</v>
      </c>
      <c r="B352" s="25">
        <f ca="1">100*(sim!$C$3+NORMSINV(RAND())*sim!$C$4)</f>
        <v>2.4973818359916455</v>
      </c>
    </row>
    <row r="353" spans="1:2">
      <c r="A353" s="24">
        <v>349</v>
      </c>
      <c r="B353" s="25">
        <f ca="1">100*(sim!$C$3+NORMSINV(RAND())*sim!$C$4)</f>
        <v>3.3091065816183831</v>
      </c>
    </row>
    <row r="354" spans="1:2">
      <c r="A354" s="24">
        <v>350</v>
      </c>
      <c r="B354" s="25">
        <f ca="1">100*(sim!$C$3+NORMSINV(RAND())*sim!$C$4)</f>
        <v>2.7856317271030986</v>
      </c>
    </row>
    <row r="355" spans="1:2">
      <c r="A355" s="24">
        <v>351</v>
      </c>
      <c r="B355" s="25">
        <f ca="1">100*(sim!$C$3+NORMSINV(RAND())*sim!$C$4)</f>
        <v>2.629522216829582</v>
      </c>
    </row>
    <row r="356" spans="1:2">
      <c r="A356" s="24">
        <v>352</v>
      </c>
      <c r="B356" s="25">
        <f ca="1">100*(sim!$C$3+NORMSINV(RAND())*sim!$C$4)</f>
        <v>1.520799929120022</v>
      </c>
    </row>
    <row r="357" spans="1:2">
      <c r="A357" s="24">
        <v>353</v>
      </c>
      <c r="B357" s="25">
        <f ca="1">100*(sim!$C$3+NORMSINV(RAND())*sim!$C$4)</f>
        <v>1.972063859914555</v>
      </c>
    </row>
    <row r="358" spans="1:2">
      <c r="A358" s="24">
        <v>354</v>
      </c>
      <c r="B358" s="25">
        <f ca="1">100*(sim!$C$3+NORMSINV(RAND())*sim!$C$4)</f>
        <v>1.6185723363008337</v>
      </c>
    </row>
    <row r="359" spans="1:2">
      <c r="A359" s="24">
        <v>355</v>
      </c>
      <c r="B359" s="25">
        <f ca="1">100*(sim!$C$3+NORMSINV(RAND())*sim!$C$4)</f>
        <v>2.2100944019187936</v>
      </c>
    </row>
    <row r="360" spans="1:2">
      <c r="A360" s="24">
        <v>356</v>
      </c>
      <c r="B360" s="25">
        <f ca="1">100*(sim!$C$3+NORMSINV(RAND())*sim!$C$4)</f>
        <v>2.6155065491869101</v>
      </c>
    </row>
    <row r="361" spans="1:2">
      <c r="A361" s="24">
        <v>357</v>
      </c>
      <c r="B361" s="25">
        <f ca="1">100*(sim!$C$3+NORMSINV(RAND())*sim!$C$4)</f>
        <v>1.6082364992911904</v>
      </c>
    </row>
    <row r="362" spans="1:2">
      <c r="A362" s="24">
        <v>358</v>
      </c>
      <c r="B362" s="25">
        <f ca="1">100*(sim!$C$3+NORMSINV(RAND())*sim!$C$4)</f>
        <v>1.8079450644244248</v>
      </c>
    </row>
    <row r="363" spans="1:2">
      <c r="A363" s="24">
        <v>359</v>
      </c>
      <c r="B363" s="25">
        <f ca="1">100*(sim!$C$3+NORMSINV(RAND())*sim!$C$4)</f>
        <v>1.4974413679276141E-2</v>
      </c>
    </row>
    <row r="364" spans="1:2">
      <c r="A364" s="24">
        <v>360</v>
      </c>
      <c r="B364" s="25">
        <f ca="1">100*(sim!$C$3+NORMSINV(RAND())*sim!$C$4)</f>
        <v>1.9774852683386852</v>
      </c>
    </row>
    <row r="365" spans="1:2">
      <c r="A365" s="24">
        <v>361</v>
      </c>
      <c r="B365" s="25">
        <f ca="1">100*(sim!$C$3+NORMSINV(RAND())*sim!$C$4)</f>
        <v>2.8444266286984239</v>
      </c>
    </row>
    <row r="366" spans="1:2">
      <c r="A366" s="24">
        <v>362</v>
      </c>
      <c r="B366" s="25">
        <f ca="1">100*(sim!$C$3+NORMSINV(RAND())*sim!$C$4)</f>
        <v>1.294986741468072</v>
      </c>
    </row>
    <row r="367" spans="1:2">
      <c r="A367" s="24">
        <v>363</v>
      </c>
      <c r="B367" s="25">
        <f ca="1">100*(sim!$C$3+NORMSINV(RAND())*sim!$C$4)</f>
        <v>0.83816242796884399</v>
      </c>
    </row>
    <row r="368" spans="1:2">
      <c r="A368" s="24">
        <v>364</v>
      </c>
      <c r="B368" s="25">
        <f ca="1">100*(sim!$C$3+NORMSINV(RAND())*sim!$C$4)</f>
        <v>1.5722110018895143</v>
      </c>
    </row>
    <row r="369" spans="1:2">
      <c r="A369" s="24">
        <v>365</v>
      </c>
      <c r="B369" s="25">
        <f ca="1">100*(sim!$C$3+NORMSINV(RAND())*sim!$C$4)</f>
        <v>2.3922309833936941</v>
      </c>
    </row>
    <row r="370" spans="1:2">
      <c r="A370" s="24">
        <v>366</v>
      </c>
      <c r="B370" s="25">
        <f ca="1">100*(sim!$C$3+NORMSINV(RAND())*sim!$C$4)</f>
        <v>1.7012663237400187</v>
      </c>
    </row>
    <row r="371" spans="1:2">
      <c r="A371" s="24">
        <v>367</v>
      </c>
      <c r="B371" s="25">
        <f ca="1">100*(sim!$C$3+NORMSINV(RAND())*sim!$C$4)</f>
        <v>3.4809157066506247</v>
      </c>
    </row>
    <row r="372" spans="1:2">
      <c r="A372" s="24">
        <v>368</v>
      </c>
      <c r="B372" s="25">
        <f ca="1">100*(sim!$C$3+NORMSINV(RAND())*sim!$C$4)</f>
        <v>0.4043131869072753</v>
      </c>
    </row>
    <row r="373" spans="1:2">
      <c r="A373" s="24">
        <v>369</v>
      </c>
      <c r="B373" s="25">
        <f ca="1">100*(sim!$C$3+NORMSINV(RAND())*sim!$C$4)</f>
        <v>2.7465253582122018</v>
      </c>
    </row>
    <row r="374" spans="1:2">
      <c r="A374" s="24">
        <v>370</v>
      </c>
      <c r="B374" s="25">
        <f ca="1">100*(sim!$C$3+NORMSINV(RAND())*sim!$C$4)</f>
        <v>0.78197673033081594</v>
      </c>
    </row>
    <row r="375" spans="1:2">
      <c r="A375" s="24">
        <v>371</v>
      </c>
      <c r="B375" s="25">
        <f ca="1">100*(sim!$C$3+NORMSINV(RAND())*sim!$C$4)</f>
        <v>1.6781392045491588</v>
      </c>
    </row>
    <row r="376" spans="1:2">
      <c r="A376" s="24">
        <v>372</v>
      </c>
      <c r="B376" s="25">
        <f ca="1">100*(sim!$C$3+NORMSINV(RAND())*sim!$C$4)</f>
        <v>0.51515169981230013</v>
      </c>
    </row>
    <row r="377" spans="1:2">
      <c r="A377" s="24">
        <v>373</v>
      </c>
      <c r="B377" s="25">
        <f ca="1">100*(sim!$C$3+NORMSINV(RAND())*sim!$C$4)</f>
        <v>2.9318807860560714</v>
      </c>
    </row>
    <row r="378" spans="1:2">
      <c r="A378" s="24">
        <v>374</v>
      </c>
      <c r="B378" s="25">
        <f ca="1">100*(sim!$C$3+NORMSINV(RAND())*sim!$C$4)</f>
        <v>1.6646901281792266</v>
      </c>
    </row>
    <row r="379" spans="1:2">
      <c r="A379" s="24">
        <v>375</v>
      </c>
      <c r="B379" s="25">
        <f ca="1">100*(sim!$C$3+NORMSINV(RAND())*sim!$C$4)</f>
        <v>1.8957090502945959</v>
      </c>
    </row>
    <row r="380" spans="1:2">
      <c r="A380" s="24">
        <v>376</v>
      </c>
      <c r="B380" s="25">
        <f ca="1">100*(sim!$C$3+NORMSINV(RAND())*sim!$C$4)</f>
        <v>2.1683611123667594</v>
      </c>
    </row>
    <row r="381" spans="1:2">
      <c r="A381" s="24">
        <v>377</v>
      </c>
      <c r="B381" s="25">
        <f ca="1">100*(sim!$C$3+NORMSINV(RAND())*sim!$C$4)</f>
        <v>2.3544694160175266</v>
      </c>
    </row>
    <row r="382" spans="1:2">
      <c r="A382" s="24">
        <v>378</v>
      </c>
      <c r="B382" s="25">
        <f ca="1">100*(sim!$C$3+NORMSINV(RAND())*sim!$C$4)</f>
        <v>1.6496073621252674</v>
      </c>
    </row>
    <row r="383" spans="1:2">
      <c r="A383" s="24">
        <v>379</v>
      </c>
      <c r="B383" s="25">
        <f ca="1">100*(sim!$C$3+NORMSINV(RAND())*sim!$C$4)</f>
        <v>-5.4453319667321573E-2</v>
      </c>
    </row>
    <row r="384" spans="1:2">
      <c r="A384" s="24">
        <v>380</v>
      </c>
      <c r="B384" s="25">
        <f ca="1">100*(sim!$C$3+NORMSINV(RAND())*sim!$C$4)</f>
        <v>1.6793581467571361</v>
      </c>
    </row>
    <row r="385" spans="1:2">
      <c r="A385" s="24">
        <v>381</v>
      </c>
      <c r="B385" s="25">
        <f ca="1">100*(sim!$C$3+NORMSINV(RAND())*sim!$C$4)</f>
        <v>1.6465054912572945</v>
      </c>
    </row>
    <row r="386" spans="1:2">
      <c r="A386" s="24">
        <v>382</v>
      </c>
      <c r="B386" s="25">
        <f ca="1">100*(sim!$C$3+NORMSINV(RAND())*sim!$C$4)</f>
        <v>2.2532564036309091</v>
      </c>
    </row>
    <row r="387" spans="1:2">
      <c r="A387" s="24">
        <v>383</v>
      </c>
      <c r="B387" s="25">
        <f ca="1">100*(sim!$C$3+NORMSINV(RAND())*sim!$C$4)</f>
        <v>0.90123525698058149</v>
      </c>
    </row>
    <row r="388" spans="1:2">
      <c r="A388" s="24">
        <v>384</v>
      </c>
      <c r="B388" s="25">
        <f ca="1">100*(sim!$C$3+NORMSINV(RAND())*sim!$C$4)</f>
        <v>2.376163165657283</v>
      </c>
    </row>
    <row r="389" spans="1:2">
      <c r="A389" s="24">
        <v>385</v>
      </c>
      <c r="B389" s="25">
        <f ca="1">100*(sim!$C$3+NORMSINV(RAND())*sim!$C$4)</f>
        <v>3.8765577660672927</v>
      </c>
    </row>
    <row r="390" spans="1:2">
      <c r="A390" s="24">
        <v>386</v>
      </c>
      <c r="B390" s="25">
        <f ca="1">100*(sim!$C$3+NORMSINV(RAND())*sim!$C$4)</f>
        <v>-0.46917956069400107</v>
      </c>
    </row>
    <row r="391" spans="1:2">
      <c r="A391" s="24">
        <v>387</v>
      </c>
      <c r="B391" s="25">
        <f ca="1">100*(sim!$C$3+NORMSINV(RAND())*sim!$C$4)</f>
        <v>2.1143238641897706</v>
      </c>
    </row>
    <row r="392" spans="1:2">
      <c r="A392" s="24">
        <v>388</v>
      </c>
      <c r="B392" s="25">
        <f ca="1">100*(sim!$C$3+NORMSINV(RAND())*sim!$C$4)</f>
        <v>3.0346102875116183</v>
      </c>
    </row>
    <row r="393" spans="1:2">
      <c r="A393" s="24">
        <v>389</v>
      </c>
      <c r="B393" s="25">
        <f ca="1">100*(sim!$C$3+NORMSINV(RAND())*sim!$C$4)</f>
        <v>0.6758768245777742</v>
      </c>
    </row>
    <row r="394" spans="1:2">
      <c r="A394" s="24">
        <v>390</v>
      </c>
      <c r="B394" s="25">
        <f ca="1">100*(sim!$C$3+NORMSINV(RAND())*sim!$C$4)</f>
        <v>1.1485137143838255</v>
      </c>
    </row>
    <row r="395" spans="1:2">
      <c r="A395" s="24">
        <v>391</v>
      </c>
      <c r="B395" s="25">
        <f ca="1">100*(sim!$C$3+NORMSINV(RAND())*sim!$C$4)</f>
        <v>1.5935688664279868</v>
      </c>
    </row>
    <row r="396" spans="1:2">
      <c r="A396" s="24">
        <v>392</v>
      </c>
      <c r="B396" s="25">
        <f ca="1">100*(sim!$C$3+NORMSINV(RAND())*sim!$C$4)</f>
        <v>2.1905912314612119</v>
      </c>
    </row>
    <row r="397" spans="1:2">
      <c r="A397" s="24">
        <v>393</v>
      </c>
      <c r="B397" s="25">
        <f ca="1">100*(sim!$C$3+NORMSINV(RAND())*sim!$C$4)</f>
        <v>2.1578755917808659</v>
      </c>
    </row>
    <row r="398" spans="1:2">
      <c r="A398" s="24">
        <v>394</v>
      </c>
      <c r="B398" s="25">
        <f ca="1">100*(sim!$C$3+NORMSINV(RAND())*sim!$C$4)</f>
        <v>2.2016781282022055</v>
      </c>
    </row>
    <row r="399" spans="1:2">
      <c r="A399" s="24">
        <v>395</v>
      </c>
      <c r="B399" s="25">
        <f ca="1">100*(sim!$C$3+NORMSINV(RAND())*sim!$C$4)</f>
        <v>1.501777822804955</v>
      </c>
    </row>
    <row r="400" spans="1:2">
      <c r="A400" s="24">
        <v>396</v>
      </c>
      <c r="B400" s="25">
        <f ca="1">100*(sim!$C$3+NORMSINV(RAND())*sim!$C$4)</f>
        <v>1.8011345653185351</v>
      </c>
    </row>
    <row r="401" spans="1:2">
      <c r="A401" s="24">
        <v>397</v>
      </c>
      <c r="B401" s="25">
        <f ca="1">100*(sim!$C$3+NORMSINV(RAND())*sim!$C$4)</f>
        <v>3.6227267968830636</v>
      </c>
    </row>
    <row r="402" spans="1:2">
      <c r="A402" s="24">
        <v>398</v>
      </c>
      <c r="B402" s="25">
        <f ca="1">100*(sim!$C$3+NORMSINV(RAND())*sim!$C$4)</f>
        <v>2.070216144805809</v>
      </c>
    </row>
    <row r="403" spans="1:2">
      <c r="A403" s="24">
        <v>399</v>
      </c>
      <c r="B403" s="25">
        <f ca="1">100*(sim!$C$3+NORMSINV(RAND())*sim!$C$4)</f>
        <v>1.9207600876776487</v>
      </c>
    </row>
    <row r="404" spans="1:2">
      <c r="A404" s="24">
        <v>400</v>
      </c>
      <c r="B404" s="25">
        <f ca="1">100*(sim!$C$3+NORMSINV(RAND())*sim!$C$4)</f>
        <v>2.3753600207445706</v>
      </c>
    </row>
    <row r="405" spans="1:2">
      <c r="A405" s="24">
        <v>401</v>
      </c>
      <c r="B405" s="25">
        <f ca="1">100*(sim!$C$3+NORMSINV(RAND())*sim!$C$4)</f>
        <v>1.0825365661403941</v>
      </c>
    </row>
    <row r="406" spans="1:2">
      <c r="A406" s="24">
        <v>402</v>
      </c>
      <c r="B406" s="25">
        <f ca="1">100*(sim!$C$3+NORMSINV(RAND())*sim!$C$4)</f>
        <v>3.4361800148424817</v>
      </c>
    </row>
    <row r="407" spans="1:2">
      <c r="A407" s="24">
        <v>403</v>
      </c>
      <c r="B407" s="25">
        <f ca="1">100*(sim!$C$3+NORMSINV(RAND())*sim!$C$4)</f>
        <v>0.92607656055960219</v>
      </c>
    </row>
    <row r="408" spans="1:2">
      <c r="A408" s="24">
        <v>404</v>
      </c>
      <c r="B408" s="25">
        <f ca="1">100*(sim!$C$3+NORMSINV(RAND())*sim!$C$4)</f>
        <v>2.7314692216700118</v>
      </c>
    </row>
    <row r="409" spans="1:2">
      <c r="A409" s="24">
        <v>405</v>
      </c>
      <c r="B409" s="25">
        <f ca="1">100*(sim!$C$3+NORMSINV(RAND())*sim!$C$4)</f>
        <v>1.0418563572607074</v>
      </c>
    </row>
    <row r="410" spans="1:2">
      <c r="A410" s="24">
        <v>406</v>
      </c>
      <c r="B410" s="25">
        <f ca="1">100*(sim!$C$3+NORMSINV(RAND())*sim!$C$4)</f>
        <v>0.76776209981917343</v>
      </c>
    </row>
    <row r="411" spans="1:2">
      <c r="A411" s="24">
        <v>407</v>
      </c>
      <c r="B411" s="25">
        <f ca="1">100*(sim!$C$3+NORMSINV(RAND())*sim!$C$4)</f>
        <v>0.35368076213213168</v>
      </c>
    </row>
    <row r="412" spans="1:2">
      <c r="A412" s="24">
        <v>408</v>
      </c>
      <c r="B412" s="25">
        <f ca="1">100*(sim!$C$3+NORMSINV(RAND())*sim!$C$4)</f>
        <v>0.77039468247060827</v>
      </c>
    </row>
    <row r="413" spans="1:2">
      <c r="A413" s="24">
        <v>409</v>
      </c>
      <c r="B413" s="25">
        <f ca="1">100*(sim!$C$3+NORMSINV(RAND())*sim!$C$4)</f>
        <v>3.7863101945451021</v>
      </c>
    </row>
    <row r="414" spans="1:2">
      <c r="A414" s="24">
        <v>410</v>
      </c>
      <c r="B414" s="25">
        <f ca="1">100*(sim!$C$3+NORMSINV(RAND())*sim!$C$4)</f>
        <v>2.9867087070091678</v>
      </c>
    </row>
    <row r="415" spans="1:2">
      <c r="A415" s="24">
        <v>411</v>
      </c>
      <c r="B415" s="25">
        <f ca="1">100*(sim!$C$3+NORMSINV(RAND())*sim!$C$4)</f>
        <v>2.5641054537390544</v>
      </c>
    </row>
    <row r="416" spans="1:2">
      <c r="A416" s="24">
        <v>412</v>
      </c>
      <c r="B416" s="25">
        <f ca="1">100*(sim!$C$3+NORMSINV(RAND())*sim!$C$4)</f>
        <v>1.1794956746369525</v>
      </c>
    </row>
    <row r="417" spans="1:2">
      <c r="A417" s="24">
        <v>413</v>
      </c>
      <c r="B417" s="25">
        <f ca="1">100*(sim!$C$3+NORMSINV(RAND())*sim!$C$4)</f>
        <v>1.315286020500142</v>
      </c>
    </row>
    <row r="418" spans="1:2">
      <c r="A418" s="24">
        <v>414</v>
      </c>
      <c r="B418" s="25">
        <f ca="1">100*(sim!$C$3+NORMSINV(RAND())*sim!$C$4)</f>
        <v>2.5662946067625771</v>
      </c>
    </row>
    <row r="419" spans="1:2">
      <c r="A419" s="24">
        <v>415</v>
      </c>
      <c r="B419" s="25">
        <f ca="1">100*(sim!$C$3+NORMSINV(RAND())*sim!$C$4)</f>
        <v>2.810234011233244</v>
      </c>
    </row>
    <row r="420" spans="1:2">
      <c r="A420" s="24">
        <v>416</v>
      </c>
      <c r="B420" s="25">
        <f ca="1">100*(sim!$C$3+NORMSINV(RAND())*sim!$C$4)</f>
        <v>2.309963337996102</v>
      </c>
    </row>
    <row r="421" spans="1:2">
      <c r="A421" s="24">
        <v>417</v>
      </c>
      <c r="B421" s="25">
        <f ca="1">100*(sim!$C$3+NORMSINV(RAND())*sim!$C$4)</f>
        <v>2.7932755900945496</v>
      </c>
    </row>
    <row r="422" spans="1:2">
      <c r="A422" s="24">
        <v>418</v>
      </c>
      <c r="B422" s="25">
        <f ca="1">100*(sim!$C$3+NORMSINV(RAND())*sim!$C$4)</f>
        <v>1.384705337841373</v>
      </c>
    </row>
    <row r="423" spans="1:2">
      <c r="A423" s="24">
        <v>419</v>
      </c>
      <c r="B423" s="25">
        <f ca="1">100*(sim!$C$3+NORMSINV(RAND())*sim!$C$4)</f>
        <v>1.1330131393654976</v>
      </c>
    </row>
    <row r="424" spans="1:2">
      <c r="A424" s="24">
        <v>420</v>
      </c>
      <c r="B424" s="25">
        <f ca="1">100*(sim!$C$3+NORMSINV(RAND())*sim!$C$4)</f>
        <v>1.9266774160997109</v>
      </c>
    </row>
    <row r="425" spans="1:2">
      <c r="A425" s="24">
        <v>421</v>
      </c>
      <c r="B425" s="25">
        <f ca="1">100*(sim!$C$3+NORMSINV(RAND())*sim!$C$4)</f>
        <v>1.4471499466326101</v>
      </c>
    </row>
    <row r="426" spans="1:2">
      <c r="A426" s="24">
        <v>422</v>
      </c>
      <c r="B426" s="25">
        <f ca="1">100*(sim!$C$3+NORMSINV(RAND())*sim!$C$4)</f>
        <v>6.5261794689237818E-2</v>
      </c>
    </row>
    <row r="427" spans="1:2">
      <c r="A427" s="24">
        <v>423</v>
      </c>
      <c r="B427" s="25">
        <f ca="1">100*(sim!$C$3+NORMSINV(RAND())*sim!$C$4)</f>
        <v>0.27934600393299014</v>
      </c>
    </row>
    <row r="428" spans="1:2">
      <c r="A428" s="24">
        <v>424</v>
      </c>
      <c r="B428" s="25">
        <f ca="1">100*(sim!$C$3+NORMSINV(RAND())*sim!$C$4)</f>
        <v>3.4089456972050272</v>
      </c>
    </row>
    <row r="429" spans="1:2">
      <c r="A429" s="24">
        <v>425</v>
      </c>
      <c r="B429" s="25">
        <f ca="1">100*(sim!$C$3+NORMSINV(RAND())*sim!$C$4)</f>
        <v>1.6176590252157701</v>
      </c>
    </row>
    <row r="430" spans="1:2">
      <c r="A430" s="24">
        <v>426</v>
      </c>
      <c r="B430" s="25">
        <f ca="1">100*(sim!$C$3+NORMSINV(RAND())*sim!$C$4)</f>
        <v>1.9154329558337977</v>
      </c>
    </row>
    <row r="431" spans="1:2">
      <c r="A431" s="24">
        <v>427</v>
      </c>
      <c r="B431" s="25">
        <f ca="1">100*(sim!$C$3+NORMSINV(RAND())*sim!$C$4)</f>
        <v>2.9412028009161504</v>
      </c>
    </row>
    <row r="432" spans="1:2">
      <c r="A432" s="24">
        <v>428</v>
      </c>
      <c r="B432" s="25">
        <f ca="1">100*(sim!$C$3+NORMSINV(RAND())*sim!$C$4)</f>
        <v>0.19814334675121553</v>
      </c>
    </row>
    <row r="433" spans="1:2">
      <c r="A433" s="24">
        <v>429</v>
      </c>
      <c r="B433" s="25">
        <f ca="1">100*(sim!$C$3+NORMSINV(RAND())*sim!$C$4)</f>
        <v>1.7846867183374939</v>
      </c>
    </row>
    <row r="434" spans="1:2">
      <c r="A434" s="24">
        <v>430</v>
      </c>
      <c r="B434" s="25">
        <f ca="1">100*(sim!$C$3+NORMSINV(RAND())*sim!$C$4)</f>
        <v>2.1182694955243426</v>
      </c>
    </row>
    <row r="435" spans="1:2">
      <c r="A435" s="24">
        <v>431</v>
      </c>
      <c r="B435" s="25">
        <f ca="1">100*(sim!$C$3+NORMSINV(RAND())*sim!$C$4)</f>
        <v>3.1364474346935345</v>
      </c>
    </row>
    <row r="436" spans="1:2">
      <c r="A436" s="24">
        <v>432</v>
      </c>
      <c r="B436" s="25">
        <f ca="1">100*(sim!$C$3+NORMSINV(RAND())*sim!$C$4)</f>
        <v>3.12030451081666</v>
      </c>
    </row>
    <row r="437" spans="1:2">
      <c r="A437" s="24">
        <v>433</v>
      </c>
      <c r="B437" s="25">
        <f ca="1">100*(sim!$C$3+NORMSINV(RAND())*sim!$C$4)</f>
        <v>1.2281766359626498</v>
      </c>
    </row>
    <row r="438" spans="1:2">
      <c r="A438" s="24">
        <v>434</v>
      </c>
      <c r="B438" s="25">
        <f ca="1">100*(sim!$C$3+NORMSINV(RAND())*sim!$C$4)</f>
        <v>4.4747632570365923</v>
      </c>
    </row>
    <row r="439" spans="1:2">
      <c r="A439" s="24">
        <v>435</v>
      </c>
      <c r="B439" s="25">
        <f ca="1">100*(sim!$C$3+NORMSINV(RAND())*sim!$C$4)</f>
        <v>2.2960668933875739</v>
      </c>
    </row>
    <row r="440" spans="1:2">
      <c r="A440" s="24">
        <v>436</v>
      </c>
      <c r="B440" s="25">
        <f ca="1">100*(sim!$C$3+NORMSINV(RAND())*sim!$C$4)</f>
        <v>2.8495100082745033</v>
      </c>
    </row>
    <row r="441" spans="1:2">
      <c r="A441" s="24">
        <v>437</v>
      </c>
      <c r="B441" s="25">
        <f ca="1">100*(sim!$C$3+NORMSINV(RAND())*sim!$C$4)</f>
        <v>1.5763774784965836</v>
      </c>
    </row>
    <row r="442" spans="1:2">
      <c r="A442" s="24">
        <v>438</v>
      </c>
      <c r="B442" s="25">
        <f ca="1">100*(sim!$C$3+NORMSINV(RAND())*sim!$C$4)</f>
        <v>4.5270152652918778</v>
      </c>
    </row>
    <row r="443" spans="1:2">
      <c r="A443" s="24">
        <v>439</v>
      </c>
      <c r="B443" s="25">
        <f ca="1">100*(sim!$C$3+NORMSINV(RAND())*sim!$C$4)</f>
        <v>3.9270854887056541</v>
      </c>
    </row>
    <row r="444" spans="1:2">
      <c r="A444" s="24">
        <v>440</v>
      </c>
      <c r="B444" s="25">
        <f ca="1">100*(sim!$C$3+NORMSINV(RAND())*sim!$C$4)</f>
        <v>2.1819646755787758</v>
      </c>
    </row>
    <row r="445" spans="1:2">
      <c r="A445" s="24">
        <v>441</v>
      </c>
      <c r="B445" s="25">
        <f ca="1">100*(sim!$C$3+NORMSINV(RAND())*sim!$C$4)</f>
        <v>1.629017106388565</v>
      </c>
    </row>
    <row r="446" spans="1:2">
      <c r="A446" s="24">
        <v>442</v>
      </c>
      <c r="B446" s="25">
        <f ca="1">100*(sim!$C$3+NORMSINV(RAND())*sim!$C$4)</f>
        <v>1.8686686425837127</v>
      </c>
    </row>
    <row r="447" spans="1:2">
      <c r="A447" s="24">
        <v>443</v>
      </c>
      <c r="B447" s="25">
        <f ca="1">100*(sim!$C$3+NORMSINV(RAND())*sim!$C$4)</f>
        <v>2.4833170158920019</v>
      </c>
    </row>
    <row r="448" spans="1:2">
      <c r="A448" s="24">
        <v>444</v>
      </c>
      <c r="B448" s="25">
        <f ca="1">100*(sim!$C$3+NORMSINV(RAND())*sim!$C$4)</f>
        <v>2.2374881920807348</v>
      </c>
    </row>
    <row r="449" spans="1:2">
      <c r="A449" s="24">
        <v>445</v>
      </c>
      <c r="B449" s="25">
        <f ca="1">100*(sim!$C$3+NORMSINV(RAND())*sim!$C$4)</f>
        <v>2.9092772103549533</v>
      </c>
    </row>
    <row r="450" spans="1:2">
      <c r="A450" s="24">
        <v>446</v>
      </c>
      <c r="B450" s="25">
        <f ca="1">100*(sim!$C$3+NORMSINV(RAND())*sim!$C$4)</f>
        <v>1.686810848232382</v>
      </c>
    </row>
    <row r="451" spans="1:2">
      <c r="A451" s="24">
        <v>447</v>
      </c>
      <c r="B451" s="25">
        <f ca="1">100*(sim!$C$3+NORMSINV(RAND())*sim!$C$4)</f>
        <v>3.3878682672614131</v>
      </c>
    </row>
    <row r="452" spans="1:2">
      <c r="A452" s="24">
        <v>448</v>
      </c>
      <c r="B452" s="25">
        <f ca="1">100*(sim!$C$3+NORMSINV(RAND())*sim!$C$4)</f>
        <v>2.2108513231162235</v>
      </c>
    </row>
    <row r="453" spans="1:2">
      <c r="A453" s="24">
        <v>449</v>
      </c>
      <c r="B453" s="25">
        <f ca="1">100*(sim!$C$3+NORMSINV(RAND())*sim!$C$4)</f>
        <v>1.8708021137140767</v>
      </c>
    </row>
    <row r="454" spans="1:2">
      <c r="A454" s="24">
        <v>450</v>
      </c>
      <c r="B454" s="25">
        <f ca="1">100*(sim!$C$3+NORMSINV(RAND())*sim!$C$4)</f>
        <v>1.515552272544312</v>
      </c>
    </row>
    <row r="455" spans="1:2">
      <c r="A455" s="24">
        <v>451</v>
      </c>
      <c r="B455" s="25">
        <f ca="1">100*(sim!$C$3+NORMSINV(RAND())*sim!$C$4)</f>
        <v>1.3624185398172566</v>
      </c>
    </row>
    <row r="456" spans="1:2">
      <c r="A456" s="24">
        <v>452</v>
      </c>
      <c r="B456" s="25">
        <f ca="1">100*(sim!$C$3+NORMSINV(RAND())*sim!$C$4)</f>
        <v>1.0892064836806521</v>
      </c>
    </row>
    <row r="457" spans="1:2">
      <c r="A457" s="24">
        <v>453</v>
      </c>
      <c r="B457" s="25">
        <f ca="1">100*(sim!$C$3+NORMSINV(RAND())*sim!$C$4)</f>
        <v>2.6277151835281138</v>
      </c>
    </row>
    <row r="458" spans="1:2">
      <c r="A458" s="24">
        <v>454</v>
      </c>
      <c r="B458" s="25">
        <f ca="1">100*(sim!$C$3+NORMSINV(RAND())*sim!$C$4)</f>
        <v>1.113990191833014</v>
      </c>
    </row>
    <row r="459" spans="1:2">
      <c r="A459" s="24">
        <v>455</v>
      </c>
      <c r="B459" s="25">
        <f ca="1">100*(sim!$C$3+NORMSINV(RAND())*sim!$C$4)</f>
        <v>1.3205926196671582</v>
      </c>
    </row>
    <row r="460" spans="1:2">
      <c r="A460" s="24">
        <v>456</v>
      </c>
      <c r="B460" s="25">
        <f ca="1">100*(sim!$C$3+NORMSINV(RAND())*sim!$C$4)</f>
        <v>0.83219764450876443</v>
      </c>
    </row>
    <row r="461" spans="1:2">
      <c r="A461" s="24">
        <v>457</v>
      </c>
      <c r="B461" s="25">
        <f ca="1">100*(sim!$C$3+NORMSINV(RAND())*sim!$C$4)</f>
        <v>0.8100483898065326</v>
      </c>
    </row>
    <row r="462" spans="1:2">
      <c r="A462" s="24">
        <v>458</v>
      </c>
      <c r="B462" s="25">
        <f ca="1">100*(sim!$C$3+NORMSINV(RAND())*sim!$C$4)</f>
        <v>1.6852439935900212</v>
      </c>
    </row>
    <row r="463" spans="1:2">
      <c r="A463" s="24">
        <v>459</v>
      </c>
      <c r="B463" s="25">
        <f ca="1">100*(sim!$C$3+NORMSINV(RAND())*sim!$C$4)</f>
        <v>1.0145247268217401</v>
      </c>
    </row>
    <row r="464" spans="1:2">
      <c r="A464" s="24">
        <v>460</v>
      </c>
      <c r="B464" s="25">
        <f ca="1">100*(sim!$C$3+NORMSINV(RAND())*sim!$C$4)</f>
        <v>1.8063933214206715</v>
      </c>
    </row>
    <row r="465" spans="1:2">
      <c r="A465" s="24">
        <v>461</v>
      </c>
      <c r="B465" s="25">
        <f ca="1">100*(sim!$C$3+NORMSINV(RAND())*sim!$C$4)</f>
        <v>1.0811814048384005</v>
      </c>
    </row>
    <row r="466" spans="1:2">
      <c r="A466" s="24">
        <v>462</v>
      </c>
      <c r="B466" s="25">
        <f ca="1">100*(sim!$C$3+NORMSINV(RAND())*sim!$C$4)</f>
        <v>1.2806957246930391</v>
      </c>
    </row>
    <row r="467" spans="1:2">
      <c r="A467" s="24">
        <v>463</v>
      </c>
      <c r="B467" s="25">
        <f ca="1">100*(sim!$C$3+NORMSINV(RAND())*sim!$C$4)</f>
        <v>1.879726179087382</v>
      </c>
    </row>
    <row r="468" spans="1:2">
      <c r="A468" s="24">
        <v>464</v>
      </c>
      <c r="B468" s="25">
        <f ca="1">100*(sim!$C$3+NORMSINV(RAND())*sim!$C$4)</f>
        <v>0.30591737706729405</v>
      </c>
    </row>
    <row r="469" spans="1:2">
      <c r="A469" s="24">
        <v>465</v>
      </c>
      <c r="B469" s="25">
        <f ca="1">100*(sim!$C$3+NORMSINV(RAND())*sim!$C$4)</f>
        <v>0.80861266039068957</v>
      </c>
    </row>
    <row r="470" spans="1:2">
      <c r="A470" s="24">
        <v>466</v>
      </c>
      <c r="B470" s="25">
        <f ca="1">100*(sim!$C$3+NORMSINV(RAND())*sim!$C$4)</f>
        <v>2.1125302360480633</v>
      </c>
    </row>
    <row r="471" spans="1:2">
      <c r="A471" s="24">
        <v>467</v>
      </c>
      <c r="B471" s="25">
        <f ca="1">100*(sim!$C$3+NORMSINV(RAND())*sim!$C$4)</f>
        <v>1.8623742325764323</v>
      </c>
    </row>
    <row r="472" spans="1:2">
      <c r="A472" s="24">
        <v>468</v>
      </c>
      <c r="B472" s="25">
        <f ca="1">100*(sim!$C$3+NORMSINV(RAND())*sim!$C$4)</f>
        <v>3.6072085243363348</v>
      </c>
    </row>
    <row r="473" spans="1:2">
      <c r="A473" s="24">
        <v>469</v>
      </c>
      <c r="B473" s="25">
        <f ca="1">100*(sim!$C$3+NORMSINV(RAND())*sim!$C$4)</f>
        <v>2.876548386041335</v>
      </c>
    </row>
    <row r="474" spans="1:2">
      <c r="A474" s="24">
        <v>470</v>
      </c>
      <c r="B474" s="25">
        <f ca="1">100*(sim!$C$3+NORMSINV(RAND())*sim!$C$4)</f>
        <v>-0.32796884638826468</v>
      </c>
    </row>
    <row r="475" spans="1:2">
      <c r="A475" s="24">
        <v>471</v>
      </c>
      <c r="B475" s="25">
        <f ca="1">100*(sim!$C$3+NORMSINV(RAND())*sim!$C$4)</f>
        <v>3.1455285151602244</v>
      </c>
    </row>
    <row r="476" spans="1:2">
      <c r="A476" s="24">
        <v>472</v>
      </c>
      <c r="B476" s="25">
        <f ca="1">100*(sim!$C$3+NORMSINV(RAND())*sim!$C$4)</f>
        <v>2.2975633136786491</v>
      </c>
    </row>
    <row r="477" spans="1:2">
      <c r="A477" s="24">
        <v>473</v>
      </c>
      <c r="B477" s="25">
        <f ca="1">100*(sim!$C$3+NORMSINV(RAND())*sim!$C$4)</f>
        <v>2.1997660833829862</v>
      </c>
    </row>
    <row r="478" spans="1:2">
      <c r="A478" s="24">
        <v>474</v>
      </c>
      <c r="B478" s="25">
        <f ca="1">100*(sim!$C$3+NORMSINV(RAND())*sim!$C$4)</f>
        <v>2.1988410588685601</v>
      </c>
    </row>
    <row r="479" spans="1:2">
      <c r="A479" s="24">
        <v>475</v>
      </c>
      <c r="B479" s="25">
        <f ca="1">100*(sim!$C$3+NORMSINV(RAND())*sim!$C$4)</f>
        <v>1.7379677420428805</v>
      </c>
    </row>
    <row r="480" spans="1:2">
      <c r="A480" s="24">
        <v>476</v>
      </c>
      <c r="B480" s="25">
        <f ca="1">100*(sim!$C$3+NORMSINV(RAND())*sim!$C$4)</f>
        <v>1.5584082900506273</v>
      </c>
    </row>
    <row r="481" spans="1:2">
      <c r="A481" s="24">
        <v>477</v>
      </c>
      <c r="B481" s="25">
        <f ca="1">100*(sim!$C$3+NORMSINV(RAND())*sim!$C$4)</f>
        <v>0.80954175502057812</v>
      </c>
    </row>
    <row r="482" spans="1:2">
      <c r="A482" s="24">
        <v>478</v>
      </c>
      <c r="B482" s="25">
        <f ca="1">100*(sim!$C$3+NORMSINV(RAND())*sim!$C$4)</f>
        <v>3.0555181828389109</v>
      </c>
    </row>
    <row r="483" spans="1:2">
      <c r="A483" s="24">
        <v>479</v>
      </c>
      <c r="B483" s="25">
        <f ca="1">100*(sim!$C$3+NORMSINV(RAND())*sim!$C$4)</f>
        <v>2.5089118450852497</v>
      </c>
    </row>
    <row r="484" spans="1:2">
      <c r="A484" s="24">
        <v>480</v>
      </c>
      <c r="B484" s="25">
        <f ca="1">100*(sim!$C$3+NORMSINV(RAND())*sim!$C$4)</f>
        <v>1.0673206751367825</v>
      </c>
    </row>
    <row r="485" spans="1:2">
      <c r="A485" s="24">
        <v>481</v>
      </c>
      <c r="B485" s="25">
        <f ca="1">100*(sim!$C$3+NORMSINV(RAND())*sim!$C$4)</f>
        <v>0.6720963983073942</v>
      </c>
    </row>
    <row r="486" spans="1:2">
      <c r="A486" s="24">
        <v>482</v>
      </c>
      <c r="B486" s="25">
        <f ca="1">100*(sim!$C$3+NORMSINV(RAND())*sim!$C$4)</f>
        <v>2.7194447122106404</v>
      </c>
    </row>
    <row r="487" spans="1:2">
      <c r="A487" s="24">
        <v>483</v>
      </c>
      <c r="B487" s="25">
        <f ca="1">100*(sim!$C$3+NORMSINV(RAND())*sim!$C$4)</f>
        <v>1.8851836434232963</v>
      </c>
    </row>
    <row r="488" spans="1:2">
      <c r="A488" s="24">
        <v>484</v>
      </c>
      <c r="B488" s="25">
        <f ca="1">100*(sim!$C$3+NORMSINV(RAND())*sim!$C$4)</f>
        <v>1.6561554035858614</v>
      </c>
    </row>
    <row r="489" spans="1:2">
      <c r="A489" s="24">
        <v>485</v>
      </c>
      <c r="B489" s="25">
        <f ca="1">100*(sim!$C$3+NORMSINV(RAND())*sim!$C$4)</f>
        <v>3.0162665285676691</v>
      </c>
    </row>
    <row r="490" spans="1:2">
      <c r="A490" s="24">
        <v>486</v>
      </c>
      <c r="B490" s="25">
        <f ca="1">100*(sim!$C$3+NORMSINV(RAND())*sim!$C$4)</f>
        <v>2.716405941054413</v>
      </c>
    </row>
    <row r="491" spans="1:2">
      <c r="A491" s="24">
        <v>487</v>
      </c>
      <c r="B491" s="25">
        <f ca="1">100*(sim!$C$3+NORMSINV(RAND())*sim!$C$4)</f>
        <v>2.2151360901554429</v>
      </c>
    </row>
    <row r="492" spans="1:2">
      <c r="A492" s="24">
        <v>488</v>
      </c>
      <c r="B492" s="25">
        <f ca="1">100*(sim!$C$3+NORMSINV(RAND())*sim!$C$4)</f>
        <v>3.4786780615921566</v>
      </c>
    </row>
    <row r="493" spans="1:2">
      <c r="A493" s="24">
        <v>489</v>
      </c>
      <c r="B493" s="25">
        <f ca="1">100*(sim!$C$3+NORMSINV(RAND())*sim!$C$4)</f>
        <v>2.4391315604243196</v>
      </c>
    </row>
    <row r="494" spans="1:2">
      <c r="A494" s="24">
        <v>490</v>
      </c>
      <c r="B494" s="25">
        <f ca="1">100*(sim!$C$3+NORMSINV(RAND())*sim!$C$4)</f>
        <v>1.9812024761957221</v>
      </c>
    </row>
    <row r="495" spans="1:2">
      <c r="A495" s="24">
        <v>491</v>
      </c>
      <c r="B495" s="25">
        <f ca="1">100*(sim!$C$3+NORMSINV(RAND())*sim!$C$4)</f>
        <v>2.4310517584028224</v>
      </c>
    </row>
    <row r="496" spans="1:2">
      <c r="A496" s="24">
        <v>492</v>
      </c>
      <c r="B496" s="25">
        <f ca="1">100*(sim!$C$3+NORMSINV(RAND())*sim!$C$4)</f>
        <v>4.3280672361944523</v>
      </c>
    </row>
    <row r="497" spans="1:2">
      <c r="A497" s="24">
        <v>493</v>
      </c>
      <c r="B497" s="25">
        <f ca="1">100*(sim!$C$3+NORMSINV(RAND())*sim!$C$4)</f>
        <v>0.38782289219727978</v>
      </c>
    </row>
    <row r="498" spans="1:2">
      <c r="A498" s="24">
        <v>494</v>
      </c>
      <c r="B498" s="25">
        <f ca="1">100*(sim!$C$3+NORMSINV(RAND())*sim!$C$4)</f>
        <v>1.751437694055646</v>
      </c>
    </row>
    <row r="499" spans="1:2">
      <c r="A499" s="24">
        <v>495</v>
      </c>
      <c r="B499" s="25">
        <f ca="1">100*(sim!$C$3+NORMSINV(RAND())*sim!$C$4)</f>
        <v>2.1015259061917915</v>
      </c>
    </row>
    <row r="500" spans="1:2">
      <c r="A500" s="24">
        <v>496</v>
      </c>
      <c r="B500" s="25">
        <f ca="1">100*(sim!$C$3+NORMSINV(RAND())*sim!$C$4)</f>
        <v>1.2417390469992855</v>
      </c>
    </row>
    <row r="501" spans="1:2">
      <c r="A501" s="24">
        <v>497</v>
      </c>
      <c r="B501" s="25">
        <f ca="1">100*(sim!$C$3+NORMSINV(RAND())*sim!$C$4)</f>
        <v>3.3396751529453081</v>
      </c>
    </row>
    <row r="502" spans="1:2">
      <c r="A502" s="24">
        <v>498</v>
      </c>
      <c r="B502" s="25">
        <f ca="1">100*(sim!$C$3+NORMSINV(RAND())*sim!$C$4)</f>
        <v>0.96882291529638787</v>
      </c>
    </row>
    <row r="503" spans="1:2">
      <c r="A503" s="24">
        <v>499</v>
      </c>
      <c r="B503" s="25">
        <f ca="1">100*(sim!$C$3+NORMSINV(RAND())*sim!$C$4)</f>
        <v>1.6143932194534245</v>
      </c>
    </row>
    <row r="504" spans="1:2">
      <c r="A504" s="24">
        <v>500</v>
      </c>
      <c r="B504" s="25">
        <f ca="1">100*(sim!$C$3+NORMSINV(RAND())*sim!$C$4)</f>
        <v>1.3533727052365658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sim</vt:lpstr>
      <vt:lpstr>histogram100</vt:lpstr>
      <vt:lpstr>histogram500</vt:lpstr>
      <vt:lpstr>adjchol</vt:lpstr>
      <vt:lpstr>adjcorrs</vt:lpstr>
      <vt:lpstr>assetnames</vt:lpstr>
      <vt:lpstr>chol</vt:lpstr>
      <vt:lpstr>corrs</vt:lpstr>
      <vt:lpstr>rands</vt:lpstr>
      <vt:lpstr>randscorrel</vt:lpstr>
      <vt:lpstr>simreturns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Roberts Grava</dc:creator>
  <cp:lastModifiedBy>Alan Cubbon</cp:lastModifiedBy>
  <dcterms:created xsi:type="dcterms:W3CDTF">2009-08-03T16:47:03Z</dcterms:created>
  <dcterms:modified xsi:type="dcterms:W3CDTF">2023-09-20T07:33:33Z</dcterms:modified>
</cp:coreProperties>
</file>