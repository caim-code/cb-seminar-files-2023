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F:\QRA\Alan\CB Workshop\"/>
    </mc:Choice>
  </mc:AlternateContent>
  <xr:revisionPtr revIDLastSave="0" documentId="13_ncr:1_{EFFA9F33-2951-439F-BF74-46F147836ABC}" xr6:coauthVersionLast="47" xr6:coauthVersionMax="47" xr10:uidLastSave="{00000000-0000-0000-0000-000000000000}"/>
  <bookViews>
    <workbookView showHorizontalScroll="0" showVerticalScroll="0" xWindow="-110" yWindow="-110" windowWidth="19420" windowHeight="10420" firstSheet="3" activeTab="3" xr2:uid="{3D376241-7FAE-7E45-93F8-3E75DA5250B3}"/>
  </bookViews>
  <sheets>
    <sheet name="Returns" sheetId="1" state="veryHidden" r:id="rId1"/>
    <sheet name="Profiles" sheetId="2" state="veryHidden" r:id="rId2"/>
    <sheet name="Scenarios" sheetId="3" state="veryHidden" r:id="rId3"/>
    <sheet name="Forecaster" sheetId="4" r:id="rId4"/>
    <sheet name="Allocator" sheetId="5" r:id="rId5"/>
    <sheet name="Details" sheetId="6" r:id="rId6"/>
  </sheets>
  <definedNames>
    <definedName name="Alloc_Charts">Returns!$P$6:$P$9</definedName>
    <definedName name="Ccy">Scenarios!$H$2</definedName>
    <definedName name="CcyChoice">Scenarios!$G$2</definedName>
    <definedName name="CcyList">Scenarios!$F$2:$F$5</definedName>
    <definedName name="Chart_Choice">Allocator!$A$3</definedName>
    <definedName name="FcastCurve">Scenarios!$J$29:$J$39</definedName>
    <definedName name="Fcasts">Scenarios!$D$29:$F$72</definedName>
    <definedName name="fcastUS3m">Forecaster!$E$7</definedName>
    <definedName name="FundChoice">Profiles!$F$3</definedName>
    <definedName name="FundName">Returns!$P$12</definedName>
    <definedName name="ScenChoice">Forecaster!$E$4</definedName>
    <definedName name="ScenFcast">Scenarios!$H$9:$H$26</definedName>
    <definedName name="ScenList">Scenarios!$C$2:$C$4</definedName>
    <definedName name="ScenName">Scenarios!$C$6</definedName>
    <definedName name="SpotCurve">Scenarios!$I$29:$I$39</definedName>
    <definedName name="Spots">Scenarios!$C$29:$C$72</definedName>
    <definedName name="WtAllocBM">Allocator!$C$5:$C$14</definedName>
    <definedName name="WtAllocPF">Allocator!$D$5:$D$14</definedName>
    <definedName name="WtBM">Returns!$E$28:$N$28</definedName>
    <definedName name="WtBMsafe">Returns!$E$24:$N$24</definedName>
    <definedName name="WtPF">Returns!$E$27:$N$27</definedName>
    <definedName name="WtPFsafe">Returns!$E$23:$N$23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8" i="1" l="1"/>
  <c r="S178" i="1"/>
  <c r="T178" i="1"/>
  <c r="U178" i="1"/>
  <c r="V178" i="1"/>
  <c r="W178" i="1"/>
  <c r="M15" i="5" s="1"/>
  <c r="X178" i="1"/>
  <c r="N15" i="5" s="1"/>
  <c r="Y178" i="1"/>
  <c r="O15" i="5" s="1"/>
  <c r="Z178" i="1"/>
  <c r="AA178" i="1"/>
  <c r="Q15" i="5" s="1"/>
  <c r="AB178" i="1"/>
  <c r="AB168" i="1"/>
  <c r="AA168" i="1"/>
  <c r="Z168" i="1"/>
  <c r="Y168" i="1"/>
  <c r="X168" i="1"/>
  <c r="W168" i="1"/>
  <c r="V168" i="1"/>
  <c r="S168" i="1"/>
  <c r="N168" i="1"/>
  <c r="M168" i="1"/>
  <c r="L168" i="1"/>
  <c r="K168" i="1"/>
  <c r="J168" i="1"/>
  <c r="I168" i="1"/>
  <c r="H168" i="1"/>
  <c r="G168" i="1"/>
  <c r="U168" i="1" s="1"/>
  <c r="F168" i="1"/>
  <c r="T168" i="1" s="1"/>
  <c r="E168" i="1"/>
  <c r="E31" i="1"/>
  <c r="AB31" i="1"/>
  <c r="AA31" i="1"/>
  <c r="Z31" i="1"/>
  <c r="Y31" i="1"/>
  <c r="X31" i="1"/>
  <c r="W31" i="1"/>
  <c r="S31" i="1"/>
  <c r="N31" i="1"/>
  <c r="M31" i="1"/>
  <c r="L31" i="1"/>
  <c r="K31" i="1"/>
  <c r="J31" i="1"/>
  <c r="I31" i="1"/>
  <c r="H31" i="1"/>
  <c r="V31" i="1" s="1"/>
  <c r="G31" i="1"/>
  <c r="U31" i="1" s="1"/>
  <c r="F31" i="1"/>
  <c r="T31" i="1" s="1"/>
  <c r="F7" i="5"/>
  <c r="F5" i="5"/>
  <c r="F6" i="5"/>
  <c r="F4" i="5"/>
  <c r="H24" i="3" a="1"/>
  <c r="H24" i="3" s="1"/>
  <c r="F22" i="4" s="1" a="1"/>
  <c r="F22" i="4" s="1"/>
  <c r="G22" i="4" s="1"/>
  <c r="D16" i="5"/>
  <c r="Q18" i="5"/>
  <c r="P18" i="5"/>
  <c r="O18" i="5"/>
  <c r="N18" i="5"/>
  <c r="M18" i="5"/>
  <c r="L18" i="5"/>
  <c r="K18" i="5"/>
  <c r="J18" i="5"/>
  <c r="I18" i="5"/>
  <c r="Q17" i="5"/>
  <c r="P17" i="5"/>
  <c r="O17" i="5"/>
  <c r="N17" i="5"/>
  <c r="M17" i="5"/>
  <c r="L17" i="5"/>
  <c r="K17" i="5"/>
  <c r="J17" i="5"/>
  <c r="I17" i="5"/>
  <c r="P15" i="5"/>
  <c r="L15" i="5"/>
  <c r="K15" i="5"/>
  <c r="J15" i="5"/>
  <c r="I15" i="5"/>
  <c r="R14" i="5"/>
  <c r="Q14" i="5"/>
  <c r="P14" i="5"/>
  <c r="O14" i="5"/>
  <c r="N14" i="5"/>
  <c r="M14" i="5"/>
  <c r="L14" i="5"/>
  <c r="K14" i="5"/>
  <c r="J14" i="5"/>
  <c r="I14" i="5"/>
  <c r="Q10" i="5"/>
  <c r="P10" i="5"/>
  <c r="O10" i="5"/>
  <c r="N10" i="5"/>
  <c r="M10" i="5"/>
  <c r="L10" i="5"/>
  <c r="K10" i="5"/>
  <c r="J10" i="5"/>
  <c r="I10" i="5"/>
  <c r="Q9" i="5"/>
  <c r="P9" i="5"/>
  <c r="O9" i="5"/>
  <c r="N9" i="5"/>
  <c r="M9" i="5"/>
  <c r="L9" i="5"/>
  <c r="K9" i="5"/>
  <c r="J9" i="5"/>
  <c r="I9" i="5"/>
  <c r="Q8" i="5"/>
  <c r="P8" i="5"/>
  <c r="O8" i="5"/>
  <c r="N8" i="5"/>
  <c r="M8" i="5"/>
  <c r="L8" i="5"/>
  <c r="K8" i="5"/>
  <c r="J8" i="5"/>
  <c r="I8" i="5"/>
  <c r="O15" i="1"/>
  <c r="Q14" i="1"/>
  <c r="P12" i="1" a="1"/>
  <c r="P12" i="1" s="1"/>
  <c r="P21" i="1" s="1"/>
  <c r="Q11" i="1"/>
  <c r="X18" i="2" a="1"/>
  <c r="X18" i="2" s="1"/>
  <c r="W18" i="2" a="1"/>
  <c r="W18" i="2" s="1"/>
  <c r="V18" i="2" a="1"/>
  <c r="V18" i="2" s="1"/>
  <c r="U18" i="2" a="1"/>
  <c r="U18" i="2" s="1"/>
  <c r="T18" i="2" a="1"/>
  <c r="T18" i="2" s="1"/>
  <c r="S18" i="2" a="1"/>
  <c r="S18" i="2" s="1"/>
  <c r="R18" i="2" a="1"/>
  <c r="R18" i="2" s="1"/>
  <c r="Q18" i="2" a="1"/>
  <c r="Q18" i="2" s="1"/>
  <c r="P18" i="2" a="1"/>
  <c r="P18" i="2" s="1"/>
  <c r="O18" i="2" a="1"/>
  <c r="O18" i="2" s="1"/>
  <c r="N18" i="2" a="1"/>
  <c r="N18" i="2" s="1"/>
  <c r="M18" i="2" a="1"/>
  <c r="M18" i="2" s="1"/>
  <c r="L18" i="2" a="1"/>
  <c r="L18" i="2" s="1"/>
  <c r="K18" i="2" a="1"/>
  <c r="K18" i="2" s="1"/>
  <c r="J18" i="2" a="1"/>
  <c r="J18" i="2" s="1"/>
  <c r="I18" i="2" a="1"/>
  <c r="I18" i="2" s="1"/>
  <c r="H18" i="2" a="1"/>
  <c r="H18" i="2" s="1"/>
  <c r="G18" i="2" a="1"/>
  <c r="G18" i="2" s="1"/>
  <c r="F18" i="2" a="1"/>
  <c r="F18" i="2" s="1"/>
  <c r="C16" i="5"/>
  <c r="G2" i="6" l="1"/>
  <c r="O16" i="1"/>
  <c r="E166" i="1"/>
  <c r="F166" i="1"/>
  <c r="G166" i="1"/>
  <c r="H166" i="1"/>
  <c r="I166" i="1"/>
  <c r="J166" i="1"/>
  <c r="K166" i="1"/>
  <c r="L166" i="1"/>
  <c r="M166" i="1"/>
  <c r="N166" i="1"/>
  <c r="C182" i="1"/>
  <c r="D182" i="1" s="1"/>
  <c r="E182" i="1" s="1"/>
  <c r="F182" i="1" s="1"/>
  <c r="G182" i="1" s="1"/>
  <c r="H182" i="1" s="1"/>
  <c r="I182" i="1" s="1"/>
  <c r="J182" i="1" s="1"/>
  <c r="K182" i="1" s="1"/>
  <c r="L182" i="1" s="1"/>
  <c r="M182" i="1" s="1"/>
  <c r="N182" i="1" s="1"/>
  <c r="C181" i="1"/>
  <c r="D181" i="1" s="1"/>
  <c r="E181" i="1" s="1"/>
  <c r="F181" i="1" s="1"/>
  <c r="G181" i="1" s="1"/>
  <c r="H181" i="1" s="1"/>
  <c r="I181" i="1" s="1"/>
  <c r="J181" i="1" s="1"/>
  <c r="K181" i="1" s="1"/>
  <c r="L181" i="1" s="1"/>
  <c r="M181" i="1" s="1"/>
  <c r="N181" i="1" s="1"/>
  <c r="D180" i="1"/>
  <c r="E180" i="1" s="1"/>
  <c r="F180" i="1" s="1"/>
  <c r="G180" i="1" s="1"/>
  <c r="H180" i="1" s="1"/>
  <c r="I180" i="1" s="1"/>
  <c r="J180" i="1" s="1"/>
  <c r="K180" i="1" s="1"/>
  <c r="L180" i="1" s="1"/>
  <c r="M180" i="1" s="1"/>
  <c r="N180" i="1" s="1"/>
  <c r="O17" i="1" l="1"/>
  <c r="A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32" i="1"/>
  <c r="AB181" i="1"/>
  <c r="R18" i="5" s="1"/>
  <c r="AA181" i="1"/>
  <c r="Z181" i="1"/>
  <c r="Y181" i="1"/>
  <c r="X181" i="1"/>
  <c r="W181" i="1"/>
  <c r="V181" i="1"/>
  <c r="U181" i="1"/>
  <c r="T181" i="1"/>
  <c r="S181" i="1"/>
  <c r="AB180" i="1"/>
  <c r="R17" i="5" s="1"/>
  <c r="AA180" i="1"/>
  <c r="Z180" i="1"/>
  <c r="Y180" i="1"/>
  <c r="X180" i="1"/>
  <c r="W180" i="1"/>
  <c r="V180" i="1"/>
  <c r="U180" i="1"/>
  <c r="T180" i="1"/>
  <c r="S180" i="1"/>
  <c r="R15" i="5"/>
  <c r="AB174" i="1"/>
  <c r="R10" i="5" s="1"/>
  <c r="AA174" i="1"/>
  <c r="Z174" i="1"/>
  <c r="Y174" i="1"/>
  <c r="X174" i="1"/>
  <c r="W174" i="1"/>
  <c r="V174" i="1"/>
  <c r="U174" i="1"/>
  <c r="T174" i="1"/>
  <c r="S174" i="1"/>
  <c r="AB173" i="1"/>
  <c r="R9" i="5" s="1"/>
  <c r="AA173" i="1"/>
  <c r="Z173" i="1"/>
  <c r="Y173" i="1"/>
  <c r="X173" i="1"/>
  <c r="W173" i="1"/>
  <c r="V173" i="1"/>
  <c r="U173" i="1"/>
  <c r="T173" i="1"/>
  <c r="S173" i="1"/>
  <c r="AB171" i="1"/>
  <c r="AA171" i="1"/>
  <c r="Z171" i="1"/>
  <c r="Y171" i="1"/>
  <c r="X171" i="1"/>
  <c r="W171" i="1"/>
  <c r="V171" i="1"/>
  <c r="U171" i="1"/>
  <c r="T171" i="1"/>
  <c r="S171" i="1"/>
  <c r="AB33" i="1"/>
  <c r="AA33" i="1"/>
  <c r="Z33" i="1"/>
  <c r="Y33" i="1"/>
  <c r="X33" i="1"/>
  <c r="W33" i="1"/>
  <c r="V33" i="1"/>
  <c r="U33" i="1"/>
  <c r="T33" i="1"/>
  <c r="S33" i="1"/>
  <c r="O18" i="1" l="1"/>
  <c r="S170" i="1"/>
  <c r="S172" i="1" s="1"/>
  <c r="W170" i="1"/>
  <c r="W172" i="1" s="1"/>
  <c r="AA170" i="1"/>
  <c r="AA172" i="1" s="1"/>
  <c r="S177" i="1"/>
  <c r="S179" i="1" s="1"/>
  <c r="I16" i="5" s="1"/>
  <c r="W177" i="1"/>
  <c r="W179" i="1" s="1"/>
  <c r="M16" i="5" s="1"/>
  <c r="AA177" i="1"/>
  <c r="AA179" i="1" s="1"/>
  <c r="Q16" i="5" s="1"/>
  <c r="G169" i="1"/>
  <c r="K169" i="1"/>
  <c r="H170" i="1"/>
  <c r="L170" i="1"/>
  <c r="E171" i="1"/>
  <c r="I171" i="1"/>
  <c r="M171" i="1"/>
  <c r="F172" i="1"/>
  <c r="J172" i="1"/>
  <c r="N172" i="1"/>
  <c r="G173" i="1"/>
  <c r="K173" i="1"/>
  <c r="H174" i="1"/>
  <c r="L174" i="1"/>
  <c r="E175" i="1"/>
  <c r="I175" i="1"/>
  <c r="M175" i="1"/>
  <c r="F176" i="1"/>
  <c r="J176" i="1"/>
  <c r="N176" i="1"/>
  <c r="G177" i="1"/>
  <c r="K177" i="1"/>
  <c r="H178" i="1"/>
  <c r="L178" i="1"/>
  <c r="T170" i="1"/>
  <c r="T172" i="1" s="1"/>
  <c r="X170" i="1"/>
  <c r="X172" i="1" s="1"/>
  <c r="AB170" i="1"/>
  <c r="AB172" i="1" s="1"/>
  <c r="R8" i="5" s="1"/>
  <c r="T177" i="1"/>
  <c r="T179" i="1" s="1"/>
  <c r="J16" i="5" s="1"/>
  <c r="X177" i="1"/>
  <c r="X179" i="1" s="1"/>
  <c r="N16" i="5" s="1"/>
  <c r="AB177" i="1"/>
  <c r="AB179" i="1" s="1"/>
  <c r="R16" i="5" s="1"/>
  <c r="H169" i="1"/>
  <c r="L169" i="1"/>
  <c r="E170" i="1"/>
  <c r="I170" i="1"/>
  <c r="M170" i="1"/>
  <c r="F171" i="1"/>
  <c r="J171" i="1"/>
  <c r="N171" i="1"/>
  <c r="G172" i="1"/>
  <c r="K172" i="1"/>
  <c r="H173" i="1"/>
  <c r="L173" i="1"/>
  <c r="E174" i="1"/>
  <c r="I174" i="1"/>
  <c r="M174" i="1"/>
  <c r="F175" i="1"/>
  <c r="J175" i="1"/>
  <c r="N175" i="1"/>
  <c r="G176" i="1"/>
  <c r="K176" i="1"/>
  <c r="H177" i="1"/>
  <c r="L177" i="1"/>
  <c r="E178" i="1"/>
  <c r="I178" i="1"/>
  <c r="M178" i="1"/>
  <c r="U170" i="1"/>
  <c r="U172" i="1" s="1"/>
  <c r="Y170" i="1"/>
  <c r="Y172" i="1" s="1"/>
  <c r="U177" i="1"/>
  <c r="U179" i="1" s="1"/>
  <c r="K16" i="5" s="1"/>
  <c r="Y177" i="1"/>
  <c r="Y179" i="1" s="1"/>
  <c r="O16" i="5" s="1"/>
  <c r="E169" i="1"/>
  <c r="I169" i="1"/>
  <c r="M169" i="1"/>
  <c r="F170" i="1"/>
  <c r="J170" i="1"/>
  <c r="N170" i="1"/>
  <c r="G171" i="1"/>
  <c r="K171" i="1"/>
  <c r="H172" i="1"/>
  <c r="L172" i="1"/>
  <c r="E173" i="1"/>
  <c r="I173" i="1"/>
  <c r="M173" i="1"/>
  <c r="F174" i="1"/>
  <c r="J174" i="1"/>
  <c r="N174" i="1"/>
  <c r="G175" i="1"/>
  <c r="K175" i="1"/>
  <c r="H176" i="1"/>
  <c r="L176" i="1"/>
  <c r="E177" i="1"/>
  <c r="I177" i="1"/>
  <c r="M177" i="1"/>
  <c r="F178" i="1"/>
  <c r="J178" i="1"/>
  <c r="N178" i="1"/>
  <c r="V170" i="1"/>
  <c r="V172" i="1" s="1"/>
  <c r="Z170" i="1"/>
  <c r="Z172" i="1" s="1"/>
  <c r="V177" i="1"/>
  <c r="V179" i="1" s="1"/>
  <c r="L16" i="5" s="1"/>
  <c r="Z177" i="1"/>
  <c r="Z179" i="1" s="1"/>
  <c r="P16" i="5" s="1"/>
  <c r="F169" i="1"/>
  <c r="J169" i="1"/>
  <c r="N169" i="1"/>
  <c r="G170" i="1"/>
  <c r="K170" i="1"/>
  <c r="H171" i="1"/>
  <c r="L171" i="1"/>
  <c r="E172" i="1"/>
  <c r="I172" i="1"/>
  <c r="M172" i="1"/>
  <c r="F173" i="1"/>
  <c r="J173" i="1"/>
  <c r="N173" i="1"/>
  <c r="G174" i="1"/>
  <c r="K174" i="1"/>
  <c r="H175" i="1"/>
  <c r="L175" i="1"/>
  <c r="E176" i="1"/>
  <c r="I176" i="1"/>
  <c r="M176" i="1"/>
  <c r="F177" i="1"/>
  <c r="J177" i="1"/>
  <c r="N177" i="1"/>
  <c r="G178" i="1"/>
  <c r="K178" i="1"/>
  <c r="N28" i="1" a="1"/>
  <c r="N28" i="1" s="1"/>
  <c r="M28" i="1" a="1"/>
  <c r="M28" i="1" s="1"/>
  <c r="L28" i="1" a="1"/>
  <c r="L28" i="1" s="1"/>
  <c r="K28" i="1" a="1"/>
  <c r="K28" i="1" s="1"/>
  <c r="J28" i="1" a="1"/>
  <c r="J28" i="1" s="1"/>
  <c r="I28" i="1" a="1"/>
  <c r="I28" i="1" s="1"/>
  <c r="H28" i="1" a="1"/>
  <c r="H28" i="1" s="1"/>
  <c r="G28" i="1" a="1"/>
  <c r="G28" i="1" s="1"/>
  <c r="F28" i="1" a="1"/>
  <c r="F28" i="1" s="1"/>
  <c r="E28" i="1" a="1"/>
  <c r="E28" i="1" s="1"/>
  <c r="N27" i="1" a="1"/>
  <c r="N27" i="1" s="1"/>
  <c r="M27" i="1" a="1"/>
  <c r="M27" i="1" s="1"/>
  <c r="L27" i="1" a="1"/>
  <c r="L27" i="1" s="1"/>
  <c r="K27" i="1" a="1"/>
  <c r="K27" i="1" s="1"/>
  <c r="J27" i="1" a="1"/>
  <c r="J27" i="1" s="1"/>
  <c r="I27" i="1" a="1"/>
  <c r="I27" i="1" s="1"/>
  <c r="H27" i="1" a="1"/>
  <c r="H27" i="1" s="1"/>
  <c r="G27" i="1" a="1"/>
  <c r="G27" i="1" s="1"/>
  <c r="F27" i="1" a="1"/>
  <c r="F27" i="1" s="1"/>
  <c r="E27" i="1" a="1"/>
  <c r="E27" i="1" s="1"/>
  <c r="O19" i="1" l="1"/>
  <c r="D19" i="1"/>
  <c r="C33" i="1"/>
  <c r="C35" i="1"/>
  <c r="C37" i="1"/>
  <c r="C39" i="1"/>
  <c r="C41" i="1"/>
  <c r="C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93" i="1"/>
  <c r="C95" i="1"/>
  <c r="C97" i="1"/>
  <c r="C99" i="1"/>
  <c r="C101" i="1"/>
  <c r="C103" i="1"/>
  <c r="C105" i="1"/>
  <c r="C107" i="1"/>
  <c r="C109" i="1"/>
  <c r="C111" i="1"/>
  <c r="C113" i="1"/>
  <c r="C115" i="1"/>
  <c r="C117" i="1"/>
  <c r="C119" i="1"/>
  <c r="C121" i="1"/>
  <c r="C123" i="1"/>
  <c r="C125" i="1"/>
  <c r="C127" i="1"/>
  <c r="C129" i="1"/>
  <c r="C131" i="1"/>
  <c r="C133" i="1"/>
  <c r="C135" i="1"/>
  <c r="C137" i="1"/>
  <c r="C139" i="1"/>
  <c r="C141" i="1"/>
  <c r="C143" i="1"/>
  <c r="C145" i="1"/>
  <c r="C147" i="1"/>
  <c r="C149" i="1"/>
  <c r="C151" i="1"/>
  <c r="C153" i="1"/>
  <c r="C155" i="1"/>
  <c r="C157" i="1"/>
  <c r="C159" i="1"/>
  <c r="C161" i="1"/>
  <c r="C163" i="1"/>
  <c r="C3" i="1"/>
  <c r="C5" i="1"/>
  <c r="C7" i="1"/>
  <c r="C9" i="1"/>
  <c r="C11" i="1"/>
  <c r="C13" i="1"/>
  <c r="C15" i="1"/>
  <c r="C17" i="1"/>
  <c r="C19" i="1"/>
  <c r="D33" i="1"/>
  <c r="D35" i="1"/>
  <c r="D37" i="1"/>
  <c r="D39" i="1"/>
  <c r="D41" i="1"/>
  <c r="D43" i="1"/>
  <c r="D45" i="1"/>
  <c r="D47" i="1"/>
  <c r="D49" i="1"/>
  <c r="D51" i="1"/>
  <c r="D53" i="1"/>
  <c r="D55" i="1"/>
  <c r="D57" i="1"/>
  <c r="D59" i="1"/>
  <c r="D61" i="1"/>
  <c r="D63" i="1"/>
  <c r="D65" i="1"/>
  <c r="D67" i="1"/>
  <c r="D69" i="1"/>
  <c r="D71" i="1"/>
  <c r="D73" i="1"/>
  <c r="D75" i="1"/>
  <c r="D77" i="1"/>
  <c r="D79" i="1"/>
  <c r="D81" i="1"/>
  <c r="D83" i="1"/>
  <c r="D85" i="1"/>
  <c r="D87" i="1"/>
  <c r="D89" i="1"/>
  <c r="D91" i="1"/>
  <c r="D93" i="1"/>
  <c r="D95" i="1"/>
  <c r="D97" i="1"/>
  <c r="D99" i="1"/>
  <c r="D101" i="1"/>
  <c r="D103" i="1"/>
  <c r="D105" i="1"/>
  <c r="D107" i="1"/>
  <c r="D109" i="1"/>
  <c r="D111" i="1"/>
  <c r="D113" i="1"/>
  <c r="D115" i="1"/>
  <c r="D117" i="1"/>
  <c r="D119" i="1"/>
  <c r="D121" i="1"/>
  <c r="D123" i="1"/>
  <c r="D125" i="1"/>
  <c r="D127" i="1"/>
  <c r="D129" i="1"/>
  <c r="D131" i="1"/>
  <c r="D133" i="1"/>
  <c r="D135" i="1"/>
  <c r="D137" i="1"/>
  <c r="D139" i="1"/>
  <c r="D141" i="1"/>
  <c r="D143" i="1"/>
  <c r="D145" i="1"/>
  <c r="D147" i="1"/>
  <c r="D149" i="1"/>
  <c r="D151" i="1"/>
  <c r="D153" i="1"/>
  <c r="D155" i="1"/>
  <c r="D157" i="1"/>
  <c r="D159" i="1"/>
  <c r="D161" i="1"/>
  <c r="D163" i="1"/>
  <c r="D3" i="1"/>
  <c r="D5" i="1"/>
  <c r="D7" i="1"/>
  <c r="D9" i="1"/>
  <c r="D11" i="1"/>
  <c r="D13" i="1"/>
  <c r="D15" i="1"/>
  <c r="D17" i="1"/>
  <c r="C34" i="1"/>
  <c r="C36" i="1"/>
  <c r="C38" i="1"/>
  <c r="C40" i="1"/>
  <c r="C42" i="1"/>
  <c r="C44" i="1"/>
  <c r="C46" i="1"/>
  <c r="C48" i="1"/>
  <c r="C50" i="1"/>
  <c r="C52" i="1"/>
  <c r="C54" i="1"/>
  <c r="C56" i="1"/>
  <c r="C58" i="1"/>
  <c r="C60" i="1"/>
  <c r="C62" i="1"/>
  <c r="C64" i="1"/>
  <c r="C66" i="1"/>
  <c r="C68" i="1"/>
  <c r="C70" i="1"/>
  <c r="C72" i="1"/>
  <c r="C74" i="1"/>
  <c r="C76" i="1"/>
  <c r="C78" i="1"/>
  <c r="C80" i="1"/>
  <c r="C82" i="1"/>
  <c r="C84" i="1"/>
  <c r="C86" i="1"/>
  <c r="C88" i="1"/>
  <c r="C90" i="1"/>
  <c r="C92" i="1"/>
  <c r="C94" i="1"/>
  <c r="C96" i="1"/>
  <c r="C98" i="1"/>
  <c r="C100" i="1"/>
  <c r="C102" i="1"/>
  <c r="C104" i="1"/>
  <c r="C106" i="1"/>
  <c r="C108" i="1"/>
  <c r="C110" i="1"/>
  <c r="C112" i="1"/>
  <c r="C114" i="1"/>
  <c r="C116" i="1"/>
  <c r="C118" i="1"/>
  <c r="C120" i="1"/>
  <c r="C122" i="1"/>
  <c r="C124" i="1"/>
  <c r="C126" i="1"/>
  <c r="C128" i="1"/>
  <c r="C130" i="1"/>
  <c r="C132" i="1"/>
  <c r="C134" i="1"/>
  <c r="C136" i="1"/>
  <c r="C138" i="1"/>
  <c r="C140" i="1"/>
  <c r="C142" i="1"/>
  <c r="C144" i="1"/>
  <c r="C146" i="1"/>
  <c r="C148" i="1"/>
  <c r="C150" i="1"/>
  <c r="C152" i="1"/>
  <c r="C154" i="1"/>
  <c r="C156" i="1"/>
  <c r="C158" i="1"/>
  <c r="C160" i="1"/>
  <c r="C162" i="1"/>
  <c r="C164" i="1"/>
  <c r="C4" i="1"/>
  <c r="C6" i="1"/>
  <c r="C10" i="1"/>
  <c r="C12" i="1"/>
  <c r="C16" i="1"/>
  <c r="C18" i="1"/>
  <c r="D34" i="1"/>
  <c r="D36" i="1"/>
  <c r="D38" i="1"/>
  <c r="D40" i="1"/>
  <c r="D42" i="1"/>
  <c r="D44" i="1"/>
  <c r="D46" i="1"/>
  <c r="D48" i="1"/>
  <c r="D50" i="1"/>
  <c r="D52" i="1"/>
  <c r="D54" i="1"/>
  <c r="D56" i="1"/>
  <c r="D58" i="1"/>
  <c r="D60" i="1"/>
  <c r="D62" i="1"/>
  <c r="D64" i="1"/>
  <c r="D66" i="1"/>
  <c r="D68" i="1"/>
  <c r="D70" i="1"/>
  <c r="D72" i="1"/>
  <c r="D74" i="1"/>
  <c r="D76" i="1"/>
  <c r="D78" i="1"/>
  <c r="D80" i="1"/>
  <c r="D82" i="1"/>
  <c r="D84" i="1"/>
  <c r="D86" i="1"/>
  <c r="D88" i="1"/>
  <c r="D90" i="1"/>
  <c r="D92" i="1"/>
  <c r="D94" i="1"/>
  <c r="D96" i="1"/>
  <c r="D98" i="1"/>
  <c r="D100" i="1"/>
  <c r="D102" i="1"/>
  <c r="D104" i="1"/>
  <c r="D106" i="1"/>
  <c r="D108" i="1"/>
  <c r="D110" i="1"/>
  <c r="D112" i="1"/>
  <c r="D114" i="1"/>
  <c r="D116" i="1"/>
  <c r="D118" i="1"/>
  <c r="D120" i="1"/>
  <c r="D122" i="1"/>
  <c r="D124" i="1"/>
  <c r="D126" i="1"/>
  <c r="D128" i="1"/>
  <c r="D130" i="1"/>
  <c r="D132" i="1"/>
  <c r="D134" i="1"/>
  <c r="D136" i="1"/>
  <c r="D138" i="1"/>
  <c r="D140" i="1"/>
  <c r="D142" i="1"/>
  <c r="D144" i="1"/>
  <c r="D146" i="1"/>
  <c r="D148" i="1"/>
  <c r="D150" i="1"/>
  <c r="D152" i="1"/>
  <c r="D154" i="1"/>
  <c r="D156" i="1"/>
  <c r="D158" i="1"/>
  <c r="D160" i="1"/>
  <c r="D162" i="1"/>
  <c r="D164" i="1"/>
  <c r="D4" i="1"/>
  <c r="D6" i="1"/>
  <c r="D10" i="1"/>
  <c r="D12" i="1"/>
  <c r="D16" i="1"/>
  <c r="D18" i="1"/>
  <c r="J30" i="3" a="1"/>
  <c r="J30" i="3" s="1"/>
  <c r="J31" i="3" a="1"/>
  <c r="J31" i="3" s="1"/>
  <c r="J32" i="3" a="1"/>
  <c r="J32" i="3" s="1"/>
  <c r="J33" i="3" a="1"/>
  <c r="J33" i="3" s="1"/>
  <c r="J34" i="3" a="1"/>
  <c r="J34" i="3" s="1"/>
  <c r="J35" i="3" a="1"/>
  <c r="J35" i="3" s="1"/>
  <c r="J36" i="3" a="1"/>
  <c r="J36" i="3" s="1"/>
  <c r="J37" i="3" a="1"/>
  <c r="J37" i="3" s="1"/>
  <c r="J38" i="3" a="1"/>
  <c r="J38" i="3" s="1"/>
  <c r="J39" i="3" a="1"/>
  <c r="J39" i="3" s="1"/>
  <c r="J29" i="3" a="1"/>
  <c r="J29" i="3" s="1"/>
  <c r="I30" i="3" a="1"/>
  <c r="I30" i="3" s="1"/>
  <c r="I31" i="3" a="1"/>
  <c r="I31" i="3" s="1"/>
  <c r="I32" i="3" a="1"/>
  <c r="I32" i="3" s="1"/>
  <c r="I33" i="3" a="1"/>
  <c r="I33" i="3" s="1"/>
  <c r="I34" i="3" a="1"/>
  <c r="I34" i="3" s="1"/>
  <c r="I35" i="3" a="1"/>
  <c r="I35" i="3" s="1"/>
  <c r="I36" i="3" a="1"/>
  <c r="I36" i="3" s="1"/>
  <c r="I37" i="3" a="1"/>
  <c r="I37" i="3" s="1"/>
  <c r="I38" i="3" a="1"/>
  <c r="I38" i="3" s="1"/>
  <c r="I39" i="3" a="1"/>
  <c r="I39" i="3" s="1"/>
  <c r="I29" i="3" a="1"/>
  <c r="I29" i="3" s="1"/>
  <c r="H2" i="3" a="1"/>
  <c r="H2" i="3" s="1"/>
  <c r="I4" i="4" s="1"/>
  <c r="H26" i="3" a="1"/>
  <c r="H26" i="3" s="1"/>
  <c r="H25" i="3" a="1"/>
  <c r="H25" i="3" s="1"/>
  <c r="F23" i="4" s="1" a="1"/>
  <c r="F23" i="4" s="1"/>
  <c r="G23" i="4" s="1"/>
  <c r="H23" i="3" a="1"/>
  <c r="H23" i="3" s="1"/>
  <c r="F21" i="4" s="1" a="1"/>
  <c r="F21" i="4" s="1"/>
  <c r="G21" i="4" s="1"/>
  <c r="H22" i="3" a="1"/>
  <c r="H22" i="3" s="1"/>
  <c r="F20" i="4" s="1" a="1"/>
  <c r="F20" i="4" s="1"/>
  <c r="G20" i="4" s="1"/>
  <c r="H21" i="3" a="1"/>
  <c r="H21" i="3" s="1"/>
  <c r="F19" i="4" s="1" a="1"/>
  <c r="F19" i="4" s="1"/>
  <c r="G19" i="4" s="1"/>
  <c r="H20" i="3" a="1"/>
  <c r="H20" i="3" s="1"/>
  <c r="F18" i="4" s="1" a="1"/>
  <c r="F18" i="4" s="1"/>
  <c r="G18" i="4" s="1"/>
  <c r="H19" i="3" a="1"/>
  <c r="H19" i="3" s="1"/>
  <c r="F17" i="4" s="1" a="1"/>
  <c r="F17" i="4" s="1"/>
  <c r="G17" i="4" s="1"/>
  <c r="H18" i="3" a="1"/>
  <c r="H18" i="3" s="1"/>
  <c r="F16" i="4" s="1" a="1"/>
  <c r="F16" i="4" s="1"/>
  <c r="G16" i="4" s="1"/>
  <c r="H17" i="3" a="1"/>
  <c r="H17" i="3" s="1"/>
  <c r="F15" i="4" s="1" a="1"/>
  <c r="F15" i="4" s="1"/>
  <c r="G15" i="4" s="1"/>
  <c r="H16" i="3" a="1"/>
  <c r="H16" i="3" s="1"/>
  <c r="F14" i="4" s="1" a="1"/>
  <c r="F14" i="4" s="1"/>
  <c r="G14" i="4" s="1"/>
  <c r="H15" i="3" a="1"/>
  <c r="H15" i="3" s="1"/>
  <c r="F13" i="4" s="1" a="1"/>
  <c r="F13" i="4" s="1"/>
  <c r="G13" i="4" s="1"/>
  <c r="H14" i="3" a="1"/>
  <c r="H14" i="3" s="1"/>
  <c r="F12" i="4" s="1" a="1"/>
  <c r="F12" i="4" s="1"/>
  <c r="G12" i="4" s="1"/>
  <c r="H13" i="3" a="1"/>
  <c r="H13" i="3" s="1"/>
  <c r="F11" i="4" s="1" a="1"/>
  <c r="F11" i="4" s="1"/>
  <c r="G11" i="4" s="1"/>
  <c r="H12" i="3" a="1"/>
  <c r="H12" i="3" s="1"/>
  <c r="F10" i="4" s="1" a="1"/>
  <c r="F10" i="4" s="1"/>
  <c r="G10" i="4" s="1"/>
  <c r="H11" i="3" a="1"/>
  <c r="H11" i="3" s="1"/>
  <c r="F9" i="4" s="1" a="1"/>
  <c r="F9" i="4" s="1"/>
  <c r="G9" i="4" s="1"/>
  <c r="H10" i="3" a="1"/>
  <c r="H10" i="3" s="1"/>
  <c r="F8" i="4" s="1" a="1"/>
  <c r="F8" i="4" s="1"/>
  <c r="G8" i="4" s="1"/>
  <c r="H9" i="3" a="1"/>
  <c r="H9" i="3" s="1"/>
  <c r="F7" i="4" s="1" a="1"/>
  <c r="F7" i="4" s="1"/>
  <c r="G7" i="4" s="1"/>
  <c r="C6" i="3" a="1"/>
  <c r="C6" i="3" s="1"/>
  <c r="B6" i="3"/>
  <c r="Q178" i="1" l="1"/>
  <c r="G15" i="5" s="1"/>
  <c r="Q17" i="1" a="1"/>
  <c r="Q17" i="1" s="1"/>
  <c r="Q18" i="1" a="1"/>
  <c r="Q18" i="1" s="1"/>
  <c r="G3" i="6"/>
  <c r="N23" i="5"/>
  <c r="Q16" i="1" a="1"/>
  <c r="Q16" i="1" s="1"/>
  <c r="Q15" i="1" a="1"/>
  <c r="Q15" i="1" s="1"/>
  <c r="F24" i="4" a="1"/>
  <c r="F24" i="4" s="1"/>
  <c r="G24" i="4" s="1"/>
  <c r="Q19" i="1" a="1"/>
  <c r="Q19" i="1" s="1"/>
  <c r="O20" i="1"/>
  <c r="H8" i="3"/>
  <c r="C166" i="1"/>
  <c r="D166" i="1"/>
  <c r="R33" i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171" i="1"/>
  <c r="R173" i="1"/>
  <c r="H9" i="5" s="1"/>
  <c r="R174" i="1"/>
  <c r="H10" i="5" s="1"/>
  <c r="H15" i="5"/>
  <c r="R180" i="1"/>
  <c r="H17" i="5" s="1"/>
  <c r="R181" i="1"/>
  <c r="H18" i="5" s="1"/>
  <c r="Q181" i="1"/>
  <c r="G18" i="5" s="1"/>
  <c r="Q180" i="1"/>
  <c r="G17" i="5" s="1"/>
  <c r="Q174" i="1"/>
  <c r="G10" i="5" s="1"/>
  <c r="Q173" i="1"/>
  <c r="G9" i="5" s="1"/>
  <c r="Q33" i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171" i="1"/>
  <c r="N20" i="1"/>
  <c r="N187" i="1" s="1"/>
  <c r="R6" i="5" s="1"/>
  <c r="M20" i="1"/>
  <c r="M187" i="1" s="1"/>
  <c r="Q6" i="5" s="1"/>
  <c r="L20" i="1"/>
  <c r="L187" i="1" s="1"/>
  <c r="P6" i="5" s="1"/>
  <c r="K20" i="1"/>
  <c r="K187" i="1" s="1"/>
  <c r="O6" i="5" s="1"/>
  <c r="J20" i="1"/>
  <c r="J187" i="1" s="1"/>
  <c r="N6" i="5" s="1"/>
  <c r="I20" i="1"/>
  <c r="I187" i="1" s="1"/>
  <c r="M6" i="5" s="1"/>
  <c r="H20" i="1"/>
  <c r="H187" i="1" s="1"/>
  <c r="L6" i="5" s="1"/>
  <c r="G20" i="1"/>
  <c r="G187" i="1" s="1"/>
  <c r="K6" i="5" s="1"/>
  <c r="F20" i="1"/>
  <c r="F187" i="1" s="1"/>
  <c r="J6" i="5" s="1"/>
  <c r="E20" i="1"/>
  <c r="E187" i="1" s="1"/>
  <c r="I6" i="5" s="1"/>
  <c r="N14" i="1"/>
  <c r="M14" i="1"/>
  <c r="L14" i="1"/>
  <c r="K14" i="1"/>
  <c r="J14" i="1"/>
  <c r="I14" i="1"/>
  <c r="H14" i="1"/>
  <c r="G14" i="1"/>
  <c r="F14" i="1"/>
  <c r="E14" i="1"/>
  <c r="N8" i="1"/>
  <c r="M8" i="1"/>
  <c r="L8" i="1"/>
  <c r="K8" i="1"/>
  <c r="J8" i="1"/>
  <c r="I8" i="1"/>
  <c r="H8" i="1"/>
  <c r="G8" i="1"/>
  <c r="F8" i="1"/>
  <c r="E8" i="1"/>
  <c r="M186" i="1" l="1"/>
  <c r="Q7" i="5" s="1"/>
  <c r="M188" i="1"/>
  <c r="Q5" i="5" s="1"/>
  <c r="N186" i="1"/>
  <c r="R7" i="5" s="1"/>
  <c r="N188" i="1"/>
  <c r="R5" i="5" s="1"/>
  <c r="E186" i="1"/>
  <c r="I7" i="5" s="1"/>
  <c r="E188" i="1"/>
  <c r="I5" i="5" s="1"/>
  <c r="F186" i="1"/>
  <c r="J7" i="5" s="1"/>
  <c r="F188" i="1"/>
  <c r="J5" i="5" s="1"/>
  <c r="J186" i="1"/>
  <c r="N7" i="5" s="1"/>
  <c r="J188" i="1"/>
  <c r="N5" i="5" s="1"/>
  <c r="G188" i="1"/>
  <c r="K5" i="5" s="1"/>
  <c r="G186" i="1"/>
  <c r="K7" i="5" s="1"/>
  <c r="K188" i="1"/>
  <c r="O5" i="5" s="1"/>
  <c r="K186" i="1"/>
  <c r="O7" i="5" s="1"/>
  <c r="I186" i="1"/>
  <c r="M7" i="5" s="1"/>
  <c r="I188" i="1"/>
  <c r="M5" i="5" s="1"/>
  <c r="H186" i="1"/>
  <c r="L7" i="5" s="1"/>
  <c r="H188" i="1"/>
  <c r="L5" i="5" s="1"/>
  <c r="L186" i="1"/>
  <c r="P7" i="5" s="1"/>
  <c r="L188" i="1"/>
  <c r="P5" i="5" s="1"/>
  <c r="C14" i="1"/>
  <c r="D14" i="1"/>
  <c r="R49" i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D169" i="1"/>
  <c r="D8" i="1"/>
  <c r="C8" i="1"/>
  <c r="D20" i="1"/>
  <c r="D187" i="1" s="1"/>
  <c r="C20" i="1"/>
  <c r="Q49" i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C169" i="1"/>
  <c r="Q20" i="1" l="1" a="1"/>
  <c r="Q20" i="1" s="1"/>
  <c r="C187" i="1"/>
  <c r="D186" i="1"/>
  <c r="H7" i="5" s="1"/>
  <c r="D188" i="1"/>
  <c r="H5" i="5" s="1"/>
  <c r="R61" i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D170" i="1"/>
  <c r="Q61" i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C170" i="1"/>
  <c r="C186" i="1" l="1"/>
  <c r="G7" i="5" s="1"/>
  <c r="C188" i="1"/>
  <c r="G5" i="5" s="1"/>
  <c r="Q73" i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C171" i="1"/>
  <c r="R73" i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D171" i="1"/>
  <c r="R85" i="1" l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D172" i="1"/>
  <c r="Q85" i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C172" i="1"/>
  <c r="Q97" i="1" l="1"/>
  <c r="Q98" i="1" s="1"/>
  <c r="Q99" i="1" s="1"/>
  <c r="Q100" i="1" s="1"/>
  <c r="Q101" i="1" s="1"/>
  <c r="Q102" i="1" s="1"/>
  <c r="Q103" i="1" s="1"/>
  <c r="Q104" i="1" s="1"/>
  <c r="C173" i="1"/>
  <c r="R97" i="1"/>
  <c r="R98" i="1" s="1"/>
  <c r="R99" i="1" s="1"/>
  <c r="R100" i="1" s="1"/>
  <c r="R101" i="1" s="1"/>
  <c r="R102" i="1" s="1"/>
  <c r="R103" i="1" s="1"/>
  <c r="R104" i="1" s="1"/>
  <c r="D173" i="1"/>
  <c r="R105" i="1" l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D174" i="1"/>
  <c r="Q105" i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C174" i="1"/>
  <c r="Q117" i="1" l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C175" i="1"/>
  <c r="R117" i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D175" i="1"/>
  <c r="R129" i="1" l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D176" i="1"/>
  <c r="Q129" i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C176" i="1"/>
  <c r="Q141" i="1" l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77" i="1" s="1"/>
  <c r="C177" i="1"/>
  <c r="R141" i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D177" i="1"/>
  <c r="R153" i="1" l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77" i="1"/>
  <c r="R170" i="1"/>
  <c r="H6" i="5" s="1"/>
  <c r="D178" i="1"/>
  <c r="C178" i="1"/>
  <c r="Q170" i="1"/>
  <c r="G6" i="5" s="1"/>
  <c r="Q153" i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3" i="1"/>
  <c r="Q4" i="1" a="1"/>
  <c r="Q4" i="1" s="1"/>
  <c r="Q172" i="1" l="1"/>
  <c r="G8" i="5" s="1"/>
  <c r="R172" i="1"/>
  <c r="H8" i="5" s="1"/>
  <c r="R179" i="1"/>
  <c r="H16" i="5" s="1"/>
  <c r="H14" i="5"/>
  <c r="Q179" i="1"/>
  <c r="G16" i="5" s="1"/>
  <c r="G1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<sst xmlns="http://schemas.openxmlformats.org/spreadsheetml/2006/main" count="297" uniqueCount="157">
  <si>
    <t>Portfolio</t>
  </si>
  <si>
    <t>Benchmark</t>
  </si>
  <si>
    <t>US 1-3</t>
  </si>
  <si>
    <t>EMU 1-3 hedged</t>
  </si>
  <si>
    <t>GBI 1-3 hedged</t>
  </si>
  <si>
    <t>GBI 1-30 hedged</t>
  </si>
  <si>
    <t>Euro Corp Hedged</t>
  </si>
  <si>
    <t>Global Corp Hedged</t>
  </si>
  <si>
    <t>Global Agg Hedged</t>
  </si>
  <si>
    <t>ML HY</t>
  </si>
  <si>
    <t>EMBIG</t>
  </si>
  <si>
    <t>GBI-EM Global Div</t>
  </si>
  <si>
    <t>OVERALL INDEX</t>
  </si>
  <si>
    <t>Market</t>
  </si>
  <si>
    <t>Sector</t>
  </si>
  <si>
    <t>Rating</t>
  </si>
  <si>
    <t>YIELD</t>
  </si>
  <si>
    <t>DUR</t>
  </si>
  <si>
    <t>Hedging</t>
  </si>
  <si>
    <t>Source</t>
  </si>
  <si>
    <t>US</t>
  </si>
  <si>
    <t>EU</t>
  </si>
  <si>
    <t>GB</t>
  </si>
  <si>
    <t>JP</t>
  </si>
  <si>
    <t>Other</t>
  </si>
  <si>
    <t>Govt</t>
  </si>
  <si>
    <t>Agcy</t>
  </si>
  <si>
    <t>Corp</t>
  </si>
  <si>
    <t>Sec</t>
  </si>
  <si>
    <t>AAA</t>
  </si>
  <si>
    <t>AA</t>
  </si>
  <si>
    <t>A</t>
  </si>
  <si>
    <t>BBB</t>
  </si>
  <si>
    <t>HY</t>
  </si>
  <si>
    <t>NR</t>
  </si>
  <si>
    <t>Weights</t>
  </si>
  <si>
    <t>PF</t>
  </si>
  <si>
    <t>BM</t>
  </si>
  <si>
    <t>US 1-3y Govt Bond Index</t>
  </si>
  <si>
    <t>JP Morgan</t>
  </si>
  <si>
    <t>EMU 1-3y Govt Bond Index</t>
  </si>
  <si>
    <t>Hedged in $</t>
  </si>
  <si>
    <t>1-3y Global Govt Bond Index</t>
  </si>
  <si>
    <t>Global Govt Bond Index</t>
  </si>
  <si>
    <t>Euro Agg Corporate Bond Index</t>
  </si>
  <si>
    <t>Barclays</t>
  </si>
  <si>
    <t>Global  Agg Corporate Bond Index</t>
  </si>
  <si>
    <t>Global Aggregate Bond Index</t>
  </si>
  <si>
    <t>ML US HY Master Constrained II</t>
  </si>
  <si>
    <t>Bank Of America</t>
  </si>
  <si>
    <t>EMBI Global Index</t>
  </si>
  <si>
    <t>GBI-EM Global Diversified Index</t>
  </si>
  <si>
    <t>Unhedged in $</t>
  </si>
  <si>
    <t>Fcast Returns</t>
  </si>
  <si>
    <t>Base - Muddle Through</t>
  </si>
  <si>
    <t>Alternative - Inflation</t>
  </si>
  <si>
    <t>Risk - Deflation</t>
  </si>
  <si>
    <t>Carry</t>
  </si>
  <si>
    <t>Duration</t>
  </si>
  <si>
    <t>Spread</t>
  </si>
  <si>
    <t>Default</t>
  </si>
  <si>
    <t>Currency</t>
  </si>
  <si>
    <t>Total</t>
  </si>
  <si>
    <t>RETURNS IN EACH SCENARIO</t>
  </si>
  <si>
    <t>WEIGHTS</t>
  </si>
  <si>
    <t>HISTORICAL MONTHLY RETURNS</t>
  </si>
  <si>
    <t>FORECAST RETURNS</t>
  </si>
  <si>
    <t>IN SELECTED SCENARIO</t>
  </si>
  <si>
    <t>%</t>
  </si>
  <si>
    <t>US3m</t>
  </si>
  <si>
    <t>US10y</t>
  </si>
  <si>
    <t>EU3m</t>
  </si>
  <si>
    <t>EU10y</t>
  </si>
  <si>
    <t>GB3m</t>
  </si>
  <si>
    <t>GB10y</t>
  </si>
  <si>
    <t>JP3m</t>
  </si>
  <si>
    <t>JP10y</t>
  </si>
  <si>
    <t>US Corp IG</t>
  </si>
  <si>
    <t>US Corp HY</t>
  </si>
  <si>
    <t>HY Default</t>
  </si>
  <si>
    <t>Recovery</t>
  </si>
  <si>
    <t>GBI-EM</t>
  </si>
  <si>
    <t>USD v EUR</t>
  </si>
  <si>
    <t>USD v JPY</t>
  </si>
  <si>
    <t>USD v EM</t>
  </si>
  <si>
    <t>SPOT</t>
  </si>
  <si>
    <t>RISK - DEFLATION</t>
  </si>
  <si>
    <t>ALTERNATIVE - INFLATION</t>
  </si>
  <si>
    <t>BASE - MUDDLE THROUGH</t>
  </si>
  <si>
    <t>% appn of dollar</t>
  </si>
  <si>
    <t>Govt curves</t>
  </si>
  <si>
    <t>Scenarios</t>
  </si>
  <si>
    <t>US Corp Spreads</t>
  </si>
  <si>
    <t>IG</t>
  </si>
  <si>
    <t>FX</t>
  </si>
  <si>
    <t>3m</t>
  </si>
  <si>
    <t>10y</t>
  </si>
  <si>
    <t>Spot</t>
  </si>
  <si>
    <t>Forecast</t>
  </si>
  <si>
    <t>⍙</t>
  </si>
  <si>
    <t>US Govt Yields</t>
  </si>
  <si>
    <t>EU Govt Yields</t>
  </si>
  <si>
    <t>GB Govt Yields</t>
  </si>
  <si>
    <t>JP Govt Yields</t>
  </si>
  <si>
    <t>Scenario</t>
  </si>
  <si>
    <t>USD</t>
  </si>
  <si>
    <t>EUR</t>
  </si>
  <si>
    <t>GBP</t>
  </si>
  <si>
    <t>JPY</t>
  </si>
  <si>
    <t>SAFE WEIGHTS</t>
  </si>
  <si>
    <t>Past 10 years</t>
  </si>
  <si>
    <t>Info Ratio</t>
  </si>
  <si>
    <t>Ann Return, %</t>
  </si>
  <si>
    <t>Ann Std Dev, %</t>
  </si>
  <si>
    <t>Worst Month, %</t>
  </si>
  <si>
    <t>Best Month, %</t>
  </si>
  <si>
    <t>Individual Year Returns</t>
  </si>
  <si>
    <t>Scenario Return</t>
  </si>
  <si>
    <t>-1sd</t>
  </si>
  <si>
    <t>+1sd</t>
  </si>
  <si>
    <t>x-value</t>
  </si>
  <si>
    <t xml:space="preserve"> </t>
  </si>
  <si>
    <t>sd</t>
  </si>
  <si>
    <t>HY Default Rate, %</t>
  </si>
  <si>
    <t>Recovery Rate, %</t>
  </si>
  <si>
    <t>Chart Choice</t>
  </si>
  <si>
    <t>Return bars</t>
  </si>
  <si>
    <t>Perf Stats</t>
  </si>
  <si>
    <t>Return ranges</t>
  </si>
  <si>
    <t>Return series</t>
  </si>
  <si>
    <t xml:space="preserve">           Chart selection</t>
  </si>
  <si>
    <t>Spot values today, and scenario values 1 year from today</t>
  </si>
  <si>
    <t>Choice</t>
  </si>
  <si>
    <t>Fund Choice</t>
  </si>
  <si>
    <t>Scen Choice</t>
  </si>
  <si>
    <t xml:space="preserve">Scenario </t>
  </si>
  <si>
    <t xml:space="preserve">Fund </t>
  </si>
  <si>
    <t xml:space="preserve">    Save </t>
  </si>
  <si>
    <t xml:space="preserve">    Portfolio</t>
  </si>
  <si>
    <t>Reload Last</t>
  </si>
  <si>
    <t>Saved P'folio</t>
  </si>
  <si>
    <t>X</t>
  </si>
  <si>
    <t>USD v EM, %</t>
  </si>
  <si>
    <t xml:space="preserve"> Allocations To Funds</t>
  </si>
  <si>
    <t>USD v GBP</t>
  </si>
  <si>
    <t>US Govt 1-3</t>
  </si>
  <si>
    <t>US High Yield</t>
  </si>
  <si>
    <t>EM Govt US$</t>
  </si>
  <si>
    <t>EM Govt Local Unhedged</t>
  </si>
  <si>
    <t>EM Govt Unhedged</t>
  </si>
  <si>
    <t>Global Govt 1-3 Hedged</t>
  </si>
  <si>
    <t>Global Govt 1-30 Hedged</t>
  </si>
  <si>
    <t>EM Govt Yield</t>
  </si>
  <si>
    <t>EM Govt $ Spread</t>
  </si>
  <si>
    <t>Fund Details</t>
  </si>
  <si>
    <t>Euro Govt 1-3 Hedged</t>
  </si>
  <si>
    <t>Most recent 5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</si>
</sst>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"/>
    <numFmt numFmtId="167" formatCode="0.00;[Red]\-0.00"/>
    <numFmt numFmtId="168" formatCode="0.00_ ;[Red]\-0.00\ "/>
    <numFmt numFmtId="169" formatCode="0_ ;[Red]\-0\ "/>
  </numFmts>
  <fonts count="25">
    <font>
      <sz val="12"/>
      <color theme="1"/>
      <name val="Calibri"/>
      <family val="2"/>
      <scheme val="minor"/>
    </font>
    <font>
      <b/>
      <sz val="11"/>
      <color indexed="10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</font>
    <font>
      <i/>
      <sz val="11"/>
      <color indexed="1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2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3"/>
      <color rgb="FF000000"/>
      <name val="Lucida Grande"/>
    </font>
    <font>
      <sz val="12"/>
      <color rgb="FF000000"/>
      <name val="Calibri"/>
      <family val="2"/>
    </font>
    <font>
      <b/>
      <sz val="11"/>
      <color theme="1"/>
      <name val="Source Sans CAIM"/>
    </font>
    <font>
      <sz val="11"/>
      <color theme="1"/>
      <name val="Source Sans CAIM"/>
    </font>
    <font>
      <sz val="11"/>
      <color theme="0"/>
      <name val="Source Sans CAIM"/>
    </font>
    <font>
      <b/>
      <sz val="11"/>
      <color theme="0"/>
      <name val="Source Sans CAIM"/>
    </font>
    <font>
      <b/>
      <sz val="12"/>
      <color theme="5"/>
      <name val="Source Sans CAIM"/>
    </font>
    <font>
      <b/>
      <sz val="11"/>
      <color theme="5"/>
      <name val="Source Sans CAIM"/>
    </font>
    <font>
      <b/>
      <i/>
      <sz val="11"/>
      <color theme="1"/>
      <name val="Source Sans CAIM"/>
    </font>
    <font>
      <i/>
      <sz val="10"/>
      <color theme="5"/>
      <name val="Source Sans CAIM"/>
    </font>
    <font>
      <b/>
      <sz val="16"/>
      <color theme="5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8999908444471571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282C4E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16" borderId="0" applyNumberFormat="0" applyBorder="0" applyAlignment="0" applyProtection="0"/>
  </cellStyleXfs>
  <cellXfs count="162">
    <xf numFmtId="0" fontId="0" fillId="0" borderId="0" xfId="0"/>
    <xf numFmtId="0" fontId="1" fillId="0" borderId="1" xfId="0" applyFont="1" applyBorder="1" applyAlignment="1">
      <alignment horizontal="left"/>
    </xf>
    <xf numFmtId="0" fontId="2" fillId="0" borderId="2" xfId="0" applyFont="1" applyBorder="1" applyAlignment="1">
      <alignment textRotation="135"/>
    </xf>
    <xf numFmtId="0" fontId="2" fillId="0" borderId="0" xfId="0" applyFont="1" applyAlignment="1">
      <alignment textRotation="135"/>
    </xf>
    <xf numFmtId="0" fontId="0" fillId="0" borderId="3" xfId="0" applyBorder="1" applyAlignment="1">
      <alignment textRotation="135"/>
    </xf>
    <xf numFmtId="17" fontId="0" fillId="0" borderId="3" xfId="0" applyNumberFormat="1" applyBorder="1" applyAlignment="1">
      <alignment horizontal="left"/>
    </xf>
    <xf numFmtId="0" fontId="2" fillId="0" borderId="0" xfId="0" applyFont="1"/>
    <xf numFmtId="17" fontId="0" fillId="0" borderId="3" xfId="0" applyNumberFormat="1" applyBorder="1" applyAlignment="1">
      <alignment horizontal="left" wrapText="1"/>
    </xf>
    <xf numFmtId="17" fontId="0" fillId="0" borderId="2" xfId="0" applyNumberFormat="1" applyBorder="1" applyAlignment="1">
      <alignment horizontal="left"/>
    </xf>
    <xf numFmtId="17" fontId="0" fillId="4" borderId="3" xfId="0" applyNumberFormat="1" applyFill="1" applyBorder="1" applyAlignment="1">
      <alignment horizontal="left" wrapText="1"/>
    </xf>
    <xf numFmtId="0" fontId="0" fillId="5" borderId="7" xfId="0" applyFill="1" applyBorder="1"/>
    <xf numFmtId="164" fontId="0" fillId="6" borderId="4" xfId="0" applyNumberFormat="1" applyFill="1" applyBorder="1"/>
    <xf numFmtId="164" fontId="0" fillId="6" borderId="5" xfId="0" applyNumberFormat="1" applyFill="1" applyBorder="1"/>
    <xf numFmtId="17" fontId="0" fillId="4" borderId="3" xfId="0" applyNumberFormat="1" applyFill="1" applyBorder="1" applyAlignment="1">
      <alignment horizontal="left"/>
    </xf>
    <xf numFmtId="0" fontId="0" fillId="5" borderId="8" xfId="0" applyFill="1" applyBorder="1"/>
    <xf numFmtId="164" fontId="0" fillId="5" borderId="0" xfId="0" applyNumberFormat="1" applyFill="1"/>
    <xf numFmtId="164" fontId="0" fillId="5" borderId="6" xfId="0" applyNumberFormat="1" applyFill="1" applyBorder="1"/>
    <xf numFmtId="17" fontId="0" fillId="4" borderId="2" xfId="0" applyNumberFormat="1" applyFill="1" applyBorder="1" applyAlignment="1">
      <alignment horizontal="left"/>
    </xf>
    <xf numFmtId="0" fontId="0" fillId="5" borderId="9" xfId="0" applyFill="1" applyBorder="1"/>
    <xf numFmtId="164" fontId="0" fillId="5" borderId="10" xfId="0" applyNumberFormat="1" applyFill="1" applyBorder="1"/>
    <xf numFmtId="164" fontId="0" fillId="5" borderId="1" xfId="0" applyNumberFormat="1" applyFill="1" applyBorder="1"/>
    <xf numFmtId="0" fontId="3" fillId="6" borderId="7" xfId="0" applyFont="1" applyFill="1" applyBorder="1" applyAlignment="1">
      <alignment horizontal="left"/>
    </xf>
    <xf numFmtId="0" fontId="3" fillId="6" borderId="5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2" borderId="7" xfId="0" applyFill="1" applyBorder="1"/>
    <xf numFmtId="0" fontId="0" fillId="2" borderId="4" xfId="0" applyFill="1" applyBorder="1"/>
    <xf numFmtId="0" fontId="0" fillId="3" borderId="4" xfId="0" applyFill="1" applyBorder="1"/>
    <xf numFmtId="0" fontId="0" fillId="7" borderId="4" xfId="0" applyFill="1" applyBorder="1"/>
    <xf numFmtId="0" fontId="0" fillId="7" borderId="5" xfId="0" applyFill="1" applyBorder="1"/>
    <xf numFmtId="0" fontId="3" fillId="6" borderId="8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2" borderId="9" xfId="0" applyFill="1" applyBorder="1"/>
    <xf numFmtId="0" fontId="0" fillId="2" borderId="10" xfId="0" applyFill="1" applyBorder="1"/>
    <xf numFmtId="0" fontId="0" fillId="3" borderId="10" xfId="0" applyFill="1" applyBorder="1"/>
    <xf numFmtId="0" fontId="0" fillId="7" borderId="10" xfId="0" applyFill="1" applyBorder="1"/>
    <xf numFmtId="0" fontId="0" fillId="7" borderId="1" xfId="0" applyFill="1" applyBorder="1"/>
    <xf numFmtId="0" fontId="0" fillId="8" borderId="7" xfId="0" applyFill="1" applyBorder="1"/>
    <xf numFmtId="0" fontId="0" fillId="8" borderId="5" xfId="0" applyFill="1" applyBorder="1"/>
    <xf numFmtId="0" fontId="0" fillId="3" borderId="7" xfId="0" applyFill="1" applyBorder="1"/>
    <xf numFmtId="0" fontId="4" fillId="0" borderId="4" xfId="0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0" fontId="0" fillId="2" borderId="8" xfId="0" applyFill="1" applyBorder="1"/>
    <xf numFmtId="0" fontId="0" fillId="2" borderId="0" xfId="0" applyFill="1"/>
    <xf numFmtId="0" fontId="0" fillId="3" borderId="0" xfId="0" applyFill="1"/>
    <xf numFmtId="0" fontId="0" fillId="7" borderId="0" xfId="0" applyFill="1"/>
    <xf numFmtId="0" fontId="0" fillId="7" borderId="6" xfId="0" applyFill="1" applyBorder="1"/>
    <xf numFmtId="0" fontId="0" fillId="8" borderId="8" xfId="0" applyFill="1" applyBorder="1"/>
    <xf numFmtId="0" fontId="0" fillId="8" borderId="6" xfId="0" applyFill="1" applyBorder="1"/>
    <xf numFmtId="0" fontId="5" fillId="3" borderId="8" xfId="0" applyFont="1" applyFill="1" applyBorder="1" applyAlignment="1">
      <alignment horizontal="right"/>
    </xf>
    <xf numFmtId="0" fontId="5" fillId="3" borderId="0" xfId="0" applyFont="1" applyFill="1" applyAlignment="1">
      <alignment horizontal="right"/>
    </xf>
    <xf numFmtId="0" fontId="0" fillId="2" borderId="0" xfId="0" applyFill="1" applyAlignment="1">
      <alignment horizontal="left"/>
    </xf>
    <xf numFmtId="165" fontId="6" fillId="8" borderId="8" xfId="0" applyNumberFormat="1" applyFont="1" applyFill="1" applyBorder="1" applyAlignment="1">
      <alignment horizontal="center"/>
    </xf>
    <xf numFmtId="165" fontId="6" fillId="8" borderId="6" xfId="0" applyNumberFormat="1" applyFont="1" applyFill="1" applyBorder="1" applyAlignment="1">
      <alignment horizontal="center"/>
    </xf>
    <xf numFmtId="0" fontId="0" fillId="3" borderId="8" xfId="0" applyFill="1" applyBorder="1"/>
    <xf numFmtId="0" fontId="0" fillId="3" borderId="9" xfId="0" applyFill="1" applyBorder="1"/>
    <xf numFmtId="0" fontId="0" fillId="9" borderId="0" xfId="0" applyFill="1"/>
    <xf numFmtId="0" fontId="0" fillId="10" borderId="0" xfId="0" applyFill="1"/>
    <xf numFmtId="165" fontId="6" fillId="8" borderId="0" xfId="0" applyNumberFormat="1" applyFont="1" applyFill="1" applyAlignment="1">
      <alignment horizontal="center"/>
    </xf>
    <xf numFmtId="165" fontId="6" fillId="8" borderId="9" xfId="0" applyNumberFormat="1" applyFont="1" applyFill="1" applyBorder="1" applyAlignment="1">
      <alignment horizontal="center"/>
    </xf>
    <xf numFmtId="165" fontId="6" fillId="8" borderId="1" xfId="0" applyNumberFormat="1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9" borderId="10" xfId="0" applyFill="1" applyBorder="1"/>
    <xf numFmtId="0" fontId="0" fillId="10" borderId="10" xfId="0" applyFill="1" applyBorder="1"/>
    <xf numFmtId="0" fontId="0" fillId="11" borderId="0" xfId="0" applyFill="1"/>
    <xf numFmtId="0" fontId="7" fillId="12" borderId="0" xfId="0" applyFont="1" applyFill="1"/>
    <xf numFmtId="0" fontId="0" fillId="13" borderId="0" xfId="0" applyFill="1" applyAlignment="1">
      <alignment horizontal="left"/>
    </xf>
    <xf numFmtId="0" fontId="0" fillId="13" borderId="0" xfId="0" applyFill="1"/>
    <xf numFmtId="0" fontId="0" fillId="14" borderId="0" xfId="0" applyFill="1" applyAlignment="1">
      <alignment horizontal="left"/>
    </xf>
    <xf numFmtId="0" fontId="0" fillId="14" borderId="0" xfId="0" applyFill="1"/>
    <xf numFmtId="0" fontId="0" fillId="15" borderId="0" xfId="0" applyFill="1" applyAlignment="1">
      <alignment horizontal="left"/>
    </xf>
    <xf numFmtId="0" fontId="0" fillId="15" borderId="0" xfId="0" applyFill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0" fontId="9" fillId="0" borderId="0" xfId="0" applyFont="1" applyAlignment="1">
      <alignment horizontal="center"/>
    </xf>
    <xf numFmtId="0" fontId="9" fillId="0" borderId="0" xfId="0" applyFont="1"/>
    <xf numFmtId="0" fontId="2" fillId="0" borderId="3" xfId="0" applyFont="1" applyBorder="1" applyAlignment="1">
      <alignment textRotation="135"/>
    </xf>
    <xf numFmtId="0" fontId="0" fillId="13" borderId="7" xfId="0" applyFill="1" applyBorder="1"/>
    <xf numFmtId="0" fontId="0" fillId="13" borderId="5" xfId="0" applyFill="1" applyBorder="1"/>
    <xf numFmtId="0" fontId="0" fillId="13" borderId="8" xfId="0" applyFill="1" applyBorder="1"/>
    <xf numFmtId="0" fontId="0" fillId="13" borderId="6" xfId="0" applyFill="1" applyBorder="1"/>
    <xf numFmtId="0" fontId="0" fillId="14" borderId="8" xfId="0" applyFill="1" applyBorder="1"/>
    <xf numFmtId="0" fontId="0" fillId="14" borderId="6" xfId="0" applyFill="1" applyBorder="1"/>
    <xf numFmtId="0" fontId="0" fillId="15" borderId="8" xfId="0" applyFill="1" applyBorder="1"/>
    <xf numFmtId="0" fontId="0" fillId="15" borderId="6" xfId="0" applyFill="1" applyBorder="1"/>
    <xf numFmtId="0" fontId="0" fillId="15" borderId="9" xfId="0" applyFill="1" applyBorder="1"/>
    <xf numFmtId="0" fontId="0" fillId="15" borderId="1" xfId="0" applyFill="1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5" borderId="5" xfId="0" applyFill="1" applyBorder="1"/>
    <xf numFmtId="0" fontId="0" fillId="5" borderId="6" xfId="0" applyFill="1" applyBorder="1"/>
    <xf numFmtId="0" fontId="0" fillId="5" borderId="1" xfId="0" applyFill="1" applyBorder="1"/>
    <xf numFmtId="0" fontId="0" fillId="13" borderId="4" xfId="0" applyFill="1" applyBorder="1"/>
    <xf numFmtId="0" fontId="0" fillId="15" borderId="10" xfId="0" applyFill="1" applyBorder="1"/>
    <xf numFmtId="0" fontId="2" fillId="0" borderId="10" xfId="0" applyFont="1" applyBorder="1"/>
    <xf numFmtId="0" fontId="0" fillId="0" borderId="9" xfId="0" applyBorder="1"/>
    <xf numFmtId="0" fontId="0" fillId="4" borderId="8" xfId="0" applyFill="1" applyBorder="1"/>
    <xf numFmtId="0" fontId="0" fillId="4" borderId="9" xfId="0" applyFill="1" applyBorder="1"/>
    <xf numFmtId="0" fontId="0" fillId="0" borderId="1" xfId="0" applyBorder="1"/>
    <xf numFmtId="0" fontId="9" fillId="0" borderId="4" xfId="0" applyFont="1" applyBorder="1"/>
    <xf numFmtId="167" fontId="10" fillId="16" borderId="10" xfId="1" applyNumberFormat="1" applyBorder="1"/>
    <xf numFmtId="0" fontId="10" fillId="16" borderId="11" xfId="1" applyBorder="1"/>
    <xf numFmtId="0" fontId="8" fillId="16" borderId="11" xfId="1" applyFont="1" applyBorder="1" applyAlignment="1">
      <alignment textRotation="135"/>
    </xf>
    <xf numFmtId="0" fontId="10" fillId="16" borderId="11" xfId="1" applyBorder="1" applyAlignment="1">
      <alignment textRotation="135"/>
    </xf>
    <xf numFmtId="0" fontId="11" fillId="16" borderId="8" xfId="1" applyFont="1" applyBorder="1"/>
    <xf numFmtId="0" fontId="10" fillId="16" borderId="0" xfId="1" applyBorder="1"/>
    <xf numFmtId="0" fontId="10" fillId="16" borderId="6" xfId="1" applyBorder="1"/>
    <xf numFmtId="0" fontId="10" fillId="16" borderId="8" xfId="1" applyBorder="1"/>
    <xf numFmtId="167" fontId="10" fillId="16" borderId="0" xfId="1" applyNumberFormat="1" applyBorder="1"/>
    <xf numFmtId="167" fontId="10" fillId="16" borderId="6" xfId="1" applyNumberFormat="1" applyBorder="1"/>
    <xf numFmtId="0" fontId="10" fillId="16" borderId="9" xfId="1" applyBorder="1"/>
    <xf numFmtId="167" fontId="10" fillId="16" borderId="1" xfId="1" applyNumberFormat="1" applyBorder="1"/>
    <xf numFmtId="0" fontId="0" fillId="17" borderId="9" xfId="0" applyFill="1" applyBorder="1"/>
    <xf numFmtId="0" fontId="0" fillId="17" borderId="10" xfId="0" applyFill="1" applyBorder="1"/>
    <xf numFmtId="0" fontId="0" fillId="17" borderId="1" xfId="0" applyFill="1" applyBorder="1"/>
    <xf numFmtId="0" fontId="0" fillId="17" borderId="8" xfId="0" applyFill="1" applyBorder="1"/>
    <xf numFmtId="166" fontId="0" fillId="0" borderId="9" xfId="0" applyNumberFormat="1" applyBorder="1" applyAlignment="1">
      <alignment horizontal="left"/>
    </xf>
    <xf numFmtId="0" fontId="0" fillId="0" borderId="0" xfId="0" quotePrefix="1" applyAlignment="1">
      <alignment horizontal="right"/>
    </xf>
    <xf numFmtId="166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17" fontId="0" fillId="13" borderId="0" xfId="0" applyNumberFormat="1" applyFill="1" applyAlignment="1">
      <alignment horizontal="right"/>
    </xf>
    <xf numFmtId="0" fontId="0" fillId="17" borderId="0" xfId="0" applyFill="1"/>
    <xf numFmtId="0" fontId="0" fillId="0" borderId="8" xfId="0" applyBorder="1" applyAlignment="1">
      <alignment textRotation="135"/>
    </xf>
    <xf numFmtId="0" fontId="8" fillId="17" borderId="0" xfId="0" applyFont="1" applyFill="1" applyAlignment="1">
      <alignment horizontal="left"/>
    </xf>
    <xf numFmtId="0" fontId="8" fillId="9" borderId="10" xfId="0" applyFont="1" applyFill="1" applyBorder="1"/>
    <xf numFmtId="0" fontId="0" fillId="18" borderId="0" xfId="0" applyFill="1"/>
    <xf numFmtId="0" fontId="0" fillId="0" borderId="0" xfId="0" applyProtection="1">
      <protection locked="0"/>
    </xf>
    <xf numFmtId="0" fontId="0" fillId="19" borderId="0" xfId="0" applyFill="1"/>
    <xf numFmtId="0" fontId="17" fillId="19" borderId="0" xfId="0" applyFont="1" applyFill="1"/>
    <xf numFmtId="0" fontId="17" fillId="19" borderId="0" xfId="0" applyFont="1" applyFill="1" applyAlignment="1">
      <alignment horizontal="center"/>
    </xf>
    <xf numFmtId="0" fontId="16" fillId="19" borderId="0" xfId="0" applyFont="1" applyFill="1" applyAlignment="1">
      <alignment horizontal="right"/>
    </xf>
    <xf numFmtId="0" fontId="17" fillId="19" borderId="0" xfId="0" applyFont="1" applyFill="1" applyAlignment="1" applyProtection="1">
      <alignment horizontal="center"/>
      <protection locked="0"/>
    </xf>
    <xf numFmtId="0" fontId="18" fillId="20" borderId="10" xfId="0" applyFont="1" applyFill="1" applyBorder="1"/>
    <xf numFmtId="0" fontId="19" fillId="20" borderId="10" xfId="0" applyFont="1" applyFill="1" applyBorder="1" applyAlignment="1">
      <alignment horizontal="center"/>
    </xf>
    <xf numFmtId="0" fontId="17" fillId="19" borderId="0" xfId="0" applyFont="1" applyFill="1" applyAlignment="1">
      <alignment horizontal="right"/>
    </xf>
    <xf numFmtId="2" fontId="17" fillId="19" borderId="0" xfId="0" applyNumberFormat="1" applyFont="1" applyFill="1" applyAlignment="1">
      <alignment horizontal="center"/>
    </xf>
    <xf numFmtId="168" fontId="17" fillId="19" borderId="0" xfId="0" applyNumberFormat="1" applyFont="1" applyFill="1" applyAlignment="1">
      <alignment horizontal="center"/>
    </xf>
    <xf numFmtId="169" fontId="17" fillId="19" borderId="0" xfId="0" applyNumberFormat="1" applyFont="1" applyFill="1" applyAlignment="1">
      <alignment horizontal="center"/>
    </xf>
    <xf numFmtId="0" fontId="17" fillId="19" borderId="0" xfId="0" applyFont="1" applyFill="1" applyAlignment="1">
      <alignment horizontal="left"/>
    </xf>
    <xf numFmtId="166" fontId="17" fillId="19" borderId="0" xfId="0" applyNumberFormat="1" applyFont="1" applyFill="1" applyAlignment="1">
      <alignment horizontal="center"/>
    </xf>
    <xf numFmtId="0" fontId="13" fillId="19" borderId="0" xfId="0" applyFont="1" applyFill="1" applyAlignment="1">
      <alignment wrapText="1"/>
    </xf>
    <xf numFmtId="0" fontId="20" fillId="19" borderId="0" xfId="0" applyFont="1" applyFill="1" applyAlignment="1">
      <alignment vertical="top"/>
    </xf>
    <xf numFmtId="0" fontId="17" fillId="19" borderId="0" xfId="0" applyFont="1" applyFill="1" applyProtection="1">
      <protection locked="0"/>
    </xf>
    <xf numFmtId="0" fontId="22" fillId="19" borderId="0" xfId="0" applyFont="1" applyFill="1"/>
    <xf numFmtId="167" fontId="17" fillId="19" borderId="0" xfId="1" applyNumberFormat="1" applyFont="1" applyFill="1" applyBorder="1"/>
    <xf numFmtId="0" fontId="12" fillId="19" borderId="0" xfId="0" applyFont="1" applyFill="1"/>
    <xf numFmtId="0" fontId="16" fillId="19" borderId="0" xfId="0" applyFont="1" applyFill="1" applyAlignment="1">
      <alignment horizontal="left"/>
    </xf>
    <xf numFmtId="0" fontId="21" fillId="19" borderId="0" xfId="0" applyFont="1" applyFill="1"/>
    <xf numFmtId="0" fontId="24" fillId="19" borderId="0" xfId="0" applyFont="1" applyFill="1"/>
    <xf numFmtId="0" fontId="17" fillId="19" borderId="12" xfId="1" applyFont="1" applyFill="1" applyBorder="1"/>
    <xf numFmtId="0" fontId="16" fillId="19" borderId="0" xfId="1" applyFont="1" applyFill="1" applyBorder="1"/>
    <xf numFmtId="0" fontId="17" fillId="19" borderId="0" xfId="1" applyFont="1" applyFill="1" applyBorder="1"/>
    <xf numFmtId="0" fontId="19" fillId="21" borderId="12" xfId="1" applyFont="1" applyFill="1" applyBorder="1" applyAlignment="1">
      <alignment textRotation="135"/>
    </xf>
    <xf numFmtId="0" fontId="18" fillId="21" borderId="12" xfId="1" applyFont="1" applyFill="1" applyBorder="1" applyAlignment="1">
      <alignment textRotation="135"/>
    </xf>
    <xf numFmtId="0" fontId="20" fillId="19" borderId="0" xfId="0" applyFont="1" applyFill="1"/>
    <xf numFmtId="0" fontId="17" fillId="19" borderId="0" xfId="0" applyFont="1" applyFill="1" applyAlignment="1">
      <alignment horizontal="left"/>
    </xf>
    <xf numFmtId="0" fontId="23" fillId="19" borderId="0" xfId="0" applyFont="1" applyFill="1" applyAlignment="1">
      <alignment wrapText="1"/>
    </xf>
  </cellXfs>
  <cellStyles count="2">
    <cellStyle name="40% - Accent5" xfId="1" builtinId="47"/>
    <cellStyle name="Normal" xfId="0" builtinId="0"/>
  </cellStyles>
  <dxfs count="2">
    <dxf>
      <font>
        <color theme="5"/>
      </font>
    </dxf>
    <dxf>
      <font>
        <color theme="5"/>
      </font>
    </dxf>
  </dxfs>
  <tableStyles count="0" defaultTableStyle="TableStyleMedium2" defaultPivotStyle="PivotStyleLight16"/>
  <colors>
    <mruColors>
      <color rgb="FF282C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692621755613888E-2"/>
          <c:y val="8.877911313717364E-2"/>
          <c:w val="0.87161876370391966"/>
          <c:h val="0.81357878159966845"/>
        </c:manualLayout>
      </c:layout>
      <c:scatterChart>
        <c:scatterStyle val="lineMarker"/>
        <c:varyColors val="0"/>
        <c:ser>
          <c:idx val="0"/>
          <c:order val="0"/>
          <c:tx>
            <c:strRef>
              <c:f>Forecaster!$E$6</c:f>
              <c:strCache>
                <c:ptCount val="1"/>
                <c:pt idx="0">
                  <c:v>Spot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Scenarios!$H$29:$H$39</c:f>
              <c:numCache>
                <c:formatCode>General</c:formatCode>
                <c:ptCount val="11"/>
                <c:pt idx="0">
                  <c:v>0.25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Scenarios!$I$29:$I$39</c:f>
              <c:numCache>
                <c:formatCode>General</c:formatCode>
                <c:ptCount val="11"/>
                <c:pt idx="0">
                  <c:v>0.48</c:v>
                </c:pt>
                <c:pt idx="1">
                  <c:v>0.42451332412490506</c:v>
                </c:pt>
                <c:pt idx="2">
                  <c:v>0.56520374728482348</c:v>
                </c:pt>
                <c:pt idx="3">
                  <c:v>0.7058941704447419</c:v>
                </c:pt>
                <c:pt idx="4">
                  <c:v>0.98727501676457863</c:v>
                </c:pt>
                <c:pt idx="5">
                  <c:v>1.3686160447585314</c:v>
                </c:pt>
                <c:pt idx="6">
                  <c:v>1.9406275867494607</c:v>
                </c:pt>
                <c:pt idx="7">
                  <c:v>2.4371927959048865</c:v>
                </c:pt>
                <c:pt idx="8">
                  <c:v>2.9337580050603118</c:v>
                </c:pt>
                <c:pt idx="9">
                  <c:v>3.1820406096380243</c:v>
                </c:pt>
                <c:pt idx="10">
                  <c:v>3.4303232142157372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B0-604A-8F7C-DA2745B0B1B5}"/>
            </c:ext>
          </c:extLst>
        </c:ser>
        <c:ser>
          <c:idx val="1"/>
          <c:order val="1"/>
          <c:tx>
            <c:strRef>
              <c:f>Forecaster!$F$6</c:f>
              <c:strCache>
                <c:ptCount val="1"/>
                <c:pt idx="0">
                  <c:v>Scenario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Scenarios!$H$29:$H$39</c:f>
              <c:numCache>
                <c:formatCode>General</c:formatCode>
                <c:ptCount val="11"/>
                <c:pt idx="0">
                  <c:v>0.25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Scenarios!$J$29:$J$39</c:f>
              <c:numCache>
                <c:formatCode>General</c:formatCode>
                <c:ptCount val="11"/>
                <c:pt idx="0">
                  <c:v>1</c:v>
                </c:pt>
                <c:pt idx="1">
                  <c:v>1.0052342789903312</c:v>
                </c:pt>
                <c:pt idx="2">
                  <c:v>1.226885975304151</c:v>
                </c:pt>
                <c:pt idx="3">
                  <c:v>1.448537671617971</c:v>
                </c:pt>
                <c:pt idx="4">
                  <c:v>1.8918410642456105</c:v>
                </c:pt>
                <c:pt idx="5">
                  <c:v>2.4351046385473665</c:v>
                </c:pt>
                <c:pt idx="6">
                  <c:v>3.25</c:v>
                </c:pt>
                <c:pt idx="7">
                  <c:v>3.7465652091554258</c:v>
                </c:pt>
                <c:pt idx="8">
                  <c:v>4.2431304183108516</c:v>
                </c:pt>
                <c:pt idx="9">
                  <c:v>4.4914130228885636</c:v>
                </c:pt>
                <c:pt idx="10">
                  <c:v>4.7396956274662765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B0-604A-8F7C-DA2745B0B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698240"/>
        <c:axId val="598838512"/>
      </c:scatterChart>
      <c:valAx>
        <c:axId val="59969824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598838512"/>
        <c:crosses val="autoZero"/>
        <c:crossBetween val="midCat"/>
      </c:valAx>
      <c:valAx>
        <c:axId val="5988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59969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100500684697014"/>
          <c:y val="0.12444638004320259"/>
          <c:w val="0.2150819496747689"/>
          <c:h val="0.184735558497665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r>
              <a:rPr lang="en-GB" b="1">
                <a:latin typeface="Source Sans CAIM"/>
              </a:rPr>
              <a:t>Returns</a:t>
            </a:r>
            <a:r>
              <a:rPr lang="en-GB" b="1" baseline="0">
                <a:latin typeface="Source Sans CAIM"/>
              </a:rPr>
              <a:t> For Each Of Past 10 Years</a:t>
            </a:r>
            <a:endParaRPr lang="en-GB" b="1">
              <a:latin typeface="Source Sans CAIM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966455862612953E-2"/>
          <c:y val="9.400446104646476E-2"/>
          <c:w val="0.92177601262056652"/>
          <c:h val="0.748972872397799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Returns!$C$169:$N$169</c:f>
              <c:numCache>
                <c:formatCode>General</c:formatCode>
                <c:ptCount val="12"/>
                <c:pt idx="0">
                  <c:v>4.3582808827062891</c:v>
                </c:pt>
                <c:pt idx="1">
                  <c:v>4.3582808827062891</c:v>
                </c:pt>
                <c:pt idx="2">
                  <c:v>4.9688920727277708</c:v>
                </c:pt>
                <c:pt idx="3">
                  <c:v>5.2603718498794194</c:v>
                </c:pt>
                <c:pt idx="4">
                  <c:v>4.3582808827062891</c:v>
                </c:pt>
                <c:pt idx="5">
                  <c:v>8.9877167681531098</c:v>
                </c:pt>
                <c:pt idx="6">
                  <c:v>10.821004464597106</c:v>
                </c:pt>
                <c:pt idx="7">
                  <c:v>12.527945606535717</c:v>
                </c:pt>
                <c:pt idx="8">
                  <c:v>9.0230481466984322</c:v>
                </c:pt>
                <c:pt idx="9">
                  <c:v>21.955936244425843</c:v>
                </c:pt>
                <c:pt idx="10">
                  <c:v>31.528909370273126</c:v>
                </c:pt>
                <c:pt idx="11">
                  <c:v>11.298940000000002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2-C243-B75B-555F758A626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Returns!$C$170:$N$170</c:f>
              <c:numCache>
                <c:formatCode>General</c:formatCode>
                <c:ptCount val="12"/>
                <c:pt idx="0">
                  <c:v>1.0517449121785205</c:v>
                </c:pt>
                <c:pt idx="1">
                  <c:v>1.0517449121785205</c:v>
                </c:pt>
                <c:pt idx="2">
                  <c:v>0.51463188593305897</c:v>
                </c:pt>
                <c:pt idx="3">
                  <c:v>1.183743917027491</c:v>
                </c:pt>
                <c:pt idx="4">
                  <c:v>1.0517449121785205</c:v>
                </c:pt>
                <c:pt idx="5">
                  <c:v>-0.4627882324800936</c:v>
                </c:pt>
                <c:pt idx="6">
                  <c:v>2.3411731511457701</c:v>
                </c:pt>
                <c:pt idx="7">
                  <c:v>0.78769732841634799</c:v>
                </c:pt>
                <c:pt idx="8">
                  <c:v>0.20065721948676618</c:v>
                </c:pt>
                <c:pt idx="9">
                  <c:v>10.200638626012747</c:v>
                </c:pt>
                <c:pt idx="10">
                  <c:v>4.6588173446306058</c:v>
                </c:pt>
                <c:pt idx="11">
                  <c:v>6.4590282710689229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F2-C243-B75B-555F758A626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Returns!$C$171:$N$171</c:f>
              <c:numCache>
                <c:formatCode>General</c:formatCode>
                <c:ptCount val="12"/>
                <c:pt idx="0">
                  <c:v>3.2002356323779901</c:v>
                </c:pt>
                <c:pt idx="1">
                  <c:v>3.2002356323779901</c:v>
                </c:pt>
                <c:pt idx="2">
                  <c:v>1.8543781430464534</c:v>
                </c:pt>
                <c:pt idx="3">
                  <c:v>4.4171165254751621</c:v>
                </c:pt>
                <c:pt idx="4">
                  <c:v>3.2002356323779901</c:v>
                </c:pt>
                <c:pt idx="5">
                  <c:v>8.8810656251948608</c:v>
                </c:pt>
                <c:pt idx="6">
                  <c:v>9.7085647065120018</c:v>
                </c:pt>
                <c:pt idx="7">
                  <c:v>8.4943291300156645</c:v>
                </c:pt>
                <c:pt idx="8">
                  <c:v>8.2012651811280932</c:v>
                </c:pt>
                <c:pt idx="9">
                  <c:v>10.429246305774797</c:v>
                </c:pt>
                <c:pt idx="10">
                  <c:v>20.169489201402868</c:v>
                </c:pt>
                <c:pt idx="11">
                  <c:v>23.768090158165698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F2-C243-B75B-555F758A6263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Returns!$C$172:$N$172</c:f>
              <c:numCache>
                <c:formatCode>General</c:formatCode>
                <c:ptCount val="12"/>
                <c:pt idx="0">
                  <c:v>2.4638852926062382</c:v>
                </c:pt>
                <c:pt idx="1">
                  <c:v>2.4638852926062382</c:v>
                </c:pt>
                <c:pt idx="2">
                  <c:v>1.7752019837176558</c:v>
                </c:pt>
                <c:pt idx="3">
                  <c:v>2.1508898269312571</c:v>
                </c:pt>
                <c:pt idx="4">
                  <c:v>2.4638852926062382</c:v>
                </c:pt>
                <c:pt idx="5">
                  <c:v>-0.30217202751456895</c:v>
                </c:pt>
                <c:pt idx="6">
                  <c:v>-7.306661016780458E-2</c:v>
                </c:pt>
                <c:pt idx="7">
                  <c:v>-0.71742671424201987</c:v>
                </c:pt>
                <c:pt idx="8">
                  <c:v>-7.0069204554934483E-2</c:v>
                </c:pt>
                <c:pt idx="9">
                  <c:v>4.3297435592313693</c:v>
                </c:pt>
                <c:pt idx="10">
                  <c:v>4.6259454722179294</c:v>
                </c:pt>
                <c:pt idx="11">
                  <c:v>3.8494633994328176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F2-C243-B75B-555F758A6263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Returns!$C$173:$N$173</c:f>
              <c:numCache>
                <c:formatCode>General</c:formatCode>
                <c:ptCount val="12"/>
                <c:pt idx="0">
                  <c:v>4.8597371711050608</c:v>
                </c:pt>
                <c:pt idx="1">
                  <c:v>4.8597371711050608</c:v>
                </c:pt>
                <c:pt idx="2">
                  <c:v>5.0983840594173602</c:v>
                </c:pt>
                <c:pt idx="3">
                  <c:v>4.1481183919061859</c:v>
                </c:pt>
                <c:pt idx="4">
                  <c:v>4.8597371711050608</c:v>
                </c:pt>
                <c:pt idx="5">
                  <c:v>4.3483798953486641</c:v>
                </c:pt>
                <c:pt idx="6">
                  <c:v>3.871795351366103</c:v>
                </c:pt>
                <c:pt idx="7">
                  <c:v>5.1337392755471445</c:v>
                </c:pt>
                <c:pt idx="8">
                  <c:v>4.833712812386004</c:v>
                </c:pt>
                <c:pt idx="9">
                  <c:v>11.435610532258856</c:v>
                </c:pt>
                <c:pt idx="10">
                  <c:v>11.676271559933671</c:v>
                </c:pt>
                <c:pt idx="11">
                  <c:v>25.704373391980774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F2-C243-B75B-555F758A6263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Returns!$C$174:$N$174</c:f>
              <c:numCache>
                <c:formatCode>General</c:formatCode>
                <c:ptCount val="12"/>
                <c:pt idx="0">
                  <c:v>5.8916731502468789</c:v>
                </c:pt>
                <c:pt idx="1">
                  <c:v>5.8916731502468789</c:v>
                </c:pt>
                <c:pt idx="2">
                  <c:v>8.1897810195211918</c:v>
                </c:pt>
                <c:pt idx="3">
                  <c:v>5.4000450482149631</c:v>
                </c:pt>
                <c:pt idx="4">
                  <c:v>5.8916731502468789</c:v>
                </c:pt>
                <c:pt idx="5">
                  <c:v>8.4804348100176554</c:v>
                </c:pt>
                <c:pt idx="6">
                  <c:v>2.3972345879902157</c:v>
                </c:pt>
                <c:pt idx="7">
                  <c:v>3.4277126400877655</c:v>
                </c:pt>
                <c:pt idx="8">
                  <c:v>6.9168748108485723</c:v>
                </c:pt>
                <c:pt idx="9">
                  <c:v>-3.1586650904047442</c:v>
                </c:pt>
                <c:pt idx="10">
                  <c:v>5.9961002143143149</c:v>
                </c:pt>
                <c:pt idx="11">
                  <c:v>12.015273150320716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F2-C243-B75B-555F758A6263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Returns!$C$175:$N$175</c:f>
              <c:numCache>
                <c:formatCode>General</c:formatCode>
                <c:ptCount val="12"/>
                <c:pt idx="0">
                  <c:v>4.0455993340013263</c:v>
                </c:pt>
                <c:pt idx="1">
                  <c:v>4.0455993340013263</c:v>
                </c:pt>
                <c:pt idx="2">
                  <c:v>3.367539984385326</c:v>
                </c:pt>
                <c:pt idx="3">
                  <c:v>5.1358433155845651</c:v>
                </c:pt>
                <c:pt idx="4">
                  <c:v>4.0455993340013263</c:v>
                </c:pt>
                <c:pt idx="5">
                  <c:v>5.3027340213584573</c:v>
                </c:pt>
                <c:pt idx="6">
                  <c:v>-5.8280353379479788</c:v>
                </c:pt>
                <c:pt idx="7">
                  <c:v>-7.0163602975174104</c:v>
                </c:pt>
                <c:pt idx="8">
                  <c:v>2.6596183747145119</c:v>
                </c:pt>
                <c:pt idx="9">
                  <c:v>-22.295444096244189</c:v>
                </c:pt>
                <c:pt idx="10">
                  <c:v>-11.821413090888877</c:v>
                </c:pt>
                <c:pt idx="11">
                  <c:v>-18.169536956251054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F2-C243-B75B-555F758A6263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Returns!$C$176:$N$176</c:f>
              <c:numCache>
                <c:formatCode>General</c:formatCode>
                <c:ptCount val="12"/>
                <c:pt idx="0">
                  <c:v>2.3536129150358187</c:v>
                </c:pt>
                <c:pt idx="1">
                  <c:v>2.3536129150358187</c:v>
                </c:pt>
                <c:pt idx="2">
                  <c:v>2.2452975032002165</c:v>
                </c:pt>
                <c:pt idx="3">
                  <c:v>3.2635804331942353</c:v>
                </c:pt>
                <c:pt idx="4">
                  <c:v>2.3536129150358187</c:v>
                </c:pt>
                <c:pt idx="5">
                  <c:v>3.3346072879597788</c:v>
                </c:pt>
                <c:pt idx="6">
                  <c:v>18.601420543505</c:v>
                </c:pt>
                <c:pt idx="7">
                  <c:v>20.62527294109071</c:v>
                </c:pt>
                <c:pt idx="8">
                  <c:v>7.6039461657161578</c:v>
                </c:pt>
                <c:pt idx="9">
                  <c:v>56.91589929133967</c:v>
                </c:pt>
                <c:pt idx="10">
                  <c:v>30.92846439777226</c:v>
                </c:pt>
                <c:pt idx="11">
                  <c:v>38.867344880288755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F2-C243-B75B-555F758A6263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Returns!$C$177:$N$177</c:f>
              <c:numCache>
                <c:formatCode>General</c:formatCode>
                <c:ptCount val="12"/>
                <c:pt idx="0">
                  <c:v>0.88708445694540838</c:v>
                </c:pt>
                <c:pt idx="1">
                  <c:v>0.88708445694540838</c:v>
                </c:pt>
                <c:pt idx="2">
                  <c:v>1.5651292165171027</c:v>
                </c:pt>
                <c:pt idx="3">
                  <c:v>7.1840337758866113E-2</c:v>
                </c:pt>
                <c:pt idx="4">
                  <c:v>0.88708445694540838</c:v>
                </c:pt>
                <c:pt idx="5">
                  <c:v>2.4149537614767791</c:v>
                </c:pt>
                <c:pt idx="6">
                  <c:v>2.8884221831870338</c:v>
                </c:pt>
                <c:pt idx="7">
                  <c:v>5.8579654859855612</c:v>
                </c:pt>
                <c:pt idx="8">
                  <c:v>2.9338220362237211</c:v>
                </c:pt>
                <c:pt idx="9">
                  <c:v>17.096469405268678</c:v>
                </c:pt>
                <c:pt idx="10">
                  <c:v>9.792387958539539</c:v>
                </c:pt>
                <c:pt idx="11">
                  <c:v>14.013675427626392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F2-C243-B75B-555F758A6263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Returns!$C$168:$N$168</c:f>
              <c:strCache>
                <c:ptCount val="12"/>
                <c:pt idx="0">
                  <c:v>Portfolio</c:v>
                </c:pt>
                <c:pt idx="1">
                  <c:v>Benchmark</c:v>
                </c:pt>
                <c:pt idx="2">
                  <c:v>US Govt 1-3</c:v>
                </c:pt>
                <c:pt idx="3">
                  <c:v>Euro Govt 1-3 Hedged</c:v>
                </c:pt>
                <c:pt idx="4">
                  <c:v>Global Govt 1-3 Hedged</c:v>
                </c:pt>
                <c:pt idx="5">
                  <c:v>Global Govt 1-30 Hedged</c:v>
                </c:pt>
                <c:pt idx="6">
                  <c:v>Euro Corp Hedged</c:v>
                </c:pt>
                <c:pt idx="7">
                  <c:v>Global Corp Hedged</c:v>
                </c:pt>
                <c:pt idx="8">
                  <c:v>Global Agg Hedged</c:v>
                </c:pt>
                <c:pt idx="9">
                  <c:v>US High Yield</c:v>
                </c:pt>
                <c:pt idx="10">
                  <c:v>EM Govt US$</c:v>
                </c:pt>
                <c:pt idx="11">
                  <c:v>EM Govt Local Unhedged</c:v>
                </c:pt>
              </c:strCache>
            </c:strRef>
          </c:cat>
          <c:val>
            <c:numRef>
              <c:f>Returns!$C$178:$N$178</c:f>
              <c:numCache>
                <c:formatCode>General</c:formatCode>
                <c:ptCount val="12"/>
                <c:pt idx="0">
                  <c:v>1.9997482424144897</c:v>
                </c:pt>
                <c:pt idx="1">
                  <c:v>1.9997482424144897</c:v>
                </c:pt>
                <c:pt idx="2">
                  <c:v>1.5582837741676014</c:v>
                </c:pt>
                <c:pt idx="3">
                  <c:v>1.5193790677160868</c:v>
                </c:pt>
                <c:pt idx="4">
                  <c:v>1.9997482424144897</c:v>
                </c:pt>
                <c:pt idx="5">
                  <c:v>7.5056985023129741</c:v>
                </c:pt>
                <c:pt idx="6">
                  <c:v>5.7664731787427703</c:v>
                </c:pt>
                <c:pt idx="7">
                  <c:v>7.6290643429109961</c:v>
                </c:pt>
                <c:pt idx="8">
                  <c:v>6.9632767446638599</c:v>
                </c:pt>
                <c:pt idx="9">
                  <c:v>6.1682927912589003</c:v>
                </c:pt>
                <c:pt idx="10">
                  <c:v>13.919602789220619</c:v>
                </c:pt>
                <c:pt idx="11">
                  <c:v>8.6412483460027278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F2-C243-B75B-555F758A6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4878767"/>
        <c:axId val="1241942239"/>
      </c:barChart>
      <c:catAx>
        <c:axId val="1214878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1241942239"/>
        <c:crosses val="autoZero"/>
        <c:auto val="1"/>
        <c:lblAlgn val="ctr"/>
        <c:lblOffset val="100"/>
        <c:noMultiLvlLbl val="0"/>
      </c:catAx>
      <c:valAx>
        <c:axId val="1241942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7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</a:t>
                </a:r>
              </a:p>
            </c:rich>
          </c:tx>
          <c:layout>
            <c:manualLayout>
              <c:xMode val="edge"/>
              <c:yMode val="edge"/>
              <c:x val="6.1022120518688027E-3"/>
              <c:y val="2.682806012884753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1214878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r>
              <a:rPr lang="en-GB" b="1">
                <a:latin typeface="Source Sans CAIM"/>
              </a:rPr>
              <a:t>Total Return Histories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16884369045706E-2"/>
          <c:y val="0.11100868856910127"/>
          <c:w val="0.93401482977893069"/>
          <c:h val="0.6619729089807829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Returns!$Q$31</c:f>
              <c:strCache>
                <c:ptCount val="1"/>
                <c:pt idx="0">
                  <c:v>Portfolio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Returns!$Q$32:$Q$164</c:f>
              <c:numCache>
                <c:formatCode>General</c:formatCode>
                <c:ptCount val="133"/>
                <c:pt idx="0">
                  <c:v>100</c:v>
                </c:pt>
                <c:pt idx="1">
                  <c:v>99.56608707237244</c:v>
                </c:pt>
                <c:pt idx="2">
                  <c:v>100.32783295871826</c:v>
                </c:pt>
                <c:pt idx="3">
                  <c:v>100.49586485738126</c:v>
                </c:pt>
                <c:pt idx="4">
                  <c:v>101.19009484381897</c:v>
                </c:pt>
                <c:pt idx="5">
                  <c:v>102.05939035463901</c:v>
                </c:pt>
                <c:pt idx="6">
                  <c:v>102.42930995104936</c:v>
                </c:pt>
                <c:pt idx="7">
                  <c:v>103.16420296626377</c:v>
                </c:pt>
                <c:pt idx="8">
                  <c:v>103.34596827815614</c:v>
                </c:pt>
                <c:pt idx="9">
                  <c:v>103.28441925658605</c:v>
                </c:pt>
                <c:pt idx="10">
                  <c:v>104.08850503719647</c:v>
                </c:pt>
                <c:pt idx="11">
                  <c:v>104.24271526655176</c:v>
                </c:pt>
                <c:pt idx="12">
                  <c:v>104.72349984620418</c:v>
                </c:pt>
                <c:pt idx="13">
                  <c:v>104.75853367207291</c:v>
                </c:pt>
                <c:pt idx="14">
                  <c:v>104.92393323726976</c:v>
                </c:pt>
                <c:pt idx="15">
                  <c:v>105.44919888039101</c:v>
                </c:pt>
                <c:pt idx="16">
                  <c:v>105.60024340258948</c:v>
                </c:pt>
                <c:pt idx="17">
                  <c:v>105.25336247983917</c:v>
                </c:pt>
                <c:pt idx="18">
                  <c:v>105.1775620202322</c:v>
                </c:pt>
                <c:pt idx="19">
                  <c:v>105.90290035566424</c:v>
                </c:pt>
                <c:pt idx="20">
                  <c:v>105.61574577460588</c:v>
                </c:pt>
                <c:pt idx="21">
                  <c:v>105.6078602858698</c:v>
                </c:pt>
                <c:pt idx="22">
                  <c:v>106.19088377641461</c:v>
                </c:pt>
                <c:pt idx="23">
                  <c:v>106.42513459435658</c:v>
                </c:pt>
                <c:pt idx="24">
                  <c:v>106.89881264109455</c:v>
                </c:pt>
                <c:pt idx="25">
                  <c:v>107.17897964308315</c:v>
                </c:pt>
                <c:pt idx="26">
                  <c:v>106.72130664428589</c:v>
                </c:pt>
                <c:pt idx="27">
                  <c:v>106.67950396093275</c:v>
                </c:pt>
                <c:pt idx="28">
                  <c:v>106.71088858982436</c:v>
                </c:pt>
                <c:pt idx="29">
                  <c:v>106.99935550039503</c:v>
                </c:pt>
                <c:pt idx="30">
                  <c:v>107.54100223909499</c:v>
                </c:pt>
                <c:pt idx="31">
                  <c:v>107.62027154630167</c:v>
                </c:pt>
                <c:pt idx="32">
                  <c:v>107.97092829431537</c:v>
                </c:pt>
                <c:pt idx="33">
                  <c:v>108.05324051761338</c:v>
                </c:pt>
                <c:pt idx="34">
                  <c:v>108.24263422444849</c:v>
                </c:pt>
                <c:pt idx="35">
                  <c:v>108.45925301283219</c:v>
                </c:pt>
                <c:pt idx="36">
                  <c:v>108.44332854652822</c:v>
                </c:pt>
                <c:pt idx="37">
                  <c:v>108.68977021493957</c:v>
                </c:pt>
                <c:pt idx="38">
                  <c:v>109.30871392935704</c:v>
                </c:pt>
                <c:pt idx="39">
                  <c:v>109.71772713123845</c:v>
                </c:pt>
                <c:pt idx="40">
                  <c:v>110.12588847010311</c:v>
                </c:pt>
                <c:pt idx="41">
                  <c:v>110.02760189663076</c:v>
                </c:pt>
                <c:pt idx="42">
                  <c:v>110.50418088229061</c:v>
                </c:pt>
                <c:pt idx="43">
                  <c:v>110.48415826417636</c:v>
                </c:pt>
                <c:pt idx="44">
                  <c:v>110.51096125143741</c:v>
                </c:pt>
                <c:pt idx="45">
                  <c:v>110.85094285119625</c:v>
                </c:pt>
                <c:pt idx="46">
                  <c:v>111.21473056877433</c:v>
                </c:pt>
                <c:pt idx="47">
                  <c:v>111.4755387918464</c:v>
                </c:pt>
                <c:pt idx="48">
                  <c:v>111.67792532829722</c:v>
                </c:pt>
                <c:pt idx="49">
                  <c:v>111.80162965232319</c:v>
                </c:pt>
                <c:pt idx="50">
                  <c:v>112.19341373282992</c:v>
                </c:pt>
                <c:pt idx="51">
                  <c:v>112.52178006523887</c:v>
                </c:pt>
                <c:pt idx="52">
                  <c:v>112.83926403946992</c:v>
                </c:pt>
                <c:pt idx="53">
                  <c:v>113.53081180857114</c:v>
                </c:pt>
                <c:pt idx="54">
                  <c:v>114.34379994142859</c:v>
                </c:pt>
                <c:pt idx="55">
                  <c:v>114.82591603669725</c:v>
                </c:pt>
                <c:pt idx="56">
                  <c:v>115.22176373402711</c:v>
                </c:pt>
                <c:pt idx="57">
                  <c:v>115.7431422724819</c:v>
                </c:pt>
                <c:pt idx="58">
                  <c:v>115.94141914546006</c:v>
                </c:pt>
                <c:pt idx="59">
                  <c:v>116.35595410806711</c:v>
                </c:pt>
                <c:pt idx="60">
                  <c:v>117.01919086213442</c:v>
                </c:pt>
                <c:pt idx="61">
                  <c:v>117.42419416828385</c:v>
                </c:pt>
                <c:pt idx="62">
                  <c:v>117.82167652167287</c:v>
                </c:pt>
                <c:pt idx="63">
                  <c:v>117.86165268792705</c:v>
                </c:pt>
                <c:pt idx="64">
                  <c:v>118.32295569759744</c:v>
                </c:pt>
                <c:pt idx="65">
                  <c:v>119.16832229953275</c:v>
                </c:pt>
                <c:pt idx="66">
                  <c:v>120.28640402067055</c:v>
                </c:pt>
                <c:pt idx="67">
                  <c:v>120.97157049158781</c:v>
                </c:pt>
                <c:pt idx="68">
                  <c:v>121.51532002728409</c:v>
                </c:pt>
                <c:pt idx="69">
                  <c:v>122.70986221000581</c:v>
                </c:pt>
                <c:pt idx="70">
                  <c:v>123.05064195169024</c:v>
                </c:pt>
                <c:pt idx="71">
                  <c:v>124.55577262287237</c:v>
                </c:pt>
                <c:pt idx="72">
                  <c:v>125.29415750901128</c:v>
                </c:pt>
                <c:pt idx="73">
                  <c:v>125.27400058816917</c:v>
                </c:pt>
                <c:pt idx="74">
                  <c:v>124.77551874620494</c:v>
                </c:pt>
                <c:pt idx="75">
                  <c:v>124.34649060065085</c:v>
                </c:pt>
                <c:pt idx="76">
                  <c:v>124.41321603307495</c:v>
                </c:pt>
                <c:pt idx="77">
                  <c:v>125.11016277183634</c:v>
                </c:pt>
                <c:pt idx="78">
                  <c:v>125.70655513963489</c:v>
                </c:pt>
                <c:pt idx="79">
                  <c:v>126.52084025312145</c:v>
                </c:pt>
                <c:pt idx="80">
                  <c:v>128.0847609841212</c:v>
                </c:pt>
                <c:pt idx="81">
                  <c:v>128.90843193967513</c:v>
                </c:pt>
                <c:pt idx="82">
                  <c:v>129.89812025297408</c:v>
                </c:pt>
                <c:pt idx="83">
                  <c:v>130.09826585247998</c:v>
                </c:pt>
                <c:pt idx="84">
                  <c:v>130.36305711073842</c:v>
                </c:pt>
                <c:pt idx="85">
                  <c:v>130.84402587698906</c:v>
                </c:pt>
                <c:pt idx="86">
                  <c:v>130.93826801974228</c:v>
                </c:pt>
                <c:pt idx="87">
                  <c:v>131.15101888956349</c:v>
                </c:pt>
                <c:pt idx="88">
                  <c:v>131.23530728157149</c:v>
                </c:pt>
                <c:pt idx="89">
                  <c:v>131.54664786530796</c:v>
                </c:pt>
                <c:pt idx="90">
                  <c:v>131.87652606271052</c:v>
                </c:pt>
                <c:pt idx="91">
                  <c:v>132.19574062352063</c:v>
                </c:pt>
                <c:pt idx="92">
                  <c:v>132.32911474395289</c:v>
                </c:pt>
                <c:pt idx="93">
                  <c:v>132.80281197679483</c:v>
                </c:pt>
                <c:pt idx="94">
                  <c:v>132.50791772139064</c:v>
                </c:pt>
                <c:pt idx="95">
                  <c:v>133.01624970913855</c:v>
                </c:pt>
                <c:pt idx="96">
                  <c:v>133.43129885933229</c:v>
                </c:pt>
                <c:pt idx="97">
                  <c:v>133.36444296140112</c:v>
                </c:pt>
                <c:pt idx="98">
                  <c:v>133.57617313049056</c:v>
                </c:pt>
                <c:pt idx="99">
                  <c:v>133.96675616088811</c:v>
                </c:pt>
                <c:pt idx="100">
                  <c:v>134.27364556850105</c:v>
                </c:pt>
                <c:pt idx="101">
                  <c:v>134.55114186481555</c:v>
                </c:pt>
                <c:pt idx="102">
                  <c:v>134.86872560678731</c:v>
                </c:pt>
                <c:pt idx="103">
                  <c:v>134.82840025344069</c:v>
                </c:pt>
                <c:pt idx="104">
                  <c:v>134.94238873441083</c:v>
                </c:pt>
                <c:pt idx="105">
                  <c:v>134.61497019553855</c:v>
                </c:pt>
                <c:pt idx="106">
                  <c:v>134.6621373135647</c:v>
                </c:pt>
                <c:pt idx="107">
                  <c:v>134.65400240547689</c:v>
                </c:pt>
                <c:pt idx="108">
                  <c:v>134.61494717221379</c:v>
                </c:pt>
                <c:pt idx="109">
                  <c:v>134.60772552267545</c:v>
                </c:pt>
                <c:pt idx="110">
                  <c:v>134.91822191783675</c:v>
                </c:pt>
                <c:pt idx="111">
                  <c:v>135.30566993884383</c:v>
                </c:pt>
                <c:pt idx="112">
                  <c:v>135.38850402417012</c:v>
                </c:pt>
                <c:pt idx="113">
                  <c:v>135.56560327557435</c:v>
                </c:pt>
                <c:pt idx="114">
                  <c:v>136.30842782617444</c:v>
                </c:pt>
                <c:pt idx="115">
                  <c:v>136.27588435660235</c:v>
                </c:pt>
                <c:pt idx="116">
                  <c:v>136.15716841961134</c:v>
                </c:pt>
                <c:pt idx="117">
                  <c:v>136.00417842646925</c:v>
                </c:pt>
                <c:pt idx="118">
                  <c:v>136.74915949515673</c:v>
                </c:pt>
                <c:pt idx="119">
                  <c:v>137.11661559581594</c:v>
                </c:pt>
                <c:pt idx="120">
                  <c:v>137.30690721231733</c:v>
                </c:pt>
                <c:pt idx="121">
                  <c:v>137.26923186981375</c:v>
                </c:pt>
                <c:pt idx="122">
                  <c:v>137.23156686496515</c:v>
                </c:pt>
                <c:pt idx="123">
                  <c:v>137.193912194935</c:v>
                </c:pt>
                <c:pt idx="124">
                  <c:v>137.15626785688755</c:v>
                </c:pt>
                <c:pt idx="125">
                  <c:v>137.11863384798784</c:v>
                </c:pt>
                <c:pt idx="126">
                  <c:v>137.08101016540166</c:v>
                </c:pt>
                <c:pt idx="127">
                  <c:v>137.04339680629562</c:v>
                </c:pt>
                <c:pt idx="128">
                  <c:v>137.00579376783705</c:v>
                </c:pt>
                <c:pt idx="129">
                  <c:v>136.96820104719413</c:v>
                </c:pt>
                <c:pt idx="130">
                  <c:v>136.93061864153574</c:v>
                </c:pt>
                <c:pt idx="131">
                  <c:v>136.89304654803161</c:v>
                </c:pt>
                <c:pt idx="132">
                  <c:v>136.85548476385216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3F-4246-BE9E-3FEF82073752}"/>
            </c:ext>
          </c:extLst>
        </c:ser>
        <c:ser>
          <c:idx val="1"/>
          <c:order val="1"/>
          <c:tx>
            <c:strRef>
              <c:f>Returns!$R$31</c:f>
              <c:strCache>
                <c:ptCount val="1"/>
                <c:pt idx="0">
                  <c:v>Benchmark</c:v>
                </c:pt>
              </c:strCache>
            </c:strRef>
          </c:tx>
          <c:spPr>
            <a:ln w="22225" cap="rnd">
              <a:solidFill>
                <a:srgbClr val="282C4E"/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Returns!$R$32:$R$164</c:f>
              <c:numCache>
                <c:formatCode>General</c:formatCode>
                <c:ptCount val="133"/>
                <c:pt idx="0">
                  <c:v>100</c:v>
                </c:pt>
                <c:pt idx="1">
                  <c:v>99.56608707237244</c:v>
                </c:pt>
                <c:pt idx="2">
                  <c:v>100.32783295871826</c:v>
                </c:pt>
                <c:pt idx="3">
                  <c:v>100.49586485738126</c:v>
                </c:pt>
                <c:pt idx="4">
                  <c:v>101.19009484381897</c:v>
                </c:pt>
                <c:pt idx="5">
                  <c:v>102.05939035463901</c:v>
                </c:pt>
                <c:pt idx="6">
                  <c:v>102.42930995104936</c:v>
                </c:pt>
                <c:pt idx="7">
                  <c:v>103.16420296626377</c:v>
                </c:pt>
                <c:pt idx="8">
                  <c:v>103.34596827815614</c:v>
                </c:pt>
                <c:pt idx="9">
                  <c:v>103.28441925658605</c:v>
                </c:pt>
                <c:pt idx="10">
                  <c:v>104.08850503719647</c:v>
                </c:pt>
                <c:pt idx="11">
                  <c:v>104.24271526655176</c:v>
                </c:pt>
                <c:pt idx="12">
                  <c:v>104.72349984620418</c:v>
                </c:pt>
                <c:pt idx="13">
                  <c:v>104.75853367207291</c:v>
                </c:pt>
                <c:pt idx="14">
                  <c:v>104.92393323726976</c:v>
                </c:pt>
                <c:pt idx="15">
                  <c:v>105.44919888039101</c:v>
                </c:pt>
                <c:pt idx="16">
                  <c:v>105.60024340258948</c:v>
                </c:pt>
                <c:pt idx="17">
                  <c:v>105.25336247983917</c:v>
                </c:pt>
                <c:pt idx="18">
                  <c:v>105.1775620202322</c:v>
                </c:pt>
                <c:pt idx="19">
                  <c:v>105.90290035566424</c:v>
                </c:pt>
                <c:pt idx="20">
                  <c:v>105.61574577460588</c:v>
                </c:pt>
                <c:pt idx="21">
                  <c:v>105.6078602858698</c:v>
                </c:pt>
                <c:pt idx="22">
                  <c:v>106.19088377641461</c:v>
                </c:pt>
                <c:pt idx="23">
                  <c:v>106.42513459435658</c:v>
                </c:pt>
                <c:pt idx="24">
                  <c:v>106.89881264109455</c:v>
                </c:pt>
                <c:pt idx="25">
                  <c:v>107.17897964308315</c:v>
                </c:pt>
                <c:pt idx="26">
                  <c:v>106.72130664428589</c:v>
                </c:pt>
                <c:pt idx="27">
                  <c:v>106.67950396093275</c:v>
                </c:pt>
                <c:pt idx="28">
                  <c:v>106.71088858982436</c:v>
                </c:pt>
                <c:pt idx="29">
                  <c:v>106.99935550039503</c:v>
                </c:pt>
                <c:pt idx="30">
                  <c:v>107.54100223909499</c:v>
                </c:pt>
                <c:pt idx="31">
                  <c:v>107.62027154630167</c:v>
                </c:pt>
                <c:pt idx="32">
                  <c:v>107.97092829431537</c:v>
                </c:pt>
                <c:pt idx="33">
                  <c:v>108.05324051761338</c:v>
                </c:pt>
                <c:pt idx="34">
                  <c:v>108.24263422444849</c:v>
                </c:pt>
                <c:pt idx="35">
                  <c:v>108.45925301283219</c:v>
                </c:pt>
                <c:pt idx="36">
                  <c:v>108.44332854652822</c:v>
                </c:pt>
                <c:pt idx="37">
                  <c:v>108.68977021493957</c:v>
                </c:pt>
                <c:pt idx="38">
                  <c:v>109.30871392935704</c:v>
                </c:pt>
                <c:pt idx="39">
                  <c:v>109.71772713123845</c:v>
                </c:pt>
                <c:pt idx="40">
                  <c:v>110.12588847010311</c:v>
                </c:pt>
                <c:pt idx="41">
                  <c:v>110.02760189663076</c:v>
                </c:pt>
                <c:pt idx="42">
                  <c:v>110.50418088229061</c:v>
                </c:pt>
                <c:pt idx="43">
                  <c:v>110.48415826417636</c:v>
                </c:pt>
                <c:pt idx="44">
                  <c:v>110.51096125143741</c:v>
                </c:pt>
                <c:pt idx="45">
                  <c:v>110.85094285119625</c:v>
                </c:pt>
                <c:pt idx="46">
                  <c:v>111.21473056877433</c:v>
                </c:pt>
                <c:pt idx="47">
                  <c:v>111.4755387918464</c:v>
                </c:pt>
                <c:pt idx="48">
                  <c:v>111.67792532829722</c:v>
                </c:pt>
                <c:pt idx="49">
                  <c:v>111.80162965232319</c:v>
                </c:pt>
                <c:pt idx="50">
                  <c:v>112.19341373282992</c:v>
                </c:pt>
                <c:pt idx="51">
                  <c:v>112.52178006523887</c:v>
                </c:pt>
                <c:pt idx="52">
                  <c:v>112.83926403946992</c:v>
                </c:pt>
                <c:pt idx="53">
                  <c:v>113.53081180857114</c:v>
                </c:pt>
                <c:pt idx="54">
                  <c:v>114.34379994142859</c:v>
                </c:pt>
                <c:pt idx="55">
                  <c:v>114.82591603669725</c:v>
                </c:pt>
                <c:pt idx="56">
                  <c:v>115.22176373402711</c:v>
                </c:pt>
                <c:pt idx="57">
                  <c:v>115.7431422724819</c:v>
                </c:pt>
                <c:pt idx="58">
                  <c:v>115.94141914546006</c:v>
                </c:pt>
                <c:pt idx="59">
                  <c:v>116.35595410806711</c:v>
                </c:pt>
                <c:pt idx="60">
                  <c:v>117.01919086213442</c:v>
                </c:pt>
                <c:pt idx="61">
                  <c:v>117.42419416828385</c:v>
                </c:pt>
                <c:pt idx="62">
                  <c:v>117.82167652167287</c:v>
                </c:pt>
                <c:pt idx="63">
                  <c:v>117.86165268792705</c:v>
                </c:pt>
                <c:pt idx="64">
                  <c:v>118.32295569759744</c:v>
                </c:pt>
                <c:pt idx="65">
                  <c:v>119.16832229953275</c:v>
                </c:pt>
                <c:pt idx="66">
                  <c:v>120.28640402067055</c:v>
                </c:pt>
                <c:pt idx="67">
                  <c:v>120.97157049158781</c:v>
                </c:pt>
                <c:pt idx="68">
                  <c:v>121.51532002728409</c:v>
                </c:pt>
                <c:pt idx="69">
                  <c:v>122.70986221000581</c:v>
                </c:pt>
                <c:pt idx="70">
                  <c:v>123.05064195169024</c:v>
                </c:pt>
                <c:pt idx="71">
                  <c:v>124.55577262287237</c:v>
                </c:pt>
                <c:pt idx="72">
                  <c:v>125.29415750901128</c:v>
                </c:pt>
                <c:pt idx="73">
                  <c:v>125.27400058816917</c:v>
                </c:pt>
                <c:pt idx="74">
                  <c:v>124.77551874620494</c:v>
                </c:pt>
                <c:pt idx="75">
                  <c:v>124.34649060065085</c:v>
                </c:pt>
                <c:pt idx="76">
                  <c:v>124.41321603307495</c:v>
                </c:pt>
                <c:pt idx="77">
                  <c:v>125.11016277183634</c:v>
                </c:pt>
                <c:pt idx="78">
                  <c:v>125.70655513963489</c:v>
                </c:pt>
                <c:pt idx="79">
                  <c:v>126.52084025312145</c:v>
                </c:pt>
                <c:pt idx="80">
                  <c:v>128.0847609841212</c:v>
                </c:pt>
                <c:pt idx="81">
                  <c:v>128.90843193967513</c:v>
                </c:pt>
                <c:pt idx="82">
                  <c:v>129.89812025297408</c:v>
                </c:pt>
                <c:pt idx="83">
                  <c:v>130.09826585247998</c:v>
                </c:pt>
                <c:pt idx="84">
                  <c:v>130.36305711073842</c:v>
                </c:pt>
                <c:pt idx="85">
                  <c:v>130.84402587698906</c:v>
                </c:pt>
                <c:pt idx="86">
                  <c:v>130.93826801974228</c:v>
                </c:pt>
                <c:pt idx="87">
                  <c:v>131.15101888956349</c:v>
                </c:pt>
                <c:pt idx="88">
                  <c:v>131.23530728157149</c:v>
                </c:pt>
                <c:pt idx="89">
                  <c:v>131.54664786530796</c:v>
                </c:pt>
                <c:pt idx="90">
                  <c:v>131.87652606271052</c:v>
                </c:pt>
                <c:pt idx="91">
                  <c:v>132.19574062352063</c:v>
                </c:pt>
                <c:pt idx="92">
                  <c:v>132.32911474395289</c:v>
                </c:pt>
                <c:pt idx="93">
                  <c:v>132.80281197679483</c:v>
                </c:pt>
                <c:pt idx="94">
                  <c:v>132.50791772139064</c:v>
                </c:pt>
                <c:pt idx="95">
                  <c:v>133.01624970913855</c:v>
                </c:pt>
                <c:pt idx="96">
                  <c:v>133.43129885933229</c:v>
                </c:pt>
                <c:pt idx="97">
                  <c:v>133.36444296140112</c:v>
                </c:pt>
                <c:pt idx="98">
                  <c:v>133.57617313049056</c:v>
                </c:pt>
                <c:pt idx="99">
                  <c:v>133.96675616088811</c:v>
                </c:pt>
                <c:pt idx="100">
                  <c:v>134.27364556850105</c:v>
                </c:pt>
                <c:pt idx="101">
                  <c:v>134.55114186481555</c:v>
                </c:pt>
                <c:pt idx="102">
                  <c:v>134.86872560678731</c:v>
                </c:pt>
                <c:pt idx="103">
                  <c:v>134.82840025344069</c:v>
                </c:pt>
                <c:pt idx="104">
                  <c:v>134.94238873441083</c:v>
                </c:pt>
                <c:pt idx="105">
                  <c:v>134.61497019553855</c:v>
                </c:pt>
                <c:pt idx="106">
                  <c:v>134.6621373135647</c:v>
                </c:pt>
                <c:pt idx="107">
                  <c:v>134.65400240547689</c:v>
                </c:pt>
                <c:pt idx="108">
                  <c:v>134.61494717221379</c:v>
                </c:pt>
                <c:pt idx="109">
                  <c:v>134.60772552267545</c:v>
                </c:pt>
                <c:pt idx="110">
                  <c:v>134.91822191783675</c:v>
                </c:pt>
                <c:pt idx="111">
                  <c:v>135.30566993884383</c:v>
                </c:pt>
                <c:pt idx="112">
                  <c:v>135.38850402417012</c:v>
                </c:pt>
                <c:pt idx="113">
                  <c:v>135.56560327557435</c:v>
                </c:pt>
                <c:pt idx="114">
                  <c:v>136.30842782617444</c:v>
                </c:pt>
                <c:pt idx="115">
                  <c:v>136.27588435660235</c:v>
                </c:pt>
                <c:pt idx="116">
                  <c:v>136.15716841961134</c:v>
                </c:pt>
                <c:pt idx="117">
                  <c:v>136.00417842646925</c:v>
                </c:pt>
                <c:pt idx="118">
                  <c:v>136.74915949515673</c:v>
                </c:pt>
                <c:pt idx="119">
                  <c:v>137.11661559581594</c:v>
                </c:pt>
                <c:pt idx="120">
                  <c:v>137.30690721231733</c:v>
                </c:pt>
                <c:pt idx="121">
                  <c:v>137.26923186981375</c:v>
                </c:pt>
                <c:pt idx="122">
                  <c:v>137.23156686496515</c:v>
                </c:pt>
                <c:pt idx="123">
                  <c:v>137.193912194935</c:v>
                </c:pt>
                <c:pt idx="124">
                  <c:v>137.15626785688755</c:v>
                </c:pt>
                <c:pt idx="125">
                  <c:v>137.11863384798784</c:v>
                </c:pt>
                <c:pt idx="126">
                  <c:v>137.08101016540166</c:v>
                </c:pt>
                <c:pt idx="127">
                  <c:v>137.04339680629562</c:v>
                </c:pt>
                <c:pt idx="128">
                  <c:v>137.00579376783705</c:v>
                </c:pt>
                <c:pt idx="129">
                  <c:v>136.96820104719413</c:v>
                </c:pt>
                <c:pt idx="130">
                  <c:v>136.93061864153574</c:v>
                </c:pt>
                <c:pt idx="131">
                  <c:v>136.89304654803161</c:v>
                </c:pt>
                <c:pt idx="132">
                  <c:v>136.85548476385216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3F-4246-BE9E-3FEF82073752}"/>
            </c:ext>
          </c:extLst>
        </c:ser>
        <c:ser>
          <c:idx val="2"/>
          <c:order val="2"/>
          <c:tx>
            <c:strRef>
              <c:f>Returns!$S$31</c:f>
              <c:strCache>
                <c:ptCount val="1"/>
                <c:pt idx="0">
                  <c:v>US Govt 1-3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Returns!$S$32:$S$164</c:f>
              <c:numCache>
                <c:formatCode>General</c:formatCode>
                <c:ptCount val="133"/>
                <c:pt idx="0">
                  <c:v>100</c:v>
                </c:pt>
                <c:pt idx="1">
                  <c:v>99.233018055047211</c:v>
                </c:pt>
                <c:pt idx="2">
                  <c:v>100.43583997772535</c:v>
                </c:pt>
                <c:pt idx="3">
                  <c:v>100.86282279697031</c:v>
                </c:pt>
                <c:pt idx="4">
                  <c:v>101.74030598093525</c:v>
                </c:pt>
                <c:pt idx="5">
                  <c:v>103.05357202423464</c:v>
                </c:pt>
                <c:pt idx="6">
                  <c:v>103.46774509234976</c:v>
                </c:pt>
                <c:pt idx="7">
                  <c:v>104.35973634760026</c:v>
                </c:pt>
                <c:pt idx="8">
                  <c:v>104.59514789169924</c:v>
                </c:pt>
                <c:pt idx="9">
                  <c:v>104.24843925900842</c:v>
                </c:pt>
                <c:pt idx="10">
                  <c:v>105.31827052823544</c:v>
                </c:pt>
                <c:pt idx="11">
                  <c:v>105.30676307641784</c:v>
                </c:pt>
                <c:pt idx="12">
                  <c:v>105.80786652757196</c:v>
                </c:pt>
                <c:pt idx="13">
                  <c:v>105.97416481869632</c:v>
                </c:pt>
                <c:pt idx="14">
                  <c:v>106.18177113011097</c:v>
                </c:pt>
                <c:pt idx="15">
                  <c:v>106.64130000848398</c:v>
                </c:pt>
                <c:pt idx="16">
                  <c:v>106.79567197959092</c:v>
                </c:pt>
                <c:pt idx="17">
                  <c:v>106.14580939120781</c:v>
                </c:pt>
                <c:pt idx="18">
                  <c:v>106.22767146902864</c:v>
                </c:pt>
                <c:pt idx="19">
                  <c:v>107.26799918541556</c:v>
                </c:pt>
                <c:pt idx="20">
                  <c:v>106.84778299154445</c:v>
                </c:pt>
                <c:pt idx="21">
                  <c:v>106.77207066047589</c:v>
                </c:pt>
                <c:pt idx="22">
                  <c:v>107.45619666760638</c:v>
                </c:pt>
                <c:pt idx="23">
                  <c:v>107.68562982012574</c:v>
                </c:pt>
                <c:pt idx="24">
                  <c:v>108.23566088491461</c:v>
                </c:pt>
                <c:pt idx="25">
                  <c:v>108.59552578697331</c:v>
                </c:pt>
                <c:pt idx="26">
                  <c:v>107.48582588090639</c:v>
                </c:pt>
                <c:pt idx="27">
                  <c:v>107.34644558346123</c:v>
                </c:pt>
                <c:pt idx="28">
                  <c:v>107.34527656039438</c:v>
                </c:pt>
                <c:pt idx="29">
                  <c:v>107.75112938290347</c:v>
                </c:pt>
                <c:pt idx="30">
                  <c:v>108.52621452357693</c:v>
                </c:pt>
                <c:pt idx="31">
                  <c:v>108.44655721564438</c:v>
                </c:pt>
                <c:pt idx="32">
                  <c:v>108.78749308296277</c:v>
                </c:pt>
                <c:pt idx="33">
                  <c:v>108.20213619735598</c:v>
                </c:pt>
                <c:pt idx="34">
                  <c:v>108.45410445902705</c:v>
                </c:pt>
                <c:pt idx="35">
                  <c:v>108.38362798045658</c:v>
                </c:pt>
                <c:pt idx="36">
                  <c:v>108.10840872580131</c:v>
                </c:pt>
                <c:pt idx="37">
                  <c:v>108.10163448464198</c:v>
                </c:pt>
                <c:pt idx="38">
                  <c:v>108.72946460571315</c:v>
                </c:pt>
                <c:pt idx="39">
                  <c:v>109.14458964700975</c:v>
                </c:pt>
                <c:pt idx="40">
                  <c:v>109.3358639065231</c:v>
                </c:pt>
                <c:pt idx="41">
                  <c:v>108.99994303392469</c:v>
                </c:pt>
                <c:pt idx="42">
                  <c:v>109.70779602063011</c:v>
                </c:pt>
                <c:pt idx="43">
                  <c:v>109.41983555691407</c:v>
                </c:pt>
                <c:pt idx="44">
                  <c:v>109.37518420681047</c:v>
                </c:pt>
                <c:pt idx="45">
                  <c:v>109.73783648634452</c:v>
                </c:pt>
                <c:pt idx="46">
                  <c:v>110.1893954452423</c:v>
                </c:pt>
                <c:pt idx="47">
                  <c:v>110.33927410293269</c:v>
                </c:pt>
                <c:pt idx="48">
                  <c:v>110.41688276457873</c:v>
                </c:pt>
                <c:pt idx="49">
                  <c:v>110.57650962764738</c:v>
                </c:pt>
                <c:pt idx="50">
                  <c:v>110.89807855256198</c:v>
                </c:pt>
                <c:pt idx="51">
                  <c:v>111.04150283208203</c:v>
                </c:pt>
                <c:pt idx="52">
                  <c:v>111.27679633150655</c:v>
                </c:pt>
                <c:pt idx="53">
                  <c:v>112.08503298625142</c:v>
                </c:pt>
                <c:pt idx="54">
                  <c:v>112.9139122274633</c:v>
                </c:pt>
                <c:pt idx="55">
                  <c:v>113.51671687754003</c:v>
                </c:pt>
                <c:pt idx="56">
                  <c:v>113.9338258309468</c:v>
                </c:pt>
                <c:pt idx="57">
                  <c:v>114.51919033233905</c:v>
                </c:pt>
                <c:pt idx="58">
                  <c:v>114.52659287579814</c:v>
                </c:pt>
                <c:pt idx="59">
                  <c:v>114.74600365466301</c:v>
                </c:pt>
                <c:pt idx="60">
                  <c:v>115.71904590658373</c:v>
                </c:pt>
                <c:pt idx="61">
                  <c:v>116.17625197039398</c:v>
                </c:pt>
                <c:pt idx="62">
                  <c:v>116.57578749887082</c:v>
                </c:pt>
                <c:pt idx="63">
                  <c:v>116.4280222216433</c:v>
                </c:pt>
                <c:pt idx="64">
                  <c:v>116.95011477750241</c:v>
                </c:pt>
                <c:pt idx="65">
                  <c:v>118.00102081988183</c:v>
                </c:pt>
                <c:pt idx="66">
                  <c:v>119.26293362188011</c:v>
                </c:pt>
                <c:pt idx="67">
                  <c:v>120.0842922749584</c:v>
                </c:pt>
                <c:pt idx="68">
                  <c:v>120.56847345083874</c:v>
                </c:pt>
                <c:pt idx="69">
                  <c:v>122.76032315910082</c:v>
                </c:pt>
                <c:pt idx="70">
                  <c:v>123.04383981200576</c:v>
                </c:pt>
                <c:pt idx="71">
                  <c:v>125.20756823248729</c:v>
                </c:pt>
                <c:pt idx="72">
                  <c:v>126.52807307985856</c:v>
                </c:pt>
                <c:pt idx="73">
                  <c:v>126.84996186776212</c:v>
                </c:pt>
                <c:pt idx="74">
                  <c:v>125.72927238328833</c:v>
                </c:pt>
                <c:pt idx="75">
                  <c:v>125.25734500619988</c:v>
                </c:pt>
                <c:pt idx="76">
                  <c:v>125.6184170102527</c:v>
                </c:pt>
                <c:pt idx="77">
                  <c:v>126.13489673223386</c:v>
                </c:pt>
                <c:pt idx="78">
                  <c:v>126.81220280349235</c:v>
                </c:pt>
                <c:pt idx="79">
                  <c:v>127.84239390944298</c:v>
                </c:pt>
                <c:pt idx="80">
                  <c:v>129.08963490076846</c:v>
                </c:pt>
                <c:pt idx="81">
                  <c:v>130.64042206073694</c:v>
                </c:pt>
                <c:pt idx="82">
                  <c:v>131.40364942346201</c:v>
                </c:pt>
                <c:pt idx="83">
                  <c:v>130.92970386322884</c:v>
                </c:pt>
                <c:pt idx="84">
                  <c:v>130.78895653229509</c:v>
                </c:pt>
                <c:pt idx="85">
                  <c:v>131.47019615673938</c:v>
                </c:pt>
                <c:pt idx="86">
                  <c:v>131.27825551599898</c:v>
                </c:pt>
                <c:pt idx="87">
                  <c:v>131.50715556353671</c:v>
                </c:pt>
                <c:pt idx="88">
                  <c:v>131.29363178682604</c:v>
                </c:pt>
                <c:pt idx="89">
                  <c:v>131.47992151476123</c:v>
                </c:pt>
                <c:pt idx="90">
                  <c:v>132.04752219658724</c:v>
                </c:pt>
                <c:pt idx="91">
                  <c:v>132.36880933744015</c:v>
                </c:pt>
                <c:pt idx="92">
                  <c:v>132.66259968491948</c:v>
                </c:pt>
                <c:pt idx="93">
                  <c:v>133.5006369081371</c:v>
                </c:pt>
                <c:pt idx="94">
                  <c:v>132.41641561229903</c:v>
                </c:pt>
                <c:pt idx="95">
                  <c:v>133.44632493418797</c:v>
                </c:pt>
                <c:pt idx="96">
                  <c:v>133.72555770777632</c:v>
                </c:pt>
                <c:pt idx="97">
                  <c:v>133.372813565115</c:v>
                </c:pt>
                <c:pt idx="98">
                  <c:v>133.77067742868522</c:v>
                </c:pt>
                <c:pt idx="99">
                  <c:v>134.39960422286146</c:v>
                </c:pt>
                <c:pt idx="100">
                  <c:v>135.03423904823379</c:v>
                </c:pt>
                <c:pt idx="101">
                  <c:v>135.41802132450371</c:v>
                </c:pt>
                <c:pt idx="102">
                  <c:v>135.68499649140747</c:v>
                </c:pt>
                <c:pt idx="103">
                  <c:v>135.92847315229986</c:v>
                </c:pt>
                <c:pt idx="104">
                  <c:v>136.24442543544382</c:v>
                </c:pt>
                <c:pt idx="105">
                  <c:v>135.97487613305739</c:v>
                </c:pt>
                <c:pt idx="106">
                  <c:v>135.73834506849698</c:v>
                </c:pt>
                <c:pt idx="107">
                  <c:v>135.94568482742082</c:v>
                </c:pt>
                <c:pt idx="108">
                  <c:v>135.81853548141117</c:v>
                </c:pt>
                <c:pt idx="109">
                  <c:v>135.73162032994307</c:v>
                </c:pt>
                <c:pt idx="110">
                  <c:v>136.39743037306212</c:v>
                </c:pt>
                <c:pt idx="111">
                  <c:v>136.92284721927095</c:v>
                </c:pt>
                <c:pt idx="112">
                  <c:v>136.9591173974849</c:v>
                </c:pt>
                <c:pt idx="113">
                  <c:v>137.40604215093532</c:v>
                </c:pt>
                <c:pt idx="114">
                  <c:v>137.92243429138378</c:v>
                </c:pt>
                <c:pt idx="115">
                  <c:v>137.71804184142977</c:v>
                </c:pt>
                <c:pt idx="116">
                  <c:v>137.82591563446107</c:v>
                </c:pt>
                <c:pt idx="117">
                  <c:v>137.89884058805424</c:v>
                </c:pt>
                <c:pt idx="118">
                  <c:v>137.98171556534018</c:v>
                </c:pt>
                <c:pt idx="119">
                  <c:v>138.1484898430553</c:v>
                </c:pt>
                <c:pt idx="120">
                  <c:v>137.93497368213008</c:v>
                </c:pt>
                <c:pt idx="121" formatCode="0.000">
                  <c:v>137.91292462374525</c:v>
                </c:pt>
                <c:pt idx="122" formatCode="0.000">
                  <c:v>137.89087908992684</c:v>
                </c:pt>
                <c:pt idx="123" formatCode="0.000">
                  <c:v>137.86883708011143</c:v>
                </c:pt>
                <c:pt idx="124" formatCode="0.000">
                  <c:v>137.84679859373571</c:v>
                </c:pt>
                <c:pt idx="125" formatCode="0.000">
                  <c:v>137.82476363023648</c:v>
                </c:pt>
                <c:pt idx="126" formatCode="0.000">
                  <c:v>137.80273218905057</c:v>
                </c:pt>
                <c:pt idx="127" formatCode="0.000">
                  <c:v>137.78070426961494</c:v>
                </c:pt>
                <c:pt idx="128" formatCode="0.000">
                  <c:v>137.75867987136667</c:v>
                </c:pt>
                <c:pt idx="129" formatCode="0.000">
                  <c:v>137.73665899374285</c:v>
                </c:pt>
                <c:pt idx="130" formatCode="0.000">
                  <c:v>137.71464163618072</c:v>
                </c:pt>
                <c:pt idx="131" formatCode="0.000">
                  <c:v>137.69262779811757</c:v>
                </c:pt>
                <c:pt idx="132" formatCode="0.000">
                  <c:v>137.67061747899083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3F-4246-BE9E-3FEF82073752}"/>
            </c:ext>
          </c:extLst>
        </c:ser>
        <c:ser>
          <c:idx val="3"/>
          <c:order val="3"/>
          <c:tx>
            <c:strRef>
              <c:f>Returns!$T$31</c:f>
              <c:strCache>
                <c:ptCount val="1"/>
                <c:pt idx="0">
                  <c:v>Euro Govt 1-3 Hedged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Returns!$T$32:$T$164</c:f>
              <c:numCache>
                <c:formatCode>General</c:formatCode>
                <c:ptCount val="133"/>
                <c:pt idx="0">
                  <c:v>100</c:v>
                </c:pt>
                <c:pt idx="1">
                  <c:v>99.591816128754175</c:v>
                </c:pt>
                <c:pt idx="2">
                  <c:v>100.22891551530664</c:v>
                </c:pt>
                <c:pt idx="3">
                  <c:v>100.17359938652234</c:v>
                </c:pt>
                <c:pt idx="4">
                  <c:v>100.93631373727443</c:v>
                </c:pt>
                <c:pt idx="5">
                  <c:v>101.77591160311529</c:v>
                </c:pt>
                <c:pt idx="6">
                  <c:v>102.22190466889937</c:v>
                </c:pt>
                <c:pt idx="7">
                  <c:v>103.15799550301924</c:v>
                </c:pt>
                <c:pt idx="8">
                  <c:v>103.32371496180799</c:v>
                </c:pt>
                <c:pt idx="9">
                  <c:v>103.42677453653165</c:v>
                </c:pt>
                <c:pt idx="10">
                  <c:v>104.32662252260467</c:v>
                </c:pt>
                <c:pt idx="11">
                  <c:v>104.67602020514686</c:v>
                </c:pt>
                <c:pt idx="12">
                  <c:v>105.29960684100631</c:v>
                </c:pt>
                <c:pt idx="13">
                  <c:v>105.21802428644338</c:v>
                </c:pt>
                <c:pt idx="14">
                  <c:v>105.3198066863356</c:v>
                </c:pt>
                <c:pt idx="15">
                  <c:v>106.05003139621056</c:v>
                </c:pt>
                <c:pt idx="16">
                  <c:v>106.24593917141598</c:v>
                </c:pt>
                <c:pt idx="17">
                  <c:v>105.74676864224931</c:v>
                </c:pt>
                <c:pt idx="18">
                  <c:v>105.63794973196501</c:v>
                </c:pt>
                <c:pt idx="19">
                  <c:v>106.50993482372009</c:v>
                </c:pt>
                <c:pt idx="20">
                  <c:v>105.9333205093735</c:v>
                </c:pt>
                <c:pt idx="21">
                  <c:v>105.82658002039508</c:v>
                </c:pt>
                <c:pt idx="22">
                  <c:v>106.54993690334628</c:v>
                </c:pt>
                <c:pt idx="23">
                  <c:v>106.84775359104518</c:v>
                </c:pt>
                <c:pt idx="24">
                  <c:v>107.53238556920164</c:v>
                </c:pt>
                <c:pt idx="25">
                  <c:v>107.95588348960557</c:v>
                </c:pt>
                <c:pt idx="26">
                  <c:v>107.50928195845367</c:v>
                </c:pt>
                <c:pt idx="27">
                  <c:v>107.47875627510038</c:v>
                </c:pt>
                <c:pt idx="28">
                  <c:v>107.50361901344634</c:v>
                </c:pt>
                <c:pt idx="29">
                  <c:v>107.86373412063534</c:v>
                </c:pt>
                <c:pt idx="30">
                  <c:v>108.41932324553984</c:v>
                </c:pt>
                <c:pt idx="31">
                  <c:v>108.50547832697571</c:v>
                </c:pt>
                <c:pt idx="32">
                  <c:v>108.97376773262371</c:v>
                </c:pt>
                <c:pt idx="33">
                  <c:v>109.3491426692846</c:v>
                </c:pt>
                <c:pt idx="34">
                  <c:v>109.45065999515522</c:v>
                </c:pt>
                <c:pt idx="35">
                  <c:v>109.87082039265059</c:v>
                </c:pt>
                <c:pt idx="36">
                  <c:v>109.93378149719476</c:v>
                </c:pt>
                <c:pt idx="37">
                  <c:v>110.33156121309203</c:v>
                </c:pt>
                <c:pt idx="38">
                  <c:v>111.10552916094379</c:v>
                </c:pt>
                <c:pt idx="39">
                  <c:v>111.63311683010997</c:v>
                </c:pt>
                <c:pt idx="40">
                  <c:v>112.25217913437314</c:v>
                </c:pt>
                <c:pt idx="41">
                  <c:v>112.11259958876181</c:v>
                </c:pt>
                <c:pt idx="42">
                  <c:v>112.5789009392477</c:v>
                </c:pt>
                <c:pt idx="43">
                  <c:v>112.61654747472721</c:v>
                </c:pt>
                <c:pt idx="44">
                  <c:v>112.48269714262861</c:v>
                </c:pt>
                <c:pt idx="45">
                  <c:v>112.63737385865308</c:v>
                </c:pt>
                <c:pt idx="46">
                  <c:v>112.93476883768118</c:v>
                </c:pt>
                <c:pt idx="47">
                  <c:v>113.21765703843523</c:v>
                </c:pt>
                <c:pt idx="48">
                  <c:v>113.57036814624763</c:v>
                </c:pt>
                <c:pt idx="49">
                  <c:v>113.56545825243809</c:v>
                </c:pt>
                <c:pt idx="50">
                  <c:v>113.82569467316284</c:v>
                </c:pt>
                <c:pt idx="51">
                  <c:v>114.43746744183146</c:v>
                </c:pt>
                <c:pt idx="52">
                  <c:v>114.66659983588302</c:v>
                </c:pt>
                <c:pt idx="53">
                  <c:v>115.33930348306662</c:v>
                </c:pt>
                <c:pt idx="54">
                  <c:v>115.98493343358751</c:v>
                </c:pt>
                <c:pt idx="55">
                  <c:v>116.37724298558409</c:v>
                </c:pt>
                <c:pt idx="56">
                  <c:v>116.74596697406615</c:v>
                </c:pt>
                <c:pt idx="57">
                  <c:v>117.37489123681547</c:v>
                </c:pt>
                <c:pt idx="58">
                  <c:v>117.40960388482844</c:v>
                </c:pt>
                <c:pt idx="59">
                  <c:v>117.78755726879051</c:v>
                </c:pt>
                <c:pt idx="60">
                  <c:v>118.46325504753648</c:v>
                </c:pt>
                <c:pt idx="61">
                  <c:v>118.71802130436055</c:v>
                </c:pt>
                <c:pt idx="62">
                  <c:v>119.04565881949163</c:v>
                </c:pt>
                <c:pt idx="63">
                  <c:v>119.06438268447326</c:v>
                </c:pt>
                <c:pt idx="64">
                  <c:v>119.42310615304876</c:v>
                </c:pt>
                <c:pt idx="65">
                  <c:v>120.24049202075985</c:v>
                </c:pt>
                <c:pt idx="66">
                  <c:v>121.37130382139743</c:v>
                </c:pt>
                <c:pt idx="67">
                  <c:v>121.8904392439197</c:v>
                </c:pt>
                <c:pt idx="68">
                  <c:v>122.36744597023325</c:v>
                </c:pt>
                <c:pt idx="69">
                  <c:v>123.30280785079364</c:v>
                </c:pt>
                <c:pt idx="70">
                  <c:v>123.40653613498095</c:v>
                </c:pt>
                <c:pt idx="71">
                  <c:v>125.19024332409566</c:v>
                </c:pt>
                <c:pt idx="72">
                  <c:v>125.87200768329096</c:v>
                </c:pt>
                <c:pt idx="73">
                  <c:v>125.29280889723358</c:v>
                </c:pt>
                <c:pt idx="74">
                  <c:v>125.02661433543197</c:v>
                </c:pt>
                <c:pt idx="75">
                  <c:v>124.24901969301172</c:v>
                </c:pt>
                <c:pt idx="76">
                  <c:v>123.71038325667169</c:v>
                </c:pt>
                <c:pt idx="77">
                  <c:v>124.76989014549368</c:v>
                </c:pt>
                <c:pt idx="78">
                  <c:v>125.41227896365935</c:v>
                </c:pt>
                <c:pt idx="79">
                  <c:v>126.12011094311706</c:v>
                </c:pt>
                <c:pt idx="80">
                  <c:v>128.61571056374794</c:v>
                </c:pt>
                <c:pt idx="81">
                  <c:v>129.53957184641581</c:v>
                </c:pt>
                <c:pt idx="82">
                  <c:v>130.60718156612594</c:v>
                </c:pt>
                <c:pt idx="83">
                  <c:v>131.72608913342899</c:v>
                </c:pt>
                <c:pt idx="84">
                  <c:v>132.33659677608534</c:v>
                </c:pt>
                <c:pt idx="85">
                  <c:v>133.03648858371369</c:v>
                </c:pt>
                <c:pt idx="86">
                  <c:v>133.30749664877155</c:v>
                </c:pt>
                <c:pt idx="87">
                  <c:v>133.65346644226139</c:v>
                </c:pt>
                <c:pt idx="88">
                  <c:v>134.04202278708826</c:v>
                </c:pt>
                <c:pt idx="89">
                  <c:v>134.68506826589839</c:v>
                </c:pt>
                <c:pt idx="90">
                  <c:v>134.80076102751607</c:v>
                </c:pt>
                <c:pt idx="91">
                  <c:v>135.43417347540418</c:v>
                </c:pt>
                <c:pt idx="92">
                  <c:v>135.52815426488741</c:v>
                </c:pt>
                <c:pt idx="93">
                  <c:v>135.74759940833073</c:v>
                </c:pt>
                <c:pt idx="94">
                  <c:v>135.63990706263831</c:v>
                </c:pt>
                <c:pt idx="95">
                  <c:v>135.62218324964729</c:v>
                </c:pt>
                <c:pt idx="96">
                  <c:v>136.65550805442481</c:v>
                </c:pt>
                <c:pt idx="97">
                  <c:v>137.09919377133886</c:v>
                </c:pt>
                <c:pt idx="98">
                  <c:v>136.40894101904212</c:v>
                </c:pt>
                <c:pt idx="99">
                  <c:v>137.23996012563785</c:v>
                </c:pt>
                <c:pt idx="100">
                  <c:v>136.77927352488265</c:v>
                </c:pt>
                <c:pt idx="101">
                  <c:v>137.27554631304025</c:v>
                </c:pt>
                <c:pt idx="102">
                  <c:v>137.66295802004649</c:v>
                </c:pt>
                <c:pt idx="103">
                  <c:v>137.53026437458766</c:v>
                </c:pt>
                <c:pt idx="104">
                  <c:v>137.45990529507648</c:v>
                </c:pt>
                <c:pt idx="105">
                  <c:v>136.37909609397164</c:v>
                </c:pt>
                <c:pt idx="106">
                  <c:v>136.894797603032</c:v>
                </c:pt>
                <c:pt idx="107">
                  <c:v>136.71554129591195</c:v>
                </c:pt>
                <c:pt idx="108">
                  <c:v>136.75368183297721</c:v>
                </c:pt>
                <c:pt idx="109">
                  <c:v>136.3751862521527</c:v>
                </c:pt>
                <c:pt idx="110">
                  <c:v>135.54452861013192</c:v>
                </c:pt>
                <c:pt idx="111">
                  <c:v>136.14921064872226</c:v>
                </c:pt>
                <c:pt idx="112">
                  <c:v>136.16681397352161</c:v>
                </c:pt>
                <c:pt idx="113">
                  <c:v>135.67329434054309</c:v>
                </c:pt>
                <c:pt idx="114">
                  <c:v>137.34353779958556</c:v>
                </c:pt>
                <c:pt idx="115">
                  <c:v>136.72288505119269</c:v>
                </c:pt>
                <c:pt idx="116">
                  <c:v>135.6459977407259</c:v>
                </c:pt>
                <c:pt idx="117">
                  <c:v>133.80101628175004</c:v>
                </c:pt>
                <c:pt idx="118">
                  <c:v>136.65510441898272</c:v>
                </c:pt>
                <c:pt idx="119">
                  <c:v>137.57847170006485</c:v>
                </c:pt>
                <c:pt idx="120">
                  <c:v>138.83148864907852</c:v>
                </c:pt>
                <c:pt idx="121" formatCode="0.000">
                  <c:v>138.69993990216935</c:v>
                </c:pt>
                <c:pt idx="122" formatCode="0.000">
                  <c:v>138.56851580329919</c:v>
                </c:pt>
                <c:pt idx="123" formatCode="0.000">
                  <c:v>138.43721623435871</c:v>
                </c:pt>
                <c:pt idx="124" formatCode="0.000">
                  <c:v>138.30604107735053</c:v>
                </c:pt>
                <c:pt idx="125" formatCode="0.000">
                  <c:v>138.174990214389</c:v>
                </c:pt>
                <c:pt idx="126" formatCode="0.000">
                  <c:v>138.04406352770025</c:v>
                </c:pt>
                <c:pt idx="127" formatCode="0.000">
                  <c:v>137.91326089962197</c:v>
                </c:pt>
                <c:pt idx="128" formatCode="0.000">
                  <c:v>137.78258221260336</c:v>
                </c:pt>
                <c:pt idx="129" formatCode="0.000">
                  <c:v>137.65202734920496</c:v>
                </c:pt>
                <c:pt idx="130" formatCode="0.000">
                  <c:v>137.52159619209863</c:v>
                </c:pt>
                <c:pt idx="131" formatCode="0.000">
                  <c:v>137.39128862406739</c:v>
                </c:pt>
                <c:pt idx="132" formatCode="0.000">
                  <c:v>137.26110452800532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3F-4246-BE9E-3FEF82073752}"/>
            </c:ext>
          </c:extLst>
        </c:ser>
        <c:ser>
          <c:idx val="4"/>
          <c:order val="4"/>
          <c:tx>
            <c:strRef>
              <c:f>Returns!$U$31</c:f>
              <c:strCache>
                <c:ptCount val="1"/>
                <c:pt idx="0">
                  <c:v>Global Govt 1-3 Hedged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Returns!$U$32:$U$164</c:f>
              <c:numCache>
                <c:formatCode>General</c:formatCode>
                <c:ptCount val="133"/>
                <c:pt idx="0">
                  <c:v>100</c:v>
                </c:pt>
                <c:pt idx="1">
                  <c:v>99.56608707237244</c:v>
                </c:pt>
                <c:pt idx="2">
                  <c:v>100.32783295871826</c:v>
                </c:pt>
                <c:pt idx="3">
                  <c:v>100.49586485738126</c:v>
                </c:pt>
                <c:pt idx="4">
                  <c:v>101.19009484381897</c:v>
                </c:pt>
                <c:pt idx="5">
                  <c:v>102.05939035463901</c:v>
                </c:pt>
                <c:pt idx="6">
                  <c:v>102.42930995104936</c:v>
                </c:pt>
                <c:pt idx="7">
                  <c:v>103.16420296626377</c:v>
                </c:pt>
                <c:pt idx="8">
                  <c:v>103.34596827815614</c:v>
                </c:pt>
                <c:pt idx="9">
                  <c:v>103.28441925658605</c:v>
                </c:pt>
                <c:pt idx="10">
                  <c:v>104.08850503719647</c:v>
                </c:pt>
                <c:pt idx="11">
                  <c:v>104.24271526655176</c:v>
                </c:pt>
                <c:pt idx="12">
                  <c:v>104.72349984620418</c:v>
                </c:pt>
                <c:pt idx="13">
                  <c:v>104.75853367207291</c:v>
                </c:pt>
                <c:pt idx="14">
                  <c:v>104.92393323726976</c:v>
                </c:pt>
                <c:pt idx="15">
                  <c:v>105.44919888039101</c:v>
                </c:pt>
                <c:pt idx="16">
                  <c:v>105.60024340258948</c:v>
                </c:pt>
                <c:pt idx="17">
                  <c:v>105.25336247983917</c:v>
                </c:pt>
                <c:pt idx="18">
                  <c:v>105.1775620202322</c:v>
                </c:pt>
                <c:pt idx="19">
                  <c:v>105.90290035566424</c:v>
                </c:pt>
                <c:pt idx="20">
                  <c:v>105.61574577460588</c:v>
                </c:pt>
                <c:pt idx="21">
                  <c:v>105.6078602858698</c:v>
                </c:pt>
                <c:pt idx="22">
                  <c:v>106.19088377641461</c:v>
                </c:pt>
                <c:pt idx="23">
                  <c:v>106.42513459435658</c:v>
                </c:pt>
                <c:pt idx="24">
                  <c:v>106.89881264109455</c:v>
                </c:pt>
                <c:pt idx="25">
                  <c:v>107.17897964308315</c:v>
                </c:pt>
                <c:pt idx="26">
                  <c:v>106.72130664428589</c:v>
                </c:pt>
                <c:pt idx="27">
                  <c:v>106.67950396093275</c:v>
                </c:pt>
                <c:pt idx="28">
                  <c:v>106.71088858982436</c:v>
                </c:pt>
                <c:pt idx="29">
                  <c:v>106.99935550039503</c:v>
                </c:pt>
                <c:pt idx="30">
                  <c:v>107.54100223909499</c:v>
                </c:pt>
                <c:pt idx="31">
                  <c:v>107.62027154630167</c:v>
                </c:pt>
                <c:pt idx="32">
                  <c:v>107.97092829431537</c:v>
                </c:pt>
                <c:pt idx="33">
                  <c:v>108.05324051761338</c:v>
                </c:pt>
                <c:pt idx="34">
                  <c:v>108.24263422444849</c:v>
                </c:pt>
                <c:pt idx="35">
                  <c:v>108.45925301283219</c:v>
                </c:pt>
                <c:pt idx="36">
                  <c:v>108.44332854652822</c:v>
                </c:pt>
                <c:pt idx="37">
                  <c:v>108.68977021493957</c:v>
                </c:pt>
                <c:pt idx="38">
                  <c:v>109.30871392935704</c:v>
                </c:pt>
                <c:pt idx="39">
                  <c:v>109.71772713123845</c:v>
                </c:pt>
                <c:pt idx="40">
                  <c:v>110.12588847010311</c:v>
                </c:pt>
                <c:pt idx="41">
                  <c:v>110.02760189663076</c:v>
                </c:pt>
                <c:pt idx="42">
                  <c:v>110.50418088229061</c:v>
                </c:pt>
                <c:pt idx="43">
                  <c:v>110.48415826417636</c:v>
                </c:pt>
                <c:pt idx="44">
                  <c:v>110.51096125143741</c:v>
                </c:pt>
                <c:pt idx="45">
                  <c:v>110.85094285119625</c:v>
                </c:pt>
                <c:pt idx="46">
                  <c:v>111.21473056877433</c:v>
                </c:pt>
                <c:pt idx="47">
                  <c:v>111.4755387918464</c:v>
                </c:pt>
                <c:pt idx="48">
                  <c:v>111.67792532829722</c:v>
                </c:pt>
                <c:pt idx="49">
                  <c:v>111.80162965232319</c:v>
                </c:pt>
                <c:pt idx="50">
                  <c:v>112.19341373282992</c:v>
                </c:pt>
                <c:pt idx="51">
                  <c:v>112.52178006523887</c:v>
                </c:pt>
                <c:pt idx="52">
                  <c:v>112.83926403946992</c:v>
                </c:pt>
                <c:pt idx="53">
                  <c:v>113.53081180857114</c:v>
                </c:pt>
                <c:pt idx="54">
                  <c:v>114.34379994142859</c:v>
                </c:pt>
                <c:pt idx="55">
                  <c:v>114.82591603669725</c:v>
                </c:pt>
                <c:pt idx="56">
                  <c:v>115.22176373402711</c:v>
                </c:pt>
                <c:pt idx="57">
                  <c:v>115.7431422724819</c:v>
                </c:pt>
                <c:pt idx="58">
                  <c:v>115.94141914546006</c:v>
                </c:pt>
                <c:pt idx="59">
                  <c:v>116.35595410806711</c:v>
                </c:pt>
                <c:pt idx="60">
                  <c:v>117.01919086213442</c:v>
                </c:pt>
                <c:pt idx="61">
                  <c:v>117.42419416828385</c:v>
                </c:pt>
                <c:pt idx="62">
                  <c:v>117.82167652167287</c:v>
                </c:pt>
                <c:pt idx="63">
                  <c:v>117.86165268792705</c:v>
                </c:pt>
                <c:pt idx="64">
                  <c:v>118.32295569759744</c:v>
                </c:pt>
                <c:pt idx="65">
                  <c:v>119.16832229953275</c:v>
                </c:pt>
                <c:pt idx="66">
                  <c:v>120.28640402067055</c:v>
                </c:pt>
                <c:pt idx="67">
                  <c:v>120.97157049158781</c:v>
                </c:pt>
                <c:pt idx="68">
                  <c:v>121.51532002728409</c:v>
                </c:pt>
                <c:pt idx="69">
                  <c:v>122.70986221000581</c:v>
                </c:pt>
                <c:pt idx="70">
                  <c:v>123.05064195169024</c:v>
                </c:pt>
                <c:pt idx="71">
                  <c:v>124.55577262287237</c:v>
                </c:pt>
                <c:pt idx="72">
                  <c:v>125.29415750901128</c:v>
                </c:pt>
                <c:pt idx="73">
                  <c:v>125.27400058816917</c:v>
                </c:pt>
                <c:pt idx="74">
                  <c:v>124.77551874620494</c:v>
                </c:pt>
                <c:pt idx="75">
                  <c:v>124.34649060065085</c:v>
                </c:pt>
                <c:pt idx="76">
                  <c:v>124.41321603307495</c:v>
                </c:pt>
                <c:pt idx="77">
                  <c:v>125.11016277183634</c:v>
                </c:pt>
                <c:pt idx="78">
                  <c:v>125.70655513963489</c:v>
                </c:pt>
                <c:pt idx="79">
                  <c:v>126.52084025312145</c:v>
                </c:pt>
                <c:pt idx="80">
                  <c:v>128.0847609841212</c:v>
                </c:pt>
                <c:pt idx="81">
                  <c:v>128.90843193967513</c:v>
                </c:pt>
                <c:pt idx="82">
                  <c:v>129.89812025297408</c:v>
                </c:pt>
                <c:pt idx="83">
                  <c:v>130.09826585247998</c:v>
                </c:pt>
                <c:pt idx="84">
                  <c:v>130.36305711073842</c:v>
                </c:pt>
                <c:pt idx="85">
                  <c:v>130.84402587698906</c:v>
                </c:pt>
                <c:pt idx="86">
                  <c:v>130.93826801974228</c:v>
                </c:pt>
                <c:pt idx="87">
                  <c:v>131.15101888956349</c:v>
                </c:pt>
                <c:pt idx="88">
                  <c:v>131.23530728157149</c:v>
                </c:pt>
                <c:pt idx="89">
                  <c:v>131.54664786530796</c:v>
                </c:pt>
                <c:pt idx="90">
                  <c:v>131.87652606271052</c:v>
                </c:pt>
                <c:pt idx="91">
                  <c:v>132.19574062352063</c:v>
                </c:pt>
                <c:pt idx="92">
                  <c:v>132.32911474395289</c:v>
                </c:pt>
                <c:pt idx="93">
                  <c:v>132.80281197679483</c:v>
                </c:pt>
                <c:pt idx="94">
                  <c:v>132.50791772139064</c:v>
                </c:pt>
                <c:pt idx="95">
                  <c:v>133.01624970913855</c:v>
                </c:pt>
                <c:pt idx="96">
                  <c:v>133.43129885933229</c:v>
                </c:pt>
                <c:pt idx="97">
                  <c:v>133.36444296140112</c:v>
                </c:pt>
                <c:pt idx="98">
                  <c:v>133.57617313049056</c:v>
                </c:pt>
                <c:pt idx="99">
                  <c:v>133.96675616088811</c:v>
                </c:pt>
                <c:pt idx="100">
                  <c:v>134.27364556850105</c:v>
                </c:pt>
                <c:pt idx="101">
                  <c:v>134.55114186481555</c:v>
                </c:pt>
                <c:pt idx="102">
                  <c:v>134.86872560678731</c:v>
                </c:pt>
                <c:pt idx="103">
                  <c:v>134.82840025344069</c:v>
                </c:pt>
                <c:pt idx="104">
                  <c:v>134.94238873441083</c:v>
                </c:pt>
                <c:pt idx="105">
                  <c:v>134.61497019553855</c:v>
                </c:pt>
                <c:pt idx="106">
                  <c:v>134.6621373135647</c:v>
                </c:pt>
                <c:pt idx="107">
                  <c:v>134.65400240547689</c:v>
                </c:pt>
                <c:pt idx="108">
                  <c:v>134.61494717221379</c:v>
                </c:pt>
                <c:pt idx="109">
                  <c:v>134.60772552267545</c:v>
                </c:pt>
                <c:pt idx="110">
                  <c:v>134.91822191783675</c:v>
                </c:pt>
                <c:pt idx="111">
                  <c:v>135.30566993884383</c:v>
                </c:pt>
                <c:pt idx="112">
                  <c:v>135.38850402417012</c:v>
                </c:pt>
                <c:pt idx="113">
                  <c:v>135.56560327557435</c:v>
                </c:pt>
                <c:pt idx="114">
                  <c:v>136.30842782617444</c:v>
                </c:pt>
                <c:pt idx="115">
                  <c:v>136.27588435660235</c:v>
                </c:pt>
                <c:pt idx="116">
                  <c:v>136.15716841961134</c:v>
                </c:pt>
                <c:pt idx="117">
                  <c:v>136.00417842646925</c:v>
                </c:pt>
                <c:pt idx="118">
                  <c:v>136.74915949515673</c:v>
                </c:pt>
                <c:pt idx="119">
                  <c:v>137.11661559581594</c:v>
                </c:pt>
                <c:pt idx="120">
                  <c:v>137.30690721231733</c:v>
                </c:pt>
                <c:pt idx="121" formatCode="0.000">
                  <c:v>137.26923186981375</c:v>
                </c:pt>
                <c:pt idx="122" formatCode="0.000">
                  <c:v>137.23156686496515</c:v>
                </c:pt>
                <c:pt idx="123" formatCode="0.000">
                  <c:v>137.193912194935</c:v>
                </c:pt>
                <c:pt idx="124" formatCode="0.000">
                  <c:v>137.15626785688755</c:v>
                </c:pt>
                <c:pt idx="125" formatCode="0.000">
                  <c:v>137.11863384798784</c:v>
                </c:pt>
                <c:pt idx="126" formatCode="0.000">
                  <c:v>137.08101016540166</c:v>
                </c:pt>
                <c:pt idx="127" formatCode="0.000">
                  <c:v>137.04339680629562</c:v>
                </c:pt>
                <c:pt idx="128" formatCode="0.000">
                  <c:v>137.00579376783705</c:v>
                </c:pt>
                <c:pt idx="129" formatCode="0.000">
                  <c:v>136.96820104719413</c:v>
                </c:pt>
                <c:pt idx="130" formatCode="0.000">
                  <c:v>136.93061864153574</c:v>
                </c:pt>
                <c:pt idx="131" formatCode="0.000">
                  <c:v>136.89304654803161</c:v>
                </c:pt>
                <c:pt idx="132" formatCode="0.000">
                  <c:v>136.85548476385216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3F-4246-BE9E-3FEF82073752}"/>
            </c:ext>
          </c:extLst>
        </c:ser>
        <c:ser>
          <c:idx val="5"/>
          <c:order val="5"/>
          <c:tx>
            <c:strRef>
              <c:f>Returns!$V$31</c:f>
              <c:strCache>
                <c:ptCount val="1"/>
                <c:pt idx="0">
                  <c:v>Global Govt 1-30 Hedged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Returns!$V$32:$V$164</c:f>
              <c:numCache>
                <c:formatCode>General</c:formatCode>
                <c:ptCount val="133"/>
                <c:pt idx="0">
                  <c:v>100</c:v>
                </c:pt>
                <c:pt idx="1">
                  <c:v>98.902632497521012</c:v>
                </c:pt>
                <c:pt idx="2">
                  <c:v>100.19618539055452</c:v>
                </c:pt>
                <c:pt idx="3">
                  <c:v>100.45079894929697</c:v>
                </c:pt>
                <c:pt idx="4">
                  <c:v>101.78388199933761</c:v>
                </c:pt>
                <c:pt idx="5">
                  <c:v>103.15427429710255</c:v>
                </c:pt>
                <c:pt idx="6">
                  <c:v>104.705488160931</c:v>
                </c:pt>
                <c:pt idx="7">
                  <c:v>106.35297185043126</c:v>
                </c:pt>
                <c:pt idx="8">
                  <c:v>105.98092391043109</c:v>
                </c:pt>
                <c:pt idx="9">
                  <c:v>105.84525069198061</c:v>
                </c:pt>
                <c:pt idx="10">
                  <c:v>107.72252750428824</c:v>
                </c:pt>
                <c:pt idx="11">
                  <c:v>108.24880187521823</c:v>
                </c:pt>
                <c:pt idx="12">
                  <c:v>109.32569441951422</c:v>
                </c:pt>
                <c:pt idx="13">
                  <c:v>109.08798613828098</c:v>
                </c:pt>
                <c:pt idx="14">
                  <c:v>109.41051997063946</c:v>
                </c:pt>
                <c:pt idx="15">
                  <c:v>111.55765754309029</c:v>
                </c:pt>
                <c:pt idx="16">
                  <c:v>110.93192902906925</c:v>
                </c:pt>
                <c:pt idx="17">
                  <c:v>108.72432491963662</c:v>
                </c:pt>
                <c:pt idx="18">
                  <c:v>108.31126621644076</c:v>
                </c:pt>
                <c:pt idx="19">
                  <c:v>110.03927561443641</c:v>
                </c:pt>
                <c:pt idx="20">
                  <c:v>108.83972093210048</c:v>
                </c:pt>
                <c:pt idx="21">
                  <c:v>108.95114668892856</c:v>
                </c:pt>
                <c:pt idx="22">
                  <c:v>109.97037672097657</c:v>
                </c:pt>
                <c:pt idx="23">
                  <c:v>110.57565562966029</c:v>
                </c:pt>
                <c:pt idx="24">
                  <c:v>111.7157680299805</c:v>
                </c:pt>
                <c:pt idx="25">
                  <c:v>112.20157925918178</c:v>
                </c:pt>
                <c:pt idx="26">
                  <c:v>110.65124260381438</c:v>
                </c:pt>
                <c:pt idx="27">
                  <c:v>110.41054775735832</c:v>
                </c:pt>
                <c:pt idx="28">
                  <c:v>110.41854911545956</c:v>
                </c:pt>
                <c:pt idx="29">
                  <c:v>111.01681035645497</c:v>
                </c:pt>
                <c:pt idx="30">
                  <c:v>112.78290479925316</c:v>
                </c:pt>
                <c:pt idx="31">
                  <c:v>113.35312072234115</c:v>
                </c:pt>
                <c:pt idx="32">
                  <c:v>114.12255930689786</c:v>
                </c:pt>
                <c:pt idx="33">
                  <c:v>114.50731409316018</c:v>
                </c:pt>
                <c:pt idx="34">
                  <c:v>115.33379150996075</c:v>
                </c:pt>
                <c:pt idx="35">
                  <c:v>116.40713465585948</c:v>
                </c:pt>
                <c:pt idx="36">
                  <c:v>115.74754995169778</c:v>
                </c:pt>
                <c:pt idx="37">
                  <c:v>116.33128908267931</c:v>
                </c:pt>
                <c:pt idx="38">
                  <c:v>117.95481940356721</c:v>
                </c:pt>
                <c:pt idx="39">
                  <c:v>119.06466557669715</c:v>
                </c:pt>
                <c:pt idx="40">
                  <c:v>120.22489292479153</c:v>
                </c:pt>
                <c:pt idx="41">
                  <c:v>119.40721294544701</c:v>
                </c:pt>
                <c:pt idx="42">
                  <c:v>120.6236120584625</c:v>
                </c:pt>
                <c:pt idx="43">
                  <c:v>120.12943946075109</c:v>
                </c:pt>
                <c:pt idx="44">
                  <c:v>119.41471738777261</c:v>
                </c:pt>
                <c:pt idx="45">
                  <c:v>120.06419644764043</c:v>
                </c:pt>
                <c:pt idx="46">
                  <c:v>121.06925930951425</c:v>
                </c:pt>
                <c:pt idx="47">
                  <c:v>120.79565139877737</c:v>
                </c:pt>
                <c:pt idx="48">
                  <c:v>121.05694796764494</c:v>
                </c:pt>
                <c:pt idx="49">
                  <c:v>119.92293546199886</c:v>
                </c:pt>
                <c:pt idx="50">
                  <c:v>119.26133267131986</c:v>
                </c:pt>
                <c:pt idx="51">
                  <c:v>119.78819522826997</c:v>
                </c:pt>
                <c:pt idx="52">
                  <c:v>119.86160692826347</c:v>
                </c:pt>
                <c:pt idx="53">
                  <c:v>121.13690577239683</c:v>
                </c:pt>
                <c:pt idx="54">
                  <c:v>123.16879944945796</c:v>
                </c:pt>
                <c:pt idx="55">
                  <c:v>124.03754513060068</c:v>
                </c:pt>
                <c:pt idx="56">
                  <c:v>124.58464432898424</c:v>
                </c:pt>
                <c:pt idx="57">
                  <c:v>125.53366219016543</c:v>
                </c:pt>
                <c:pt idx="58">
                  <c:v>124.81502563781169</c:v>
                </c:pt>
                <c:pt idx="59">
                  <c:v>124.71373087812322</c:v>
                </c:pt>
                <c:pt idx="60">
                  <c:v>126.25816032044379</c:v>
                </c:pt>
                <c:pt idx="61">
                  <c:v>126.11688412309481</c:v>
                </c:pt>
                <c:pt idx="62">
                  <c:v>126.46409134488333</c:v>
                </c:pt>
                <c:pt idx="63">
                  <c:v>125.50190521564831</c:v>
                </c:pt>
                <c:pt idx="64">
                  <c:v>125.07364494617391</c:v>
                </c:pt>
                <c:pt idx="65">
                  <c:v>126.92214120804894</c:v>
                </c:pt>
                <c:pt idx="66">
                  <c:v>128.67279069724995</c:v>
                </c:pt>
                <c:pt idx="67">
                  <c:v>129.03414987750523</c:v>
                </c:pt>
                <c:pt idx="68">
                  <c:v>130.12535663848038</c:v>
                </c:pt>
                <c:pt idx="69">
                  <c:v>132.06974750391095</c:v>
                </c:pt>
                <c:pt idx="70">
                  <c:v>132.29585939352344</c:v>
                </c:pt>
                <c:pt idx="71">
                  <c:v>134.74879284960508</c:v>
                </c:pt>
                <c:pt idx="72">
                  <c:v>135.68043387034714</c:v>
                </c:pt>
                <c:pt idx="73">
                  <c:v>135.85615951442605</c:v>
                </c:pt>
                <c:pt idx="74">
                  <c:v>134.19737859688425</c:v>
                </c:pt>
                <c:pt idx="75">
                  <c:v>132.66380524309014</c:v>
                </c:pt>
                <c:pt idx="76">
                  <c:v>132.70302102481068</c:v>
                </c:pt>
                <c:pt idx="77">
                  <c:v>134.18894116983708</c:v>
                </c:pt>
                <c:pt idx="78">
                  <c:v>135.77733751716133</c:v>
                </c:pt>
                <c:pt idx="79">
                  <c:v>136.10487093069077</c:v>
                </c:pt>
                <c:pt idx="80">
                  <c:v>137.1094875824804</c:v>
                </c:pt>
                <c:pt idx="81">
                  <c:v>141.26337387963238</c:v>
                </c:pt>
                <c:pt idx="82">
                  <c:v>144.76361817965352</c:v>
                </c:pt>
                <c:pt idx="83">
                  <c:v>142.39724440934262</c:v>
                </c:pt>
                <c:pt idx="84">
                  <c:v>142.87520639751682</c:v>
                </c:pt>
                <c:pt idx="85">
                  <c:v>144.35014368978827</c:v>
                </c:pt>
                <c:pt idx="86">
                  <c:v>143.6083802715919</c:v>
                </c:pt>
                <c:pt idx="87">
                  <c:v>142.13268746451877</c:v>
                </c:pt>
                <c:pt idx="88">
                  <c:v>143.17596720599275</c:v>
                </c:pt>
                <c:pt idx="89">
                  <c:v>144.02957723825574</c:v>
                </c:pt>
                <c:pt idx="90">
                  <c:v>145.25523521051889</c:v>
                </c:pt>
                <c:pt idx="91">
                  <c:v>146.06012721449505</c:v>
                </c:pt>
                <c:pt idx="92">
                  <c:v>145.84489169568556</c:v>
                </c:pt>
                <c:pt idx="93">
                  <c:v>147.37010875153868</c:v>
                </c:pt>
                <c:pt idx="94">
                  <c:v>145.80020476986411</c:v>
                </c:pt>
                <c:pt idx="95">
                  <c:v>146.94702553315517</c:v>
                </c:pt>
                <c:pt idx="96">
                  <c:v>147.639533442736</c:v>
                </c:pt>
                <c:pt idx="97">
                  <c:v>147.50016377938326</c:v>
                </c:pt>
                <c:pt idx="98">
                  <c:v>148.6211094283583</c:v>
                </c:pt>
                <c:pt idx="99">
                  <c:v>150.29976190635557</c:v>
                </c:pt>
                <c:pt idx="100">
                  <c:v>151.98993978800567</c:v>
                </c:pt>
                <c:pt idx="101">
                  <c:v>152.85148526097109</c:v>
                </c:pt>
                <c:pt idx="102">
                  <c:v>155.93399579305023</c:v>
                </c:pt>
                <c:pt idx="103">
                  <c:v>155.46534336981509</c:v>
                </c:pt>
                <c:pt idx="104">
                  <c:v>154.74556086883598</c:v>
                </c:pt>
                <c:pt idx="105">
                  <c:v>152.79378218417003</c:v>
                </c:pt>
                <c:pt idx="106">
                  <c:v>151.98172546600057</c:v>
                </c:pt>
                <c:pt idx="107">
                  <c:v>151.23509430143076</c:v>
                </c:pt>
                <c:pt idx="108">
                  <c:v>151.20495990903811</c:v>
                </c:pt>
                <c:pt idx="109">
                  <c:v>151.10076478380216</c:v>
                </c:pt>
                <c:pt idx="110">
                  <c:v>152.26995689813418</c:v>
                </c:pt>
                <c:pt idx="111">
                  <c:v>153.93443713538812</c:v>
                </c:pt>
                <c:pt idx="112">
                  <c:v>153.77269105042527</c:v>
                </c:pt>
                <c:pt idx="113">
                  <c:v>155.22977486875854</c:v>
                </c:pt>
                <c:pt idx="114">
                  <c:v>158.19721897536786</c:v>
                </c:pt>
                <c:pt idx="115">
                  <c:v>160.02305993433012</c:v>
                </c:pt>
                <c:pt idx="116">
                  <c:v>158.72467985947637</c:v>
                </c:pt>
                <c:pt idx="117">
                  <c:v>158.60192138062277</c:v>
                </c:pt>
                <c:pt idx="118">
                  <c:v>161.35752724974569</c:v>
                </c:pt>
                <c:pt idx="119">
                  <c:v>162.3635535197559</c:v>
                </c:pt>
                <c:pt idx="120">
                  <c:v>162.55394832035373</c:v>
                </c:pt>
                <c:pt idx="121" formatCode="0.000">
                  <c:v>162.2709894139706</c:v>
                </c:pt>
                <c:pt idx="122" formatCode="0.000">
                  <c:v>161.98852305632917</c:v>
                </c:pt>
                <c:pt idx="123" formatCode="0.000">
                  <c:v>161.70654839004604</c:v>
                </c:pt>
                <c:pt idx="124" formatCode="0.000">
                  <c:v>161.42506455923029</c:v>
                </c:pt>
                <c:pt idx="125" formatCode="0.000">
                  <c:v>161.14407070948087</c:v>
                </c:pt>
                <c:pt idx="126" formatCode="0.000">
                  <c:v>160.86356598788396</c:v>
                </c:pt>
                <c:pt idx="127" formatCode="0.000">
                  <c:v>160.58354954301043</c:v>
                </c:pt>
                <c:pt idx="128" formatCode="0.000">
                  <c:v>160.30402052491326</c:v>
                </c:pt>
                <c:pt idx="129" formatCode="0.000">
                  <c:v>160.02497808512487</c:v>
                </c:pt>
                <c:pt idx="130" formatCode="0.000">
                  <c:v>159.74642137665469</c:v>
                </c:pt>
                <c:pt idx="131" formatCode="0.000">
                  <c:v>159.46834955398649</c:v>
                </c:pt>
                <c:pt idx="132" formatCode="0.000">
                  <c:v>159.19076177307579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3F-4246-BE9E-3FEF82073752}"/>
            </c:ext>
          </c:extLst>
        </c:ser>
        <c:ser>
          <c:idx val="6"/>
          <c:order val="6"/>
          <c:tx>
            <c:strRef>
              <c:f>Returns!$W$31</c:f>
              <c:strCache>
                <c:ptCount val="1"/>
                <c:pt idx="0">
                  <c:v>Euro Corp Hedged</c:v>
                </c:pt>
              </c:strCache>
            </c:strRef>
          </c:tx>
          <c:spPr>
            <a:ln w="1905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Returns!$W$32:$W$164</c:f>
              <c:numCache>
                <c:formatCode>General</c:formatCode>
                <c:ptCount val="133"/>
                <c:pt idx="0">
                  <c:v>100</c:v>
                </c:pt>
                <c:pt idx="1">
                  <c:v>99.30604408133938</c:v>
                </c:pt>
                <c:pt idx="2">
                  <c:v>99.99540739759324</c:v>
                </c:pt>
                <c:pt idx="3">
                  <c:v>100.05548624894578</c:v>
                </c:pt>
                <c:pt idx="4">
                  <c:v>100.79943289959463</c:v>
                </c:pt>
                <c:pt idx="5">
                  <c:v>101.46920121840914</c:v>
                </c:pt>
                <c:pt idx="6">
                  <c:v>102.79887825208485</c:v>
                </c:pt>
                <c:pt idx="7">
                  <c:v>104.27034551530147</c:v>
                </c:pt>
                <c:pt idx="8">
                  <c:v>103.22197891479546</c:v>
                </c:pt>
                <c:pt idx="9">
                  <c:v>104.30915412034786</c:v>
                </c:pt>
                <c:pt idx="10">
                  <c:v>106.30475770678177</c:v>
                </c:pt>
                <c:pt idx="11">
                  <c:v>107.34270336756873</c:v>
                </c:pt>
                <c:pt idx="12">
                  <c:v>108.37851515622494</c:v>
                </c:pt>
                <c:pt idx="13">
                  <c:v>108.15875419449196</c:v>
                </c:pt>
                <c:pt idx="14">
                  <c:v>109.12609018571699</c:v>
                </c:pt>
                <c:pt idx="15">
                  <c:v>111.43492072187303</c:v>
                </c:pt>
                <c:pt idx="16">
                  <c:v>111.70694403394833</c:v>
                </c:pt>
                <c:pt idx="17">
                  <c:v>110.52704332588495</c:v>
                </c:pt>
                <c:pt idx="18">
                  <c:v>110.68494986355958</c:v>
                </c:pt>
                <c:pt idx="19">
                  <c:v>112.54807900550094</c:v>
                </c:pt>
                <c:pt idx="20">
                  <c:v>111.38447853260941</c:v>
                </c:pt>
                <c:pt idx="21">
                  <c:v>111.2036464052854</c:v>
                </c:pt>
                <c:pt idx="22">
                  <c:v>112.48973034226036</c:v>
                </c:pt>
                <c:pt idx="23">
                  <c:v>113.03185090794669</c:v>
                </c:pt>
                <c:pt idx="24">
                  <c:v>114.45950372504011</c:v>
                </c:pt>
                <c:pt idx="25">
                  <c:v>115.47440914036166</c:v>
                </c:pt>
                <c:pt idx="26">
                  <c:v>114.49363771692246</c:v>
                </c:pt>
                <c:pt idx="27">
                  <c:v>114.10864816971102</c:v>
                </c:pt>
                <c:pt idx="28">
                  <c:v>114.32219701563656</c:v>
                </c:pt>
                <c:pt idx="29">
                  <c:v>115.29216531330347</c:v>
                </c:pt>
                <c:pt idx="30">
                  <c:v>116.88808987232446</c:v>
                </c:pt>
                <c:pt idx="31">
                  <c:v>117.40297729305269</c:v>
                </c:pt>
                <c:pt idx="32">
                  <c:v>118.3594711436791</c:v>
                </c:pt>
                <c:pt idx="33">
                  <c:v>119.57188394156128</c:v>
                </c:pt>
                <c:pt idx="34">
                  <c:v>120.25823913508758</c:v>
                </c:pt>
                <c:pt idx="35">
                  <c:v>121.53170456253719</c:v>
                </c:pt>
                <c:pt idx="36">
                  <c:v>121.35998359147887</c:v>
                </c:pt>
                <c:pt idx="37">
                  <c:v>121.60360570247077</c:v>
                </c:pt>
                <c:pt idx="38">
                  <c:v>122.90938496072408</c:v>
                </c:pt>
                <c:pt idx="39">
                  <c:v>124.04854383928833</c:v>
                </c:pt>
                <c:pt idx="40">
                  <c:v>125.42124148680577</c:v>
                </c:pt>
                <c:pt idx="41">
                  <c:v>125.30823782928526</c:v>
                </c:pt>
                <c:pt idx="42">
                  <c:v>126.54276566389552</c:v>
                </c:pt>
                <c:pt idx="43">
                  <c:v>126.61255363344296</c:v>
                </c:pt>
                <c:pt idx="44">
                  <c:v>125.57783346370138</c:v>
                </c:pt>
                <c:pt idx="45">
                  <c:v>125.68310183474799</c:v>
                </c:pt>
                <c:pt idx="46">
                  <c:v>126.39729370870816</c:v>
                </c:pt>
                <c:pt idx="47">
                  <c:v>126.09753005893326</c:v>
                </c:pt>
                <c:pt idx="48">
                  <c:v>126.41096163743811</c:v>
                </c:pt>
                <c:pt idx="49">
                  <c:v>125.26400297850346</c:v>
                </c:pt>
                <c:pt idx="50">
                  <c:v>125.02851267201574</c:v>
                </c:pt>
                <c:pt idx="51">
                  <c:v>125.68749697436057</c:v>
                </c:pt>
                <c:pt idx="52">
                  <c:v>125.32960043722099</c:v>
                </c:pt>
                <c:pt idx="53">
                  <c:v>126.8805846937035</c:v>
                </c:pt>
                <c:pt idx="54">
                  <c:v>128.3571159221259</c:v>
                </c:pt>
                <c:pt idx="55">
                  <c:v>129.0552368725462</c:v>
                </c:pt>
                <c:pt idx="56">
                  <c:v>129.69520184519442</c:v>
                </c:pt>
                <c:pt idx="57">
                  <c:v>130.6830070844556</c:v>
                </c:pt>
                <c:pt idx="58">
                  <c:v>129.7804165955377</c:v>
                </c:pt>
                <c:pt idx="59">
                  <c:v>129.94606478945383</c:v>
                </c:pt>
                <c:pt idx="60">
                  <c:v>131.43151767355718</c:v>
                </c:pt>
                <c:pt idx="61">
                  <c:v>131.27527444143519</c:v>
                </c:pt>
                <c:pt idx="62">
                  <c:v>131.36375767875489</c:v>
                </c:pt>
                <c:pt idx="63">
                  <c:v>130.55021892891097</c:v>
                </c:pt>
                <c:pt idx="64">
                  <c:v>130.18210608083501</c:v>
                </c:pt>
                <c:pt idx="65">
                  <c:v>130.81811702027383</c:v>
                </c:pt>
                <c:pt idx="66">
                  <c:v>131.42510729873459</c:v>
                </c:pt>
                <c:pt idx="67">
                  <c:v>131.3930466661912</c:v>
                </c:pt>
                <c:pt idx="68">
                  <c:v>132.58267799041494</c:v>
                </c:pt>
                <c:pt idx="69">
                  <c:v>132.07249384680469</c:v>
                </c:pt>
                <c:pt idx="70">
                  <c:v>131.53467048555478</c:v>
                </c:pt>
                <c:pt idx="71">
                  <c:v>133.46695141650906</c:v>
                </c:pt>
                <c:pt idx="72">
                  <c:v>133.3028765551789</c:v>
                </c:pt>
                <c:pt idx="73">
                  <c:v>130.84740919259389</c:v>
                </c:pt>
                <c:pt idx="74">
                  <c:v>131.71615631027407</c:v>
                </c:pt>
                <c:pt idx="75">
                  <c:v>130.73414994815025</c:v>
                </c:pt>
                <c:pt idx="76">
                  <c:v>128.91092660371652</c:v>
                </c:pt>
                <c:pt idx="77">
                  <c:v>130.1690560195579</c:v>
                </c:pt>
                <c:pt idx="78">
                  <c:v>131.0552929265007</c:v>
                </c:pt>
                <c:pt idx="79">
                  <c:v>125.42539059414658</c:v>
                </c:pt>
                <c:pt idx="80">
                  <c:v>123.58669508432314</c:v>
                </c:pt>
                <c:pt idx="81">
                  <c:v>125.3289196683136</c:v>
                </c:pt>
                <c:pt idx="82">
                  <c:v>126.03314126360917</c:v>
                </c:pt>
                <c:pt idx="83">
                  <c:v>126.13511248372544</c:v>
                </c:pt>
                <c:pt idx="84">
                  <c:v>125.53393780304189</c:v>
                </c:pt>
                <c:pt idx="85">
                  <c:v>125.06878393493683</c:v>
                </c:pt>
                <c:pt idx="86">
                  <c:v>128.72440149664075</c:v>
                </c:pt>
                <c:pt idx="87">
                  <c:v>131.87402542556433</c:v>
                </c:pt>
                <c:pt idx="88">
                  <c:v>134.7631808007564</c:v>
                </c:pt>
                <c:pt idx="89">
                  <c:v>139.46283192858743</c:v>
                </c:pt>
                <c:pt idx="90">
                  <c:v>141.09241911669176</c:v>
                </c:pt>
                <c:pt idx="91">
                  <c:v>143.27991672802895</c:v>
                </c:pt>
                <c:pt idx="92">
                  <c:v>144.51328048761863</c:v>
                </c:pt>
                <c:pt idx="93">
                  <c:v>145.79504970329643</c:v>
                </c:pt>
                <c:pt idx="94">
                  <c:v>145.74329454569562</c:v>
                </c:pt>
                <c:pt idx="95">
                  <c:v>148.05512603859077</c:v>
                </c:pt>
                <c:pt idx="96">
                  <c:v>148.88503349860773</c:v>
                </c:pt>
                <c:pt idx="97">
                  <c:v>150.40646044119575</c:v>
                </c:pt>
                <c:pt idx="98">
                  <c:v>151.27055205501455</c:v>
                </c:pt>
                <c:pt idx="99">
                  <c:v>150.55808718428261</c:v>
                </c:pt>
                <c:pt idx="100">
                  <c:v>150.95715630645222</c:v>
                </c:pt>
                <c:pt idx="101">
                  <c:v>152.90533060367576</c:v>
                </c:pt>
                <c:pt idx="102">
                  <c:v>155.73554174236091</c:v>
                </c:pt>
                <c:pt idx="103">
                  <c:v>155.24063150512529</c:v>
                </c:pt>
                <c:pt idx="104">
                  <c:v>155.12094038789354</c:v>
                </c:pt>
                <c:pt idx="105">
                  <c:v>153.12329608717937</c:v>
                </c:pt>
                <c:pt idx="106">
                  <c:v>152.71534750903891</c:v>
                </c:pt>
                <c:pt idx="107">
                  <c:v>152.01508153939466</c:v>
                </c:pt>
                <c:pt idx="108">
                  <c:v>153.18546183362696</c:v>
                </c:pt>
                <c:pt idx="109">
                  <c:v>152.58829294051421</c:v>
                </c:pt>
                <c:pt idx="110">
                  <c:v>154.05754113595904</c:v>
                </c:pt>
                <c:pt idx="111">
                  <c:v>155.30191265010376</c:v>
                </c:pt>
                <c:pt idx="112">
                  <c:v>154.49080715146559</c:v>
                </c:pt>
                <c:pt idx="113">
                  <c:v>156.17430645970882</c:v>
                </c:pt>
                <c:pt idx="114">
                  <c:v>154.04658752442822</c:v>
                </c:pt>
                <c:pt idx="115">
                  <c:v>152.28615257122055</c:v>
                </c:pt>
                <c:pt idx="116">
                  <c:v>155.25630591063489</c:v>
                </c:pt>
                <c:pt idx="117">
                  <c:v>150.64066883196318</c:v>
                </c:pt>
                <c:pt idx="118">
                  <c:v>154.46345059226118</c:v>
                </c:pt>
                <c:pt idx="119">
                  <c:v>159.06707030822051</c:v>
                </c:pt>
                <c:pt idx="120">
                  <c:v>162.01886040399631</c:v>
                </c:pt>
                <c:pt idx="121" formatCode="0.000">
                  <c:v>162.39597114834999</c:v>
                </c:pt>
                <c:pt idx="122" formatCode="0.000">
                  <c:v>162.77395964553534</c:v>
                </c:pt>
                <c:pt idx="123" formatCode="0.000">
                  <c:v>163.15282793858628</c:v>
                </c:pt>
                <c:pt idx="124" formatCode="0.000">
                  <c:v>163.53257807529201</c:v>
                </c:pt>
                <c:pt idx="125" formatCode="0.000">
                  <c:v>163.91321210820811</c:v>
                </c:pt>
                <c:pt idx="126" formatCode="0.000">
                  <c:v>164.29473209466767</c:v>
                </c:pt>
                <c:pt idx="127" formatCode="0.000">
                  <c:v>164.67714009679233</c:v>
                </c:pt>
                <c:pt idx="128" formatCode="0.000">
                  <c:v>165.06043818150349</c:v>
                </c:pt>
                <c:pt idx="129" formatCode="0.000">
                  <c:v>165.44462842053341</c:v>
                </c:pt>
                <c:pt idx="130" formatCode="0.000">
                  <c:v>165.82971289043653</c:v>
                </c:pt>
                <c:pt idx="131" formatCode="0.000">
                  <c:v>166.21569367260059</c:v>
                </c:pt>
                <c:pt idx="132" formatCode="0.000">
                  <c:v>166.60257285325793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63F-4246-BE9E-3FEF82073752}"/>
            </c:ext>
          </c:extLst>
        </c:ser>
        <c:ser>
          <c:idx val="7"/>
          <c:order val="7"/>
          <c:tx>
            <c:strRef>
              <c:f>Returns!$X$31</c:f>
              <c:strCache>
                <c:ptCount val="1"/>
                <c:pt idx="0">
                  <c:v>Global Corp Hedged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Returns!$X$32:$X$164</c:f>
              <c:numCache>
                <c:formatCode>General</c:formatCode>
                <c:ptCount val="133"/>
                <c:pt idx="0">
                  <c:v>100</c:v>
                </c:pt>
                <c:pt idx="1">
                  <c:v>98.739294203305306</c:v>
                </c:pt>
                <c:pt idx="2">
                  <c:v>99.674453092936361</c:v>
                </c:pt>
                <c:pt idx="3">
                  <c:v>100.52678445126503</c:v>
                </c:pt>
                <c:pt idx="4">
                  <c:v>100.81576123582911</c:v>
                </c:pt>
                <c:pt idx="5">
                  <c:v>100.86764207641515</c:v>
                </c:pt>
                <c:pt idx="6">
                  <c:v>102.91086279550964</c:v>
                </c:pt>
                <c:pt idx="7">
                  <c:v>104.43198693149174</c:v>
                </c:pt>
                <c:pt idx="8">
                  <c:v>103.49310223279298</c:v>
                </c:pt>
                <c:pt idx="9">
                  <c:v>104.64914550286672</c:v>
                </c:pt>
                <c:pt idx="10">
                  <c:v>107.09505966945353</c:v>
                </c:pt>
                <c:pt idx="11">
                  <c:v>107.67930910672435</c:v>
                </c:pt>
                <c:pt idx="12">
                  <c:v>109.2167023653324</c:v>
                </c:pt>
                <c:pt idx="13">
                  <c:v>109.21664115169642</c:v>
                </c:pt>
                <c:pt idx="14">
                  <c:v>110.79488583277734</c:v>
                </c:pt>
                <c:pt idx="15">
                  <c:v>113.58638934721206</c:v>
                </c:pt>
                <c:pt idx="16">
                  <c:v>113.4459049662687</c:v>
                </c:pt>
                <c:pt idx="17">
                  <c:v>110.39185890801436</c:v>
                </c:pt>
                <c:pt idx="18">
                  <c:v>110.77296769655018</c:v>
                </c:pt>
                <c:pt idx="19">
                  <c:v>113.57656501545506</c:v>
                </c:pt>
                <c:pt idx="20">
                  <c:v>112.46702309509176</c:v>
                </c:pt>
                <c:pt idx="21">
                  <c:v>112.76014778872093</c:v>
                </c:pt>
                <c:pt idx="22">
                  <c:v>114.05378469430146</c:v>
                </c:pt>
                <c:pt idx="23">
                  <c:v>114.801274453283</c:v>
                </c:pt>
                <c:pt idx="24">
                  <c:v>116.05780493182186</c:v>
                </c:pt>
                <c:pt idx="25">
                  <c:v>116.90737528107681</c:v>
                </c:pt>
                <c:pt idx="26">
                  <c:v>114.64114871791649</c:v>
                </c:pt>
                <c:pt idx="27">
                  <c:v>114.00922573548802</c:v>
                </c:pt>
                <c:pt idx="28">
                  <c:v>114.33951532888574</c:v>
                </c:pt>
                <c:pt idx="29">
                  <c:v>115.38073643603815</c:v>
                </c:pt>
                <c:pt idx="30">
                  <c:v>117.55290230887513</c:v>
                </c:pt>
                <c:pt idx="31">
                  <c:v>118.23247508191598</c:v>
                </c:pt>
                <c:pt idx="32">
                  <c:v>119.21619374397191</c:v>
                </c:pt>
                <c:pt idx="33">
                  <c:v>119.22212415757136</c:v>
                </c:pt>
                <c:pt idx="34">
                  <c:v>120.30637388263762</c:v>
                </c:pt>
                <c:pt idx="35">
                  <c:v>121.24579123133306</c:v>
                </c:pt>
                <c:pt idx="36">
                  <c:v>120.85112225197257</c:v>
                </c:pt>
                <c:pt idx="37">
                  <c:v>120.17020003803104</c:v>
                </c:pt>
                <c:pt idx="38">
                  <c:v>121.5149987523839</c:v>
                </c:pt>
                <c:pt idx="39">
                  <c:v>122.87771296207973</c:v>
                </c:pt>
                <c:pt idx="40">
                  <c:v>124.051890086586</c:v>
                </c:pt>
                <c:pt idx="41">
                  <c:v>123.37099893628064</c:v>
                </c:pt>
                <c:pt idx="42">
                  <c:v>124.8568539679369</c:v>
                </c:pt>
                <c:pt idx="43">
                  <c:v>123.84740091058667</c:v>
                </c:pt>
                <c:pt idx="44">
                  <c:v>122.82719892148521</c:v>
                </c:pt>
                <c:pt idx="45">
                  <c:v>123.49356873551734</c:v>
                </c:pt>
                <c:pt idx="46">
                  <c:v>124.52722219271686</c:v>
                </c:pt>
                <c:pt idx="47">
                  <c:v>124.41374947069622</c:v>
                </c:pt>
                <c:pt idx="48">
                  <c:v>124.771000473017</c:v>
                </c:pt>
                <c:pt idx="49">
                  <c:v>123.41788218598866</c:v>
                </c:pt>
                <c:pt idx="50">
                  <c:v>123.03915433380166</c:v>
                </c:pt>
                <c:pt idx="51">
                  <c:v>123.29355637767196</c:v>
                </c:pt>
                <c:pt idx="52">
                  <c:v>123.16190868758268</c:v>
                </c:pt>
                <c:pt idx="53">
                  <c:v>124.73612240505234</c:v>
                </c:pt>
                <c:pt idx="54">
                  <c:v>126.6195417296874</c:v>
                </c:pt>
                <c:pt idx="55">
                  <c:v>127.66368373227616</c:v>
                </c:pt>
                <c:pt idx="56">
                  <c:v>128.55971797215085</c:v>
                </c:pt>
                <c:pt idx="57">
                  <c:v>129.86946868217652</c:v>
                </c:pt>
                <c:pt idx="58">
                  <c:v>128.9780336877277</c:v>
                </c:pt>
                <c:pt idx="59">
                  <c:v>128.98598871949636</c:v>
                </c:pt>
                <c:pt idx="60">
                  <c:v>131.06706596108239</c:v>
                </c:pt>
                <c:pt idx="61">
                  <c:v>130.57266900507022</c:v>
                </c:pt>
                <c:pt idx="62">
                  <c:v>131.09335493364597</c:v>
                </c:pt>
                <c:pt idx="63">
                  <c:v>130.1035185625372</c:v>
                </c:pt>
                <c:pt idx="64">
                  <c:v>129.48471996639063</c:v>
                </c:pt>
                <c:pt idx="65">
                  <c:v>129.97146156335955</c:v>
                </c:pt>
                <c:pt idx="66">
                  <c:v>130.81633216718922</c:v>
                </c:pt>
                <c:pt idx="67">
                  <c:v>131.34058675937908</c:v>
                </c:pt>
                <c:pt idx="68">
                  <c:v>132.69346841459071</c:v>
                </c:pt>
                <c:pt idx="69">
                  <c:v>132.83846798641503</c:v>
                </c:pt>
                <c:pt idx="70">
                  <c:v>133.04486574876611</c:v>
                </c:pt>
                <c:pt idx="71">
                  <c:v>134.23345822772805</c:v>
                </c:pt>
                <c:pt idx="72">
                  <c:v>133.92308407966084</c:v>
                </c:pt>
                <c:pt idx="73">
                  <c:v>132.05693339582731</c:v>
                </c:pt>
                <c:pt idx="74">
                  <c:v>133.1034883120374</c:v>
                </c:pt>
                <c:pt idx="75">
                  <c:v>132.12057364997648</c:v>
                </c:pt>
                <c:pt idx="76">
                  <c:v>130.99484392062305</c:v>
                </c:pt>
                <c:pt idx="77">
                  <c:v>131.15275408782153</c:v>
                </c:pt>
                <c:pt idx="78">
                  <c:v>132.12669775448379</c:v>
                </c:pt>
                <c:pt idx="79">
                  <c:v>124.2082260583397</c:v>
                </c:pt>
                <c:pt idx="80">
                  <c:v>118.99020579083374</c:v>
                </c:pt>
                <c:pt idx="81">
                  <c:v>121.94181402699871</c:v>
                </c:pt>
                <c:pt idx="82">
                  <c:v>126.26851533187335</c:v>
                </c:pt>
                <c:pt idx="83">
                  <c:v>126.13497275997769</c:v>
                </c:pt>
                <c:pt idx="84">
                  <c:v>124.52655797908466</c:v>
                </c:pt>
                <c:pt idx="85">
                  <c:v>124.01034155957198</c:v>
                </c:pt>
                <c:pt idx="86">
                  <c:v>127.7192099819304</c:v>
                </c:pt>
                <c:pt idx="87">
                  <c:v>131.93711821020977</c:v>
                </c:pt>
                <c:pt idx="88">
                  <c:v>135.23049953515553</c:v>
                </c:pt>
                <c:pt idx="89">
                  <c:v>140.18010714524203</c:v>
                </c:pt>
                <c:pt idx="90">
                  <c:v>142.76420607005926</c:v>
                </c:pt>
                <c:pt idx="91">
                  <c:v>145.09001177375768</c:v>
                </c:pt>
                <c:pt idx="92">
                  <c:v>146.18889703964189</c:v>
                </c:pt>
                <c:pt idx="93">
                  <c:v>147.86890984736181</c:v>
                </c:pt>
                <c:pt idx="94">
                  <c:v>147.23491382403716</c:v>
                </c:pt>
                <c:pt idx="95">
                  <c:v>149.70026012232114</c:v>
                </c:pt>
                <c:pt idx="96">
                  <c:v>150.21050044641643</c:v>
                </c:pt>
                <c:pt idx="97">
                  <c:v>151.23674979457115</c:v>
                </c:pt>
                <c:pt idx="98">
                  <c:v>152.97801735190961</c:v>
                </c:pt>
                <c:pt idx="99">
                  <c:v>152.17072826602774</c:v>
                </c:pt>
                <c:pt idx="100">
                  <c:v>154.15607012184628</c:v>
                </c:pt>
                <c:pt idx="101">
                  <c:v>156.68233586520546</c:v>
                </c:pt>
                <c:pt idx="102">
                  <c:v>159.76615733236528</c:v>
                </c:pt>
                <c:pt idx="103">
                  <c:v>160.30035502903868</c:v>
                </c:pt>
                <c:pt idx="104">
                  <c:v>160.50082511869942</c:v>
                </c:pt>
                <c:pt idx="105">
                  <c:v>158.71676009344566</c:v>
                </c:pt>
                <c:pt idx="106">
                  <c:v>157.90375347123575</c:v>
                </c:pt>
                <c:pt idx="107">
                  <c:v>157.874079475966</c:v>
                </c:pt>
                <c:pt idx="108">
                  <c:v>159.0097797188937</c:v>
                </c:pt>
                <c:pt idx="109">
                  <c:v>158.73975723421157</c:v>
                </c:pt>
                <c:pt idx="110">
                  <c:v>160.93742269779884</c:v>
                </c:pt>
                <c:pt idx="111">
                  <c:v>162.37960042972711</c:v>
                </c:pt>
                <c:pt idx="112">
                  <c:v>161.25342027764924</c:v>
                </c:pt>
                <c:pt idx="113">
                  <c:v>164.24283478630608</c:v>
                </c:pt>
                <c:pt idx="114">
                  <c:v>163.25451961973332</c:v>
                </c:pt>
                <c:pt idx="115">
                  <c:v>162.64785776896571</c:v>
                </c:pt>
                <c:pt idx="116">
                  <c:v>165.53038778737903</c:v>
                </c:pt>
                <c:pt idx="117">
                  <c:v>162.14203396302472</c:v>
                </c:pt>
                <c:pt idx="118">
                  <c:v>165.4637864377938</c:v>
                </c:pt>
                <c:pt idx="119">
                  <c:v>169.2714938686276</c:v>
                </c:pt>
                <c:pt idx="120">
                  <c:v>171.14073812516915</c:v>
                </c:pt>
                <c:pt idx="121" formatCode="0.000">
                  <c:v>171.3169817862422</c:v>
                </c:pt>
                <c:pt idx="122" formatCode="0.000">
                  <c:v>171.49340694605371</c:v>
                </c:pt>
                <c:pt idx="123" formatCode="0.000">
                  <c:v>171.67001379151418</c:v>
                </c:pt>
                <c:pt idx="124" formatCode="0.000">
                  <c:v>171.84680250972661</c:v>
                </c:pt>
                <c:pt idx="125" formatCode="0.000">
                  <c:v>172.02377328798667</c:v>
                </c:pt>
                <c:pt idx="126" formatCode="0.000">
                  <c:v>172.20092631378293</c:v>
                </c:pt>
                <c:pt idx="127" formatCode="0.000">
                  <c:v>172.37826177479698</c:v>
                </c:pt>
                <c:pt idx="128" formatCode="0.000">
                  <c:v>172.55577985890378</c:v>
                </c:pt>
                <c:pt idx="129" formatCode="0.000">
                  <c:v>172.73348075417167</c:v>
                </c:pt>
                <c:pt idx="130" formatCode="0.000">
                  <c:v>172.91136464886273</c:v>
                </c:pt>
                <c:pt idx="131" formatCode="0.000">
                  <c:v>173.08943173143291</c:v>
                </c:pt>
                <c:pt idx="132" formatCode="0.000">
                  <c:v>173.26768219053221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3F-4246-BE9E-3FEF82073752}"/>
            </c:ext>
          </c:extLst>
        </c:ser>
        <c:ser>
          <c:idx val="8"/>
          <c:order val="8"/>
          <c:tx>
            <c:strRef>
              <c:f>Returns!$Y$31</c:f>
              <c:strCache>
                <c:ptCount val="1"/>
                <c:pt idx="0">
                  <c:v>Global Agg Hedged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Returns!$Y$32:$Y$164</c:f>
              <c:numCache>
                <c:formatCode>General</c:formatCode>
                <c:ptCount val="133"/>
                <c:pt idx="0">
                  <c:v>100</c:v>
                </c:pt>
                <c:pt idx="1">
                  <c:v>98.941994786087236</c:v>
                </c:pt>
                <c:pt idx="2">
                  <c:v>100.27356066518232</c:v>
                </c:pt>
                <c:pt idx="3">
                  <c:v>100.74492325227799</c:v>
                </c:pt>
                <c:pt idx="4">
                  <c:v>101.79295988523903</c:v>
                </c:pt>
                <c:pt idx="5">
                  <c:v>102.85781977799056</c:v>
                </c:pt>
                <c:pt idx="6">
                  <c:v>104.33287428189928</c:v>
                </c:pt>
                <c:pt idx="7">
                  <c:v>105.73311441002426</c:v>
                </c:pt>
                <c:pt idx="8">
                  <c:v>105.46348300882043</c:v>
                </c:pt>
                <c:pt idx="9">
                  <c:v>105.59046548047156</c:v>
                </c:pt>
                <c:pt idx="10">
                  <c:v>107.37525552479116</c:v>
                </c:pt>
                <c:pt idx="11">
                  <c:v>107.86918443921851</c:v>
                </c:pt>
                <c:pt idx="12">
                  <c:v>108.95034307190571</c:v>
                </c:pt>
                <c:pt idx="13">
                  <c:v>108.85672014026845</c:v>
                </c:pt>
                <c:pt idx="14">
                  <c:v>109.44831210244584</c:v>
                </c:pt>
                <c:pt idx="15">
                  <c:v>111.33635685426356</c:v>
                </c:pt>
                <c:pt idx="16">
                  <c:v>110.97778766563356</c:v>
                </c:pt>
                <c:pt idx="17">
                  <c:v>108.6886211829158</c:v>
                </c:pt>
                <c:pt idx="18">
                  <c:v>108.63833564210896</c:v>
                </c:pt>
                <c:pt idx="19">
                  <c:v>110.55298529239366</c:v>
                </c:pt>
                <c:pt idx="20">
                  <c:v>109.51149009408711</c:v>
                </c:pt>
                <c:pt idx="21">
                  <c:v>109.66694881817905</c:v>
                </c:pt>
                <c:pt idx="22">
                  <c:v>110.71437364005763</c:v>
                </c:pt>
                <c:pt idx="23">
                  <c:v>111.35941873312225</c:v>
                </c:pt>
                <c:pt idx="24">
                  <c:v>112.47886692896513</c:v>
                </c:pt>
                <c:pt idx="25">
                  <c:v>113.04364348949377</c:v>
                </c:pt>
                <c:pt idx="26">
                  <c:v>111.3088191756424</c:v>
                </c:pt>
                <c:pt idx="27">
                  <c:v>111.00286033268378</c:v>
                </c:pt>
                <c:pt idx="28">
                  <c:v>111.20047260861135</c:v>
                </c:pt>
                <c:pt idx="29">
                  <c:v>111.9658285743198</c:v>
                </c:pt>
                <c:pt idx="30">
                  <c:v>113.75448685600745</c:v>
                </c:pt>
                <c:pt idx="31">
                  <c:v>114.2380057121679</c:v>
                </c:pt>
                <c:pt idx="32">
                  <c:v>115.08075462107583</c:v>
                </c:pt>
                <c:pt idx="33">
                  <c:v>115.31981439413025</c:v>
                </c:pt>
                <c:pt idx="34">
                  <c:v>116.13339760439651</c:v>
                </c:pt>
                <c:pt idx="35">
                  <c:v>117.01235035686078</c:v>
                </c:pt>
                <c:pt idx="36">
                  <c:v>116.52222208703665</c:v>
                </c:pt>
                <c:pt idx="37">
                  <c:v>116.70371599914945</c:v>
                </c:pt>
                <c:pt idx="38">
                  <c:v>118.15250202343768</c:v>
                </c:pt>
                <c:pt idx="39">
                  <c:v>119.30417806328958</c:v>
                </c:pt>
                <c:pt idx="40">
                  <c:v>120.32031824991128</c:v>
                </c:pt>
                <c:pt idx="41">
                  <c:v>119.65992110186245</c:v>
                </c:pt>
                <c:pt idx="42">
                  <c:v>120.85232970051187</c:v>
                </c:pt>
                <c:pt idx="43">
                  <c:v>120.2766139269291</c:v>
                </c:pt>
                <c:pt idx="44">
                  <c:v>119.52057919660781</c:v>
                </c:pt>
                <c:pt idx="45">
                  <c:v>120.08897718435189</c:v>
                </c:pt>
                <c:pt idx="46">
                  <c:v>121.10389065885367</c:v>
                </c:pt>
                <c:pt idx="47">
                  <c:v>121.00656248497262</c:v>
                </c:pt>
                <c:pt idx="48">
                  <c:v>121.35592013161657</c:v>
                </c:pt>
                <c:pt idx="49">
                  <c:v>120.29448893013971</c:v>
                </c:pt>
                <c:pt idx="50">
                  <c:v>119.86776035622539</c:v>
                </c:pt>
                <c:pt idx="51">
                  <c:v>120.24952467802181</c:v>
                </c:pt>
                <c:pt idx="52">
                  <c:v>120.23601075999561</c:v>
                </c:pt>
                <c:pt idx="53">
                  <c:v>121.65196176412475</c:v>
                </c:pt>
                <c:pt idx="54">
                  <c:v>123.4721082318524</c:v>
                </c:pt>
                <c:pt idx="55">
                  <c:v>124.36044865373555</c:v>
                </c:pt>
                <c:pt idx="56">
                  <c:v>125.02681791223712</c:v>
                </c:pt>
                <c:pt idx="57">
                  <c:v>126.10870770551719</c:v>
                </c:pt>
                <c:pt idx="58">
                  <c:v>125.50638973717804</c:v>
                </c:pt>
                <c:pt idx="59">
                  <c:v>125.45627491638288</c:v>
                </c:pt>
                <c:pt idx="60">
                  <c:v>127.03114269045079</c:v>
                </c:pt>
                <c:pt idx="61">
                  <c:v>126.98225883046362</c:v>
                </c:pt>
                <c:pt idx="62">
                  <c:v>127.37635593500201</c:v>
                </c:pt>
                <c:pt idx="63">
                  <c:v>126.51791932475213</c:v>
                </c:pt>
                <c:pt idx="64">
                  <c:v>126.04787421720334</c:v>
                </c:pt>
                <c:pt idx="65">
                  <c:v>127.32329561463935</c:v>
                </c:pt>
                <c:pt idx="66">
                  <c:v>128.78107340786687</c:v>
                </c:pt>
                <c:pt idx="67">
                  <c:v>129.35186263450717</c:v>
                </c:pt>
                <c:pt idx="68">
                  <c:v>130.44025639673785</c:v>
                </c:pt>
                <c:pt idx="69">
                  <c:v>131.9052442136248</c:v>
                </c:pt>
                <c:pt idx="70">
                  <c:v>132.19311948141288</c:v>
                </c:pt>
                <c:pt idx="71">
                  <c:v>134.37542103050387</c:v>
                </c:pt>
                <c:pt idx="72">
                  <c:v>134.76644787854318</c:v>
                </c:pt>
                <c:pt idx="73">
                  <c:v>134.68475487676974</c:v>
                </c:pt>
                <c:pt idx="74">
                  <c:v>133.95337412460134</c:v>
                </c:pt>
                <c:pt idx="75">
                  <c:v>132.72108811219016</c:v>
                </c:pt>
                <c:pt idx="76">
                  <c:v>132.2997642557487</c:v>
                </c:pt>
                <c:pt idx="77">
                  <c:v>133.28051943687893</c:v>
                </c:pt>
                <c:pt idx="78">
                  <c:v>134.60644383070218</c:v>
                </c:pt>
                <c:pt idx="79">
                  <c:v>133.38757478898026</c:v>
                </c:pt>
                <c:pt idx="80">
                  <c:v>132.51207583367471</c:v>
                </c:pt>
                <c:pt idx="81">
                  <c:v>136.10654628202138</c:v>
                </c:pt>
                <c:pt idx="82">
                  <c:v>139.56761178732847</c:v>
                </c:pt>
                <c:pt idx="83">
                  <c:v>138.36797423904551</c:v>
                </c:pt>
                <c:pt idx="84">
                  <c:v>138.35072108927096</c:v>
                </c:pt>
                <c:pt idx="85">
                  <c:v>139.56057750485755</c:v>
                </c:pt>
                <c:pt idx="86">
                  <c:v>140.14517265026791</c:v>
                </c:pt>
                <c:pt idx="87">
                  <c:v>140.37119165464966</c:v>
                </c:pt>
                <c:pt idx="88">
                  <c:v>141.65831509777104</c:v>
                </c:pt>
                <c:pt idx="89">
                  <c:v>143.54453214122876</c:v>
                </c:pt>
                <c:pt idx="90">
                  <c:v>145.01716721040225</c:v>
                </c:pt>
                <c:pt idx="91">
                  <c:v>146.2423189030506</c:v>
                </c:pt>
                <c:pt idx="92">
                  <c:v>146.55060332336248</c:v>
                </c:pt>
                <c:pt idx="93">
                  <c:v>148.02696603695318</c:v>
                </c:pt>
                <c:pt idx="94">
                  <c:v>146.66862492562385</c:v>
                </c:pt>
                <c:pt idx="95">
                  <c:v>148.1709961763739</c:v>
                </c:pt>
                <c:pt idx="96">
                  <c:v>148.87083544077925</c:v>
                </c:pt>
                <c:pt idx="97">
                  <c:v>149.15795251086848</c:v>
                </c:pt>
                <c:pt idx="98">
                  <c:v>149.98912722097759</c:v>
                </c:pt>
                <c:pt idx="99">
                  <c:v>151.15028787758533</c:v>
                </c:pt>
                <c:pt idx="100">
                  <c:v>152.52978282058439</c:v>
                </c:pt>
                <c:pt idx="101">
                  <c:v>153.77047042053721</c:v>
                </c:pt>
                <c:pt idx="102">
                  <c:v>156.32292578565497</c:v>
                </c:pt>
                <c:pt idx="103">
                  <c:v>155.97379486445635</c:v>
                </c:pt>
                <c:pt idx="104">
                  <c:v>155.83413276261876</c:v>
                </c:pt>
                <c:pt idx="105">
                  <c:v>154.15785498416506</c:v>
                </c:pt>
                <c:pt idx="106">
                  <c:v>153.43508207403195</c:v>
                </c:pt>
                <c:pt idx="107">
                  <c:v>152.95974310114457</c:v>
                </c:pt>
                <c:pt idx="108">
                  <c:v>153.23844081645117</c:v>
                </c:pt>
                <c:pt idx="109">
                  <c:v>153.12229018191925</c:v>
                </c:pt>
                <c:pt idx="110">
                  <c:v>154.51055634832224</c:v>
                </c:pt>
                <c:pt idx="111">
                  <c:v>156.01076965177569</c:v>
                </c:pt>
                <c:pt idx="112">
                  <c:v>155.70097347099866</c:v>
                </c:pt>
                <c:pt idx="113">
                  <c:v>157.45092234190017</c:v>
                </c:pt>
                <c:pt idx="114">
                  <c:v>159.37253829564662</c:v>
                </c:pt>
                <c:pt idx="115">
                  <c:v>160.3242146831185</c:v>
                </c:pt>
                <c:pt idx="116">
                  <c:v>160.16677800160653</c:v>
                </c:pt>
                <c:pt idx="117">
                  <c:v>159.29756555967114</c:v>
                </c:pt>
                <c:pt idx="118">
                  <c:v>161.72045602327833</c:v>
                </c:pt>
                <c:pt idx="119">
                  <c:v>163.31844090914987</c:v>
                </c:pt>
                <c:pt idx="120">
                  <c:v>163.9088575297086</c:v>
                </c:pt>
                <c:pt idx="121" formatCode="0.000">
                  <c:v>163.87115357964848</c:v>
                </c:pt>
                <c:pt idx="122" formatCode="0.000">
                  <c:v>163.83345830262698</c:v>
                </c:pt>
                <c:pt idx="123" formatCode="0.000">
                  <c:v>163.79577169664904</c:v>
                </c:pt>
                <c:pt idx="124" formatCode="0.000">
                  <c:v>163.75809375972005</c:v>
                </c:pt>
                <c:pt idx="125" formatCode="0.000">
                  <c:v>163.72042448984587</c:v>
                </c:pt>
                <c:pt idx="126" formatCode="0.000">
                  <c:v>163.68276388503281</c:v>
                </c:pt>
                <c:pt idx="127" formatCode="0.000">
                  <c:v>163.64511194328767</c:v>
                </c:pt>
                <c:pt idx="128" formatCode="0.000">
                  <c:v>163.60746866261766</c:v>
                </c:pt>
                <c:pt idx="129" formatCode="0.000">
                  <c:v>163.5698340410305</c:v>
                </c:pt>
                <c:pt idx="130" formatCode="0.000">
                  <c:v>163.53220807653432</c:v>
                </c:pt>
                <c:pt idx="131" formatCode="0.000">
                  <c:v>163.49459076713774</c:v>
                </c:pt>
                <c:pt idx="132" formatCode="0.000">
                  <c:v>163.45698211084982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63F-4246-BE9E-3FEF82073752}"/>
            </c:ext>
          </c:extLst>
        </c:ser>
        <c:ser>
          <c:idx val="9"/>
          <c:order val="9"/>
          <c:tx>
            <c:strRef>
              <c:f>Returns!$Z$31</c:f>
              <c:strCache>
                <c:ptCount val="1"/>
                <c:pt idx="0">
                  <c:v>US High Yield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Returns!$Z$32:$Z$164</c:f>
              <c:numCache>
                <c:formatCode>General</c:formatCode>
                <c:ptCount val="133"/>
                <c:pt idx="0">
                  <c:v>100</c:v>
                </c:pt>
                <c:pt idx="1">
                  <c:v>102.53487915111023</c:v>
                </c:pt>
                <c:pt idx="2">
                  <c:v>104.19233299443812</c:v>
                </c:pt>
                <c:pt idx="3">
                  <c:v>103.40888702828777</c:v>
                </c:pt>
                <c:pt idx="4">
                  <c:v>96.751732210137789</c:v>
                </c:pt>
                <c:pt idx="5">
                  <c:v>93.242885336659626</c:v>
                </c:pt>
                <c:pt idx="6">
                  <c:v>95.377070749357088</c:v>
                </c:pt>
                <c:pt idx="7">
                  <c:v>94.032311806368369</c:v>
                </c:pt>
                <c:pt idx="8">
                  <c:v>93.11216861602604</c:v>
                </c:pt>
                <c:pt idx="9">
                  <c:v>98.809879791878473</c:v>
                </c:pt>
                <c:pt idx="10">
                  <c:v>100.22213298931199</c:v>
                </c:pt>
                <c:pt idx="11">
                  <c:v>103.11925978453101</c:v>
                </c:pt>
                <c:pt idx="12">
                  <c:v>104.55201756559333</c:v>
                </c:pt>
                <c:pt idx="13">
                  <c:v>107.26887489640914</c:v>
                </c:pt>
                <c:pt idx="14">
                  <c:v>113.48859859714474</c:v>
                </c:pt>
                <c:pt idx="15">
                  <c:v>114.76671764333986</c:v>
                </c:pt>
                <c:pt idx="16">
                  <c:v>117.99448084957326</c:v>
                </c:pt>
                <c:pt idx="17">
                  <c:v>116.51815082829977</c:v>
                </c:pt>
                <c:pt idx="18">
                  <c:v>117.90989944210446</c:v>
                </c:pt>
                <c:pt idx="19">
                  <c:v>121.11203191880188</c:v>
                </c:pt>
                <c:pt idx="20">
                  <c:v>123.61529983681771</c:v>
                </c:pt>
                <c:pt idx="21">
                  <c:v>125.30180184028643</c:v>
                </c:pt>
                <c:pt idx="22">
                  <c:v>128.25275316753104</c:v>
                </c:pt>
                <c:pt idx="23">
                  <c:v>130.33396840585408</c:v>
                </c:pt>
                <c:pt idx="24">
                  <c:v>130.2109409040813</c:v>
                </c:pt>
                <c:pt idx="25">
                  <c:v>131.08324006595643</c:v>
                </c:pt>
                <c:pt idx="26">
                  <c:v>130.22631934180285</c:v>
                </c:pt>
                <c:pt idx="27">
                  <c:v>128.17158919066699</c:v>
                </c:pt>
                <c:pt idx="28">
                  <c:v>130.03067143967806</c:v>
                </c:pt>
                <c:pt idx="29">
                  <c:v>131.78039590933557</c:v>
                </c:pt>
                <c:pt idx="30">
                  <c:v>134.17772347860262</c:v>
                </c:pt>
                <c:pt idx="31">
                  <c:v>136.04022315821848</c:v>
                </c:pt>
                <c:pt idx="32">
                  <c:v>138.65284885558791</c:v>
                </c:pt>
                <c:pt idx="33">
                  <c:v>140.093295855511</c:v>
                </c:pt>
                <c:pt idx="34">
                  <c:v>142.19672439276528</c:v>
                </c:pt>
                <c:pt idx="35">
                  <c:v>142.05148359206129</c:v>
                </c:pt>
                <c:pt idx="36">
                  <c:v>144.07289379480036</c:v>
                </c:pt>
                <c:pt idx="37">
                  <c:v>140.14968346049022</c:v>
                </c:pt>
                <c:pt idx="38">
                  <c:v>138.64686835202954</c:v>
                </c:pt>
                <c:pt idx="39">
                  <c:v>141.12450554050938</c:v>
                </c:pt>
                <c:pt idx="40">
                  <c:v>143.59189043717484</c:v>
                </c:pt>
                <c:pt idx="41">
                  <c:v>145.6619990260323</c:v>
                </c:pt>
                <c:pt idx="42">
                  <c:v>146.31472827154911</c:v>
                </c:pt>
                <c:pt idx="43">
                  <c:v>145.0007262040036</c:v>
                </c:pt>
                <c:pt idx="44">
                  <c:v>143.69355899766771</c:v>
                </c:pt>
                <c:pt idx="45">
                  <c:v>144.75552555810921</c:v>
                </c:pt>
                <c:pt idx="46">
                  <c:v>146.14556545661154</c:v>
                </c:pt>
                <c:pt idx="47">
                  <c:v>147.86880483908186</c:v>
                </c:pt>
                <c:pt idx="48">
                  <c:v>149.26140781053778</c:v>
                </c:pt>
                <c:pt idx="49">
                  <c:v>149.90388476424016</c:v>
                </c:pt>
                <c:pt idx="50">
                  <c:v>150.89921142788808</c:v>
                </c:pt>
                <c:pt idx="51">
                  <c:v>150.66853486206412</c:v>
                </c:pt>
                <c:pt idx="52">
                  <c:v>149.80905106495698</c:v>
                </c:pt>
                <c:pt idx="53">
                  <c:v>151.22984783890249</c:v>
                </c:pt>
                <c:pt idx="54">
                  <c:v>153.44348851316153</c:v>
                </c:pt>
                <c:pt idx="55">
                  <c:v>155.46575307355175</c:v>
                </c:pt>
                <c:pt idx="56">
                  <c:v>157.74005314104602</c:v>
                </c:pt>
                <c:pt idx="57">
                  <c:v>160.08099310533387</c:v>
                </c:pt>
                <c:pt idx="58">
                  <c:v>161.86489188103934</c:v>
                </c:pt>
                <c:pt idx="59">
                  <c:v>163.63682964962805</c:v>
                </c:pt>
                <c:pt idx="60">
                  <c:v>166.00681777405674</c:v>
                </c:pt>
                <c:pt idx="61">
                  <c:v>166.4886754893335</c:v>
                </c:pt>
                <c:pt idx="62">
                  <c:v>168.70487923654613</c:v>
                </c:pt>
                <c:pt idx="63">
                  <c:v>169.82750519022287</c:v>
                </c:pt>
                <c:pt idx="64">
                  <c:v>166.94063068681825</c:v>
                </c:pt>
                <c:pt idx="65">
                  <c:v>161.72734029919619</c:v>
                </c:pt>
                <c:pt idx="66">
                  <c:v>163.75302229019127</c:v>
                </c:pt>
                <c:pt idx="67">
                  <c:v>167.57627277931104</c:v>
                </c:pt>
                <c:pt idx="68">
                  <c:v>168.71769460131418</c:v>
                </c:pt>
                <c:pt idx="69">
                  <c:v>165.38484540398318</c:v>
                </c:pt>
                <c:pt idx="70">
                  <c:v>165.96068246089197</c:v>
                </c:pt>
                <c:pt idx="71">
                  <c:v>163.47022990764412</c:v>
                </c:pt>
                <c:pt idx="72">
                  <c:v>161.66753526361222</c:v>
                </c:pt>
                <c:pt idx="73">
                  <c:v>161.03274752877067</c:v>
                </c:pt>
                <c:pt idx="74">
                  <c:v>167.47118678821349</c:v>
                </c:pt>
                <c:pt idx="75">
                  <c:v>168.22216716361822</c:v>
                </c:pt>
                <c:pt idx="76">
                  <c:v>164.19557955351289</c:v>
                </c:pt>
                <c:pt idx="77">
                  <c:v>161.66753526361225</c:v>
                </c:pt>
                <c:pt idx="78">
                  <c:v>162.13230582586502</c:v>
                </c:pt>
                <c:pt idx="79">
                  <c:v>148.98886771980503</c:v>
                </c:pt>
                <c:pt idx="80">
                  <c:v>124.47136620332019</c:v>
                </c:pt>
                <c:pt idx="81">
                  <c:v>114.48905140670001</c:v>
                </c:pt>
                <c:pt idx="82">
                  <c:v>122.63364289558909</c:v>
                </c:pt>
                <c:pt idx="83">
                  <c:v>129.85296504822864</c:v>
                </c:pt>
                <c:pt idx="84">
                  <c:v>125.62304031713771</c:v>
                </c:pt>
                <c:pt idx="85">
                  <c:v>129.39502934718547</c:v>
                </c:pt>
                <c:pt idx="86">
                  <c:v>144.02846719693815</c:v>
                </c:pt>
                <c:pt idx="87">
                  <c:v>154.27392415012795</c:v>
                </c:pt>
                <c:pt idx="88">
                  <c:v>159.28131434381081</c:v>
                </c:pt>
                <c:pt idx="89">
                  <c:v>169.02697207104862</c:v>
                </c:pt>
                <c:pt idx="90">
                  <c:v>172.515314360898</c:v>
                </c:pt>
                <c:pt idx="91">
                  <c:v>182.85218758276613</c:v>
                </c:pt>
                <c:pt idx="92">
                  <c:v>186.13719275162993</c:v>
                </c:pt>
                <c:pt idx="93">
                  <c:v>187.98516835117542</c:v>
                </c:pt>
                <c:pt idx="94">
                  <c:v>193.88023614445504</c:v>
                </c:pt>
                <c:pt idx="95">
                  <c:v>196.84400283646767</c:v>
                </c:pt>
                <c:pt idx="96">
                  <c:v>197.12252343075883</c:v>
                </c:pt>
                <c:pt idx="97">
                  <c:v>203.08166804787845</c:v>
                </c:pt>
                <c:pt idx="98">
                  <c:v>207.69861679496299</c:v>
                </c:pt>
                <c:pt idx="99">
                  <c:v>200.4173348463631</c:v>
                </c:pt>
                <c:pt idx="100">
                  <c:v>203.01174674370148</c:v>
                </c:pt>
                <c:pt idx="101">
                  <c:v>209.99776178441007</c:v>
                </c:pt>
                <c:pt idx="102">
                  <c:v>210.32576657240284</c:v>
                </c:pt>
                <c:pt idx="103">
                  <c:v>216.45151093150648</c:v>
                </c:pt>
                <c:pt idx="104">
                  <c:v>221.65454902731418</c:v>
                </c:pt>
                <c:pt idx="105">
                  <c:v>219.24269737797675</c:v>
                </c:pt>
                <c:pt idx="106">
                  <c:v>223.08901552367891</c:v>
                </c:pt>
                <c:pt idx="107">
                  <c:v>227.77174980990586</c:v>
                </c:pt>
                <c:pt idx="108">
                  <c:v>230.8235153399921</c:v>
                </c:pt>
                <c:pt idx="109">
                  <c:v>231.79662870470878</c:v>
                </c:pt>
                <c:pt idx="110">
                  <c:v>235.31231043939658</c:v>
                </c:pt>
                <c:pt idx="111">
                  <c:v>236.4648389108653</c:v>
                </c:pt>
                <c:pt idx="112">
                  <c:v>234.09057899818066</c:v>
                </c:pt>
                <c:pt idx="113">
                  <c:v>236.9774535015853</c:v>
                </c:pt>
                <c:pt idx="114">
                  <c:v>227.47187027433472</c:v>
                </c:pt>
                <c:pt idx="115">
                  <c:v>219.27601732637362</c:v>
                </c:pt>
                <c:pt idx="116">
                  <c:v>232.34000017087203</c:v>
                </c:pt>
                <c:pt idx="117">
                  <c:v>227.20103889890433</c:v>
                </c:pt>
                <c:pt idx="118">
                  <c:v>232.83894503917276</c:v>
                </c:pt>
                <c:pt idx="119">
                  <c:v>239.59520534486194</c:v>
                </c:pt>
                <c:pt idx="120">
                  <c:v>245.06138559723922</c:v>
                </c:pt>
                <c:pt idx="121" formatCode="0.000">
                  <c:v>245.97263522368036</c:v>
                </c:pt>
                <c:pt idx="122" formatCode="0.000">
                  <c:v>246.88727329044906</c:v>
                </c:pt>
                <c:pt idx="123" formatCode="0.000">
                  <c:v>247.80531239730672</c:v>
                </c:pt>
                <c:pt idx="124" formatCode="0.000">
                  <c:v>248.72676519086636</c:v>
                </c:pt>
                <c:pt idx="125" formatCode="0.000">
                  <c:v>249.65164436476687</c:v>
                </c:pt>
                <c:pt idx="126" formatCode="0.000">
                  <c:v>250.57996265984784</c:v>
                </c:pt>
                <c:pt idx="127" formatCode="0.000">
                  <c:v>251.5117328643251</c:v>
                </c:pt>
                <c:pt idx="128" formatCode="0.000">
                  <c:v>252.44696781396686</c:v>
                </c:pt>
                <c:pt idx="129" formatCode="0.000">
                  <c:v>253.38568039227061</c:v>
                </c:pt>
                <c:pt idx="130" formatCode="0.000">
                  <c:v>254.32788353064049</c:v>
                </c:pt>
                <c:pt idx="131" formatCode="0.000">
                  <c:v>255.27359020856548</c:v>
                </c:pt>
                <c:pt idx="132" formatCode="0.000">
                  <c:v>256.22281345379821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63F-4246-BE9E-3FEF82073752}"/>
            </c:ext>
          </c:extLst>
        </c:ser>
        <c:ser>
          <c:idx val="10"/>
          <c:order val="10"/>
          <c:tx>
            <c:strRef>
              <c:f>Returns!$AA$31</c:f>
              <c:strCache>
                <c:ptCount val="1"/>
                <c:pt idx="0">
                  <c:v>EM Govt US$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Returns!$AA$32:$AA$164</c:f>
              <c:numCache>
                <c:formatCode>General</c:formatCode>
                <c:ptCount val="133"/>
                <c:pt idx="0">
                  <c:v>100</c:v>
                </c:pt>
                <c:pt idx="1">
                  <c:v>100.10794637922817</c:v>
                </c:pt>
                <c:pt idx="2">
                  <c:v>101.09093996151464</c:v>
                </c:pt>
                <c:pt idx="3">
                  <c:v>100.56984673392883</c:v>
                </c:pt>
                <c:pt idx="4">
                  <c:v>95.497004210940815</c:v>
                </c:pt>
                <c:pt idx="5">
                  <c:v>91.172233853224867</c:v>
                </c:pt>
                <c:pt idx="6">
                  <c:v>97.846213625109243</c:v>
                </c:pt>
                <c:pt idx="7">
                  <c:v>95.133243413687111</c:v>
                </c:pt>
                <c:pt idx="8">
                  <c:v>100.98664141560663</c:v>
                </c:pt>
                <c:pt idx="9">
                  <c:v>103.85345317123698</c:v>
                </c:pt>
                <c:pt idx="10">
                  <c:v>107.04408028467365</c:v>
                </c:pt>
                <c:pt idx="11">
                  <c:v>108.80657827527392</c:v>
                </c:pt>
                <c:pt idx="12">
                  <c:v>112.28992617774598</c:v>
                </c:pt>
                <c:pt idx="13">
                  <c:v>114.10794542803301</c:v>
                </c:pt>
                <c:pt idx="14">
                  <c:v>120.60956388654523</c:v>
                </c:pt>
                <c:pt idx="15">
                  <c:v>125.61061020118724</c:v>
                </c:pt>
                <c:pt idx="16">
                  <c:v>125.60616811993427</c:v>
                </c:pt>
                <c:pt idx="17">
                  <c:v>121.15879822202605</c:v>
                </c:pt>
                <c:pt idx="18">
                  <c:v>124.10875394389278</c:v>
                </c:pt>
                <c:pt idx="19">
                  <c:v>128.46098530498639</c:v>
                </c:pt>
                <c:pt idx="20">
                  <c:v>129.0871665704374</c:v>
                </c:pt>
                <c:pt idx="21">
                  <c:v>130.67566243606777</c:v>
                </c:pt>
                <c:pt idx="22">
                  <c:v>134.5125362762042</c:v>
                </c:pt>
                <c:pt idx="23">
                  <c:v>135.20343685824048</c:v>
                </c:pt>
                <c:pt idx="24">
                  <c:v>135.6758574310692</c:v>
                </c:pt>
                <c:pt idx="25">
                  <c:v>139.06031433194229</c:v>
                </c:pt>
                <c:pt idx="26">
                  <c:v>131.50967032528013</c:v>
                </c:pt>
                <c:pt idx="27">
                  <c:v>129.55751353788463</c:v>
                </c:pt>
                <c:pt idx="28">
                  <c:v>131.45793006623165</c:v>
                </c:pt>
                <c:pt idx="29">
                  <c:v>135.36427919859901</c:v>
                </c:pt>
                <c:pt idx="30">
                  <c:v>140.95049124472436</c:v>
                </c:pt>
                <c:pt idx="31">
                  <c:v>143.29958651547727</c:v>
                </c:pt>
                <c:pt idx="32">
                  <c:v>145.60209224880592</c:v>
                </c:pt>
                <c:pt idx="33">
                  <c:v>146.62030383074807</c:v>
                </c:pt>
                <c:pt idx="34">
                  <c:v>150.29324870233199</c:v>
                </c:pt>
                <c:pt idx="35">
                  <c:v>151.23433262722943</c:v>
                </c:pt>
                <c:pt idx="36">
                  <c:v>152.24477294496668</c:v>
                </c:pt>
                <c:pt idx="37">
                  <c:v>148.36635090159029</c:v>
                </c:pt>
                <c:pt idx="38">
                  <c:v>150.70623384751769</c:v>
                </c:pt>
                <c:pt idx="39">
                  <c:v>155.21477034820398</c:v>
                </c:pt>
                <c:pt idx="40">
                  <c:v>157.97232307532798</c:v>
                </c:pt>
                <c:pt idx="41">
                  <c:v>157.5836980373991</c:v>
                </c:pt>
                <c:pt idx="42">
                  <c:v>160.64284144813752</c:v>
                </c:pt>
                <c:pt idx="43">
                  <c:v>163.35663444334637</c:v>
                </c:pt>
                <c:pt idx="44">
                  <c:v>160.9428959516184</c:v>
                </c:pt>
                <c:pt idx="45">
                  <c:v>163.40242497686214</c:v>
                </c:pt>
                <c:pt idx="46">
                  <c:v>166.42161343620188</c:v>
                </c:pt>
                <c:pt idx="47">
                  <c:v>168.41405809329129</c:v>
                </c:pt>
                <c:pt idx="48">
                  <c:v>172.15470903416596</c:v>
                </c:pt>
                <c:pt idx="49">
                  <c:v>168.88803862613182</c:v>
                </c:pt>
                <c:pt idx="50">
                  <c:v>168.7443986496834</c:v>
                </c:pt>
                <c:pt idx="51">
                  <c:v>165.29103241768124</c:v>
                </c:pt>
                <c:pt idx="52">
                  <c:v>165.2800366019886</c:v>
                </c:pt>
                <c:pt idx="53">
                  <c:v>170.68599241517006</c:v>
                </c:pt>
                <c:pt idx="54">
                  <c:v>175.12823537133232</c:v>
                </c:pt>
                <c:pt idx="55">
                  <c:v>176.11089127934795</c:v>
                </c:pt>
                <c:pt idx="56">
                  <c:v>179.37458920260363</c:v>
                </c:pt>
                <c:pt idx="57">
                  <c:v>181.65003819048442</c:v>
                </c:pt>
                <c:pt idx="58">
                  <c:v>182.85870281715464</c:v>
                </c:pt>
                <c:pt idx="59">
                  <c:v>182.30099808904899</c:v>
                </c:pt>
                <c:pt idx="60">
                  <c:v>185.43290317118942</c:v>
                </c:pt>
                <c:pt idx="61">
                  <c:v>187.23753910600971</c:v>
                </c:pt>
                <c:pt idx="62">
                  <c:v>188.86066323031565</c:v>
                </c:pt>
                <c:pt idx="63">
                  <c:v>188.13433062971961</c:v>
                </c:pt>
                <c:pt idx="64">
                  <c:v>184.57858250999456</c:v>
                </c:pt>
                <c:pt idx="65">
                  <c:v>182.91456175111207</c:v>
                </c:pt>
                <c:pt idx="66">
                  <c:v>185.12957655646426</c:v>
                </c:pt>
                <c:pt idx="67">
                  <c:v>189.33583751304312</c:v>
                </c:pt>
                <c:pt idx="68">
                  <c:v>193.8502191077979</c:v>
                </c:pt>
                <c:pt idx="69">
                  <c:v>193.12861870296925</c:v>
                </c:pt>
                <c:pt idx="70">
                  <c:v>194.33327879814584</c:v>
                </c:pt>
                <c:pt idx="71">
                  <c:v>195.97257323964686</c:v>
                </c:pt>
                <c:pt idx="72">
                  <c:v>195.64609929145468</c:v>
                </c:pt>
                <c:pt idx="73">
                  <c:v>195.56388749644483</c:v>
                </c:pt>
                <c:pt idx="74">
                  <c:v>197.54197386306015</c:v>
                </c:pt>
                <c:pt idx="75">
                  <c:v>197.78641674331709</c:v>
                </c:pt>
                <c:pt idx="76">
                  <c:v>193.97687073924024</c:v>
                </c:pt>
                <c:pt idx="77">
                  <c:v>196.13658781576106</c:v>
                </c:pt>
                <c:pt idx="78">
                  <c:v>197.72193046953839</c:v>
                </c:pt>
                <c:pt idx="79">
                  <c:v>184.18961028584357</c:v>
                </c:pt>
                <c:pt idx="80">
                  <c:v>156.764057950612</c:v>
                </c:pt>
                <c:pt idx="81">
                  <c:v>160.64824899244653</c:v>
                </c:pt>
                <c:pt idx="82">
                  <c:v>173.12472355891555</c:v>
                </c:pt>
                <c:pt idx="83">
                  <c:v>174.60037914637843</c:v>
                </c:pt>
                <c:pt idx="84">
                  <c:v>172.51796569800121</c:v>
                </c:pt>
                <c:pt idx="85">
                  <c:v>178.96963214430767</c:v>
                </c:pt>
                <c:pt idx="86">
                  <c:v>188.60825884682802</c:v>
                </c:pt>
                <c:pt idx="87">
                  <c:v>195.74651696123587</c:v>
                </c:pt>
                <c:pt idx="88">
                  <c:v>198.32928282740843</c:v>
                </c:pt>
                <c:pt idx="89">
                  <c:v>204.44804049047417</c:v>
                </c:pt>
                <c:pt idx="90">
                  <c:v>208.33774846405757</c:v>
                </c:pt>
                <c:pt idx="91">
                  <c:v>218.58090723089012</c:v>
                </c:pt>
                <c:pt idx="92">
                  <c:v>218.90553586053181</c:v>
                </c:pt>
                <c:pt idx="93">
                  <c:v>221.19365952350819</c:v>
                </c:pt>
                <c:pt idx="94">
                  <c:v>221.90660405266183</c:v>
                </c:pt>
                <c:pt idx="95">
                  <c:v>222.72305287979066</c:v>
                </c:pt>
                <c:pt idx="96">
                  <c:v>225.87512329866846</c:v>
                </c:pt>
                <c:pt idx="97">
                  <c:v>231.14355532008176</c:v>
                </c:pt>
                <c:pt idx="98">
                  <c:v>232.90619123397573</c:v>
                </c:pt>
                <c:pt idx="99">
                  <c:v>229.22883757296836</c:v>
                </c:pt>
                <c:pt idx="100">
                  <c:v>233.82807528519186</c:v>
                </c:pt>
                <c:pt idx="101">
                  <c:v>243.45500704359975</c:v>
                </c:pt>
                <c:pt idx="102">
                  <c:v>249.12033950056531</c:v>
                </c:pt>
                <c:pt idx="103">
                  <c:v>253.29450237751209</c:v>
                </c:pt>
                <c:pt idx="104">
                  <c:v>257.64942562082115</c:v>
                </c:pt>
                <c:pt idx="105">
                  <c:v>249.44795963888814</c:v>
                </c:pt>
                <c:pt idx="106">
                  <c:v>248.62088120619134</c:v>
                </c:pt>
                <c:pt idx="107">
                  <c:v>247.26984169259453</c:v>
                </c:pt>
                <c:pt idx="108">
                  <c:v>247.99369167390358</c:v>
                </c:pt>
                <c:pt idx="109">
                  <c:v>251.14452553911354</c:v>
                </c:pt>
                <c:pt idx="110">
                  <c:v>254.63792757410039</c:v>
                </c:pt>
                <c:pt idx="111">
                  <c:v>258.37357047262026</c:v>
                </c:pt>
                <c:pt idx="112">
                  <c:v>261.26714410320841</c:v>
                </c:pt>
                <c:pt idx="113">
                  <c:v>266.35319397056429</c:v>
                </c:pt>
                <c:pt idx="114">
                  <c:v>267.77247222272422</c:v>
                </c:pt>
                <c:pt idx="115">
                  <c:v>256.52458506490478</c:v>
                </c:pt>
                <c:pt idx="116">
                  <c:v>268.09132234195653</c:v>
                </c:pt>
                <c:pt idx="117">
                  <c:v>266.52227841671669</c:v>
                </c:pt>
                <c:pt idx="118">
                  <c:v>269.66562162028481</c:v>
                </c:pt>
                <c:pt idx="119">
                  <c:v>274.41685555816611</c:v>
                </c:pt>
                <c:pt idx="120">
                  <c:v>282.51342849723545</c:v>
                </c:pt>
                <c:pt idx="121" formatCode="0.000">
                  <c:v>283.83716019629139</c:v>
                </c:pt>
                <c:pt idx="122" formatCode="0.000">
                  <c:v>285.16709431064635</c:v>
                </c:pt>
                <c:pt idx="123" formatCode="0.000">
                  <c:v>286.50325990204715</c:v>
                </c:pt>
                <c:pt idx="124" formatCode="0.000">
                  <c:v>287.84568616841102</c:v>
                </c:pt>
                <c:pt idx="125" formatCode="0.000">
                  <c:v>289.19440244446361</c:v>
                </c:pt>
                <c:pt idx="126" formatCode="0.000">
                  <c:v>290.54943820237992</c:v>
                </c:pt>
                <c:pt idx="127" formatCode="0.000">
                  <c:v>291.91082305242838</c:v>
                </c:pt>
                <c:pt idx="128" formatCode="0.000">
                  <c:v>293.27858674361801</c:v>
                </c:pt>
                <c:pt idx="129" formatCode="0.000">
                  <c:v>294.65275916434831</c:v>
                </c:pt>
                <c:pt idx="130" formatCode="0.000">
                  <c:v>296.03337034306247</c:v>
                </c:pt>
                <c:pt idx="131" formatCode="0.000">
                  <c:v>297.42045044890358</c:v>
                </c:pt>
                <c:pt idx="132" formatCode="0.000">
                  <c:v>298.81402979237384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63F-4246-BE9E-3FEF82073752}"/>
            </c:ext>
          </c:extLst>
        </c:ser>
        <c:ser>
          <c:idx val="11"/>
          <c:order val="11"/>
          <c:tx>
            <c:strRef>
              <c:f>Returns!$AB$31</c:f>
              <c:strCache>
                <c:ptCount val="1"/>
                <c:pt idx="0">
                  <c:v>EM Govt Local Unhedged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Returns!$P$32:$P$164</c:f>
              <c:numCache>
                <c:formatCode>0.0</c:formatCode>
                <c:ptCount val="133"/>
                <c:pt idx="0">
                  <c:v>-10.00410790086266</c:v>
                </c:pt>
                <c:pt idx="1">
                  <c:v>-9.9192112830343699</c:v>
                </c:pt>
                <c:pt idx="2">
                  <c:v>-9.8370532657811864</c:v>
                </c:pt>
                <c:pt idx="3">
                  <c:v>-9.7521566479528961</c:v>
                </c:pt>
                <c:pt idx="4">
                  <c:v>-9.6699986306997125</c:v>
                </c:pt>
                <c:pt idx="5">
                  <c:v>-9.5851020128714239</c:v>
                </c:pt>
                <c:pt idx="6">
                  <c:v>-9.5002053950431335</c:v>
                </c:pt>
                <c:pt idx="7">
                  <c:v>-9.41804737778995</c:v>
                </c:pt>
                <c:pt idx="8">
                  <c:v>-9.3331507599616597</c:v>
                </c:pt>
                <c:pt idx="9">
                  <c:v>-9.2509927427084762</c:v>
                </c:pt>
                <c:pt idx="10">
                  <c:v>-9.1660961248801875</c:v>
                </c:pt>
                <c:pt idx="11">
                  <c:v>-9.0811995070518972</c:v>
                </c:pt>
                <c:pt idx="12">
                  <c:v>-9.0045186909489257</c:v>
                </c:pt>
                <c:pt idx="13">
                  <c:v>-8.9196220731206353</c:v>
                </c:pt>
                <c:pt idx="14">
                  <c:v>-8.8374640558674518</c:v>
                </c:pt>
                <c:pt idx="15">
                  <c:v>-8.7525674380391632</c:v>
                </c:pt>
                <c:pt idx="16">
                  <c:v>-8.6704094207859796</c:v>
                </c:pt>
                <c:pt idx="17">
                  <c:v>-8.5855128029576893</c:v>
                </c:pt>
                <c:pt idx="18">
                  <c:v>-8.5006161851293989</c:v>
                </c:pt>
                <c:pt idx="19">
                  <c:v>-8.4184581678762154</c:v>
                </c:pt>
                <c:pt idx="20">
                  <c:v>-8.3335615500479268</c:v>
                </c:pt>
                <c:pt idx="21">
                  <c:v>-8.2514035327947433</c:v>
                </c:pt>
                <c:pt idx="22">
                  <c:v>-8.1665069149664529</c:v>
                </c:pt>
                <c:pt idx="23">
                  <c:v>-8.0816102971381625</c:v>
                </c:pt>
                <c:pt idx="24">
                  <c:v>-8.0021908804600859</c:v>
                </c:pt>
                <c:pt idx="25">
                  <c:v>-7.9172942626317955</c:v>
                </c:pt>
                <c:pt idx="26">
                  <c:v>-7.835136245378612</c:v>
                </c:pt>
                <c:pt idx="27">
                  <c:v>-7.7502396275503225</c:v>
                </c:pt>
                <c:pt idx="28">
                  <c:v>-7.668081610297139</c:v>
                </c:pt>
                <c:pt idx="29">
                  <c:v>-7.5831849924688486</c:v>
                </c:pt>
                <c:pt idx="30">
                  <c:v>-7.4982883746405591</c:v>
                </c:pt>
                <c:pt idx="31">
                  <c:v>-7.4161303573873756</c:v>
                </c:pt>
                <c:pt idx="32">
                  <c:v>-7.3312337395590861</c:v>
                </c:pt>
                <c:pt idx="33">
                  <c:v>-7.2490757223059017</c:v>
                </c:pt>
                <c:pt idx="34">
                  <c:v>-7.1641791044776122</c:v>
                </c:pt>
                <c:pt idx="35">
                  <c:v>-7.0792824866493227</c:v>
                </c:pt>
                <c:pt idx="36">
                  <c:v>-7.0026016705463512</c:v>
                </c:pt>
                <c:pt idx="37">
                  <c:v>-6.9177050527180617</c:v>
                </c:pt>
                <c:pt idx="38">
                  <c:v>-6.8355470354648782</c:v>
                </c:pt>
                <c:pt idx="39">
                  <c:v>-6.7506504176365878</c:v>
                </c:pt>
                <c:pt idx="40">
                  <c:v>-6.6684924003834043</c:v>
                </c:pt>
                <c:pt idx="41">
                  <c:v>-6.5835957825551148</c:v>
                </c:pt>
                <c:pt idx="42">
                  <c:v>-6.4986991647268253</c:v>
                </c:pt>
                <c:pt idx="43">
                  <c:v>-6.4165411474736418</c:v>
                </c:pt>
                <c:pt idx="44">
                  <c:v>-6.3316445296453514</c:v>
                </c:pt>
                <c:pt idx="45">
                  <c:v>-6.2494865123921679</c:v>
                </c:pt>
                <c:pt idx="46">
                  <c:v>-6.1645898945638784</c:v>
                </c:pt>
                <c:pt idx="47">
                  <c:v>-6.0796932767355889</c:v>
                </c:pt>
                <c:pt idx="48">
                  <c:v>-6.0030124606326174</c:v>
                </c:pt>
                <c:pt idx="49">
                  <c:v>-5.918115842804327</c:v>
                </c:pt>
                <c:pt idx="50">
                  <c:v>-5.8359578255511435</c:v>
                </c:pt>
                <c:pt idx="51">
                  <c:v>-5.751061207722854</c:v>
                </c:pt>
                <c:pt idx="52">
                  <c:v>-5.6689031904696705</c:v>
                </c:pt>
                <c:pt idx="53">
                  <c:v>-5.584006572641381</c:v>
                </c:pt>
                <c:pt idx="54">
                  <c:v>-5.4991099548130906</c:v>
                </c:pt>
                <c:pt idx="55">
                  <c:v>-5.4169519375599071</c:v>
                </c:pt>
                <c:pt idx="56">
                  <c:v>-5.3320553197316176</c:v>
                </c:pt>
                <c:pt idx="57">
                  <c:v>-5.2498973024784341</c:v>
                </c:pt>
                <c:pt idx="58">
                  <c:v>-5.1650006846501437</c:v>
                </c:pt>
                <c:pt idx="59">
                  <c:v>-5.0801040668218542</c:v>
                </c:pt>
                <c:pt idx="60">
                  <c:v>-5.0034232507188827</c:v>
                </c:pt>
                <c:pt idx="61">
                  <c:v>-4.9185266328905932</c:v>
                </c:pt>
                <c:pt idx="62">
                  <c:v>-4.8363686156374097</c:v>
                </c:pt>
                <c:pt idx="63">
                  <c:v>-4.7514719978091202</c:v>
                </c:pt>
                <c:pt idx="64">
                  <c:v>-4.6693139805559358</c:v>
                </c:pt>
                <c:pt idx="65">
                  <c:v>-4.5844173627276463</c:v>
                </c:pt>
                <c:pt idx="66">
                  <c:v>-4.4995207448993568</c:v>
                </c:pt>
                <c:pt idx="67">
                  <c:v>-4.4173627276461733</c:v>
                </c:pt>
                <c:pt idx="68">
                  <c:v>-4.3324661098178829</c:v>
                </c:pt>
                <c:pt idx="69">
                  <c:v>-4.2503080925646994</c:v>
                </c:pt>
                <c:pt idx="70">
                  <c:v>-4.1654114747364099</c:v>
                </c:pt>
                <c:pt idx="71">
                  <c:v>-4.0805148569081204</c:v>
                </c:pt>
                <c:pt idx="72">
                  <c:v>-4.0010954402300429</c:v>
                </c:pt>
                <c:pt idx="73">
                  <c:v>-3.916198822401753</c:v>
                </c:pt>
                <c:pt idx="74">
                  <c:v>-3.8340408051485695</c:v>
                </c:pt>
                <c:pt idx="75">
                  <c:v>-3.7491441873202795</c:v>
                </c:pt>
                <c:pt idx="76">
                  <c:v>-3.666986170067096</c:v>
                </c:pt>
                <c:pt idx="77">
                  <c:v>-3.5820895522388061</c:v>
                </c:pt>
                <c:pt idx="78">
                  <c:v>-3.4971929344105166</c:v>
                </c:pt>
                <c:pt idx="79">
                  <c:v>-3.4150349171573327</c:v>
                </c:pt>
                <c:pt idx="80">
                  <c:v>-3.3301382993290432</c:v>
                </c:pt>
                <c:pt idx="81">
                  <c:v>-3.2479802820758596</c:v>
                </c:pt>
                <c:pt idx="82">
                  <c:v>-3.1630836642475697</c:v>
                </c:pt>
                <c:pt idx="83">
                  <c:v>-3.0781870464192798</c:v>
                </c:pt>
                <c:pt idx="84">
                  <c:v>-3.0015062303163087</c:v>
                </c:pt>
                <c:pt idx="85">
                  <c:v>-2.9166096124880188</c:v>
                </c:pt>
                <c:pt idx="86">
                  <c:v>-2.8344515952348353</c:v>
                </c:pt>
                <c:pt idx="87">
                  <c:v>-2.7495549774065453</c:v>
                </c:pt>
                <c:pt idx="88">
                  <c:v>-2.6673969601533618</c:v>
                </c:pt>
                <c:pt idx="89">
                  <c:v>-2.5825003423250719</c:v>
                </c:pt>
                <c:pt idx="90">
                  <c:v>-2.4976037244967824</c:v>
                </c:pt>
                <c:pt idx="91">
                  <c:v>-2.4154457072435989</c:v>
                </c:pt>
                <c:pt idx="92">
                  <c:v>-2.3305490894153089</c:v>
                </c:pt>
                <c:pt idx="93">
                  <c:v>-2.2483910721621254</c:v>
                </c:pt>
                <c:pt idx="94">
                  <c:v>-2.1634944543338355</c:v>
                </c:pt>
                <c:pt idx="95">
                  <c:v>-2.078597836505546</c:v>
                </c:pt>
                <c:pt idx="96">
                  <c:v>-2.0019170204025745</c:v>
                </c:pt>
                <c:pt idx="97">
                  <c:v>-1.9170204025742847</c:v>
                </c:pt>
                <c:pt idx="98">
                  <c:v>-1.834862385321101</c:v>
                </c:pt>
                <c:pt idx="99">
                  <c:v>-1.7499657674928113</c:v>
                </c:pt>
                <c:pt idx="100">
                  <c:v>-1.6678077502396276</c:v>
                </c:pt>
                <c:pt idx="101">
                  <c:v>-1.5829111324113379</c:v>
                </c:pt>
                <c:pt idx="102">
                  <c:v>-1.4980145145830481</c:v>
                </c:pt>
                <c:pt idx="103">
                  <c:v>-1.4158564973298646</c:v>
                </c:pt>
                <c:pt idx="104">
                  <c:v>-1.3309598795015747</c:v>
                </c:pt>
                <c:pt idx="105">
                  <c:v>-1.2488018622483912</c:v>
                </c:pt>
                <c:pt idx="106">
                  <c:v>-1.1639052444201015</c:v>
                </c:pt>
                <c:pt idx="107">
                  <c:v>-1.0790086265918117</c:v>
                </c:pt>
                <c:pt idx="108">
                  <c:v>-1.0023278104888402</c:v>
                </c:pt>
                <c:pt idx="109">
                  <c:v>-0.91743119266055051</c:v>
                </c:pt>
                <c:pt idx="110">
                  <c:v>-0.8352731754073669</c:v>
                </c:pt>
                <c:pt idx="111">
                  <c:v>-0.75037655757907717</c:v>
                </c:pt>
                <c:pt idx="112">
                  <c:v>-0.66821854032589356</c:v>
                </c:pt>
                <c:pt idx="113">
                  <c:v>-0.58332192249760373</c:v>
                </c:pt>
                <c:pt idx="114">
                  <c:v>-0.49842530466931401</c:v>
                </c:pt>
                <c:pt idx="115">
                  <c:v>-0.41626728741613039</c:v>
                </c:pt>
                <c:pt idx="116">
                  <c:v>-0.33137066958784062</c:v>
                </c:pt>
                <c:pt idx="117">
                  <c:v>-0.249212652334657</c:v>
                </c:pt>
                <c:pt idx="118">
                  <c:v>-0.16431603450636725</c:v>
                </c:pt>
                <c:pt idx="119">
                  <c:v>-7.9419416678077503E-2</c:v>
                </c:pt>
                <c:pt idx="120">
                  <c:v>0</c:v>
                </c:pt>
                <c:pt idx="121">
                  <c:v>8.489661782828975E-2</c:v>
                </c:pt>
                <c:pt idx="122">
                  <c:v>0.16705463508147339</c:v>
                </c:pt>
                <c:pt idx="123">
                  <c:v>0.25195125290976311</c:v>
                </c:pt>
                <c:pt idx="124">
                  <c:v>0.33410927016294678</c:v>
                </c:pt>
                <c:pt idx="125">
                  <c:v>0.4190058879912365</c:v>
                </c:pt>
                <c:pt idx="126">
                  <c:v>0.50390250581952623</c:v>
                </c:pt>
                <c:pt idx="127">
                  <c:v>0.58606052307270984</c:v>
                </c:pt>
                <c:pt idx="128">
                  <c:v>0.67095714090099967</c:v>
                </c:pt>
                <c:pt idx="129">
                  <c:v>0.75311515815418328</c:v>
                </c:pt>
                <c:pt idx="130">
                  <c:v>0.83801177598247301</c:v>
                </c:pt>
                <c:pt idx="131">
                  <c:v>0.92290839381076273</c:v>
                </c:pt>
                <c:pt idx="132">
                  <c:v>0.99958920991373412</c:v>
                </c:pt>
              </c:numCache>
            </c:numRef>
          </c:xVal>
          <c:yVal>
            <c:numRef>
              <c:f>Returns!$AB$32:$AB$164</c:f>
              <c:numCache>
                <c:formatCode>General</c:formatCode>
                <c:ptCount val="1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101.24836999999999</c:v>
                </c:pt>
                <c:pt idx="12">
                  <c:v>102.1347</c:v>
                </c:pt>
                <c:pt idx="13">
                  <c:v>103.23002000000001</c:v>
                </c:pt>
                <c:pt idx="14">
                  <c:v>108.58528000000001</c:v>
                </c:pt>
                <c:pt idx="15">
                  <c:v>111.67418000000001</c:v>
                </c:pt>
                <c:pt idx="16">
                  <c:v>111.29894</c:v>
                </c:pt>
                <c:pt idx="17">
                  <c:v>109.37488000000002</c:v>
                </c:pt>
                <c:pt idx="18">
                  <c:v>108.81776000000002</c:v>
                </c:pt>
                <c:pt idx="19">
                  <c:v>113.13971000000002</c:v>
                </c:pt>
                <c:pt idx="20">
                  <c:v>112.19977000000002</c:v>
                </c:pt>
                <c:pt idx="21">
                  <c:v>113.31845</c:v>
                </c:pt>
                <c:pt idx="22">
                  <c:v>116.91797000000001</c:v>
                </c:pt>
                <c:pt idx="23">
                  <c:v>116.59344000000002</c:v>
                </c:pt>
                <c:pt idx="24">
                  <c:v>119.11217000000001</c:v>
                </c:pt>
                <c:pt idx="25">
                  <c:v>121.39634000000001</c:v>
                </c:pt>
                <c:pt idx="26">
                  <c:v>117.24922000000001</c:v>
                </c:pt>
                <c:pt idx="27">
                  <c:v>117.33316000000003</c:v>
                </c:pt>
                <c:pt idx="28">
                  <c:v>118.48777000000004</c:v>
                </c:pt>
                <c:pt idx="29">
                  <c:v>120.13650000000004</c:v>
                </c:pt>
                <c:pt idx="30">
                  <c:v>121.38986000000004</c:v>
                </c:pt>
                <c:pt idx="31">
                  <c:v>124.85746000000005</c:v>
                </c:pt>
                <c:pt idx="32">
                  <c:v>129.15265000000005</c:v>
                </c:pt>
                <c:pt idx="33">
                  <c:v>136.55706000000006</c:v>
                </c:pt>
                <c:pt idx="34">
                  <c:v>143.77202000000005</c:v>
                </c:pt>
                <c:pt idx="35">
                  <c:v>143.31654000000006</c:v>
                </c:pt>
                <c:pt idx="36">
                  <c:v>149.02558000000005</c:v>
                </c:pt>
                <c:pt idx="37">
                  <c:v>143.36123000000006</c:v>
                </c:pt>
                <c:pt idx="38">
                  <c:v>143.27032000000005</c:v>
                </c:pt>
                <c:pt idx="39">
                  <c:v>143.25892000000005</c:v>
                </c:pt>
                <c:pt idx="40">
                  <c:v>146.65005000000005</c:v>
                </c:pt>
                <c:pt idx="41">
                  <c:v>147.52419000000003</c:v>
                </c:pt>
                <c:pt idx="42">
                  <c:v>149.64284000000004</c:v>
                </c:pt>
                <c:pt idx="43">
                  <c:v>150.69893000000002</c:v>
                </c:pt>
                <c:pt idx="44">
                  <c:v>147.95560000000003</c:v>
                </c:pt>
                <c:pt idx="45">
                  <c:v>150.85489999999999</c:v>
                </c:pt>
                <c:pt idx="46">
                  <c:v>152.78572</c:v>
                </c:pt>
                <c:pt idx="47">
                  <c:v>159.71824000000001</c:v>
                </c:pt>
                <c:pt idx="48">
                  <c:v>161.92495</c:v>
                </c:pt>
                <c:pt idx="49">
                  <c:v>159.4316</c:v>
                </c:pt>
                <c:pt idx="50">
                  <c:v>163.79563999999999</c:v>
                </c:pt>
                <c:pt idx="51">
                  <c:v>156.36265</c:v>
                </c:pt>
                <c:pt idx="52">
                  <c:v>152.29528999999999</c:v>
                </c:pt>
                <c:pt idx="53">
                  <c:v>158.72568000000001</c:v>
                </c:pt>
                <c:pt idx="54">
                  <c:v>160.56467000000001</c:v>
                </c:pt>
                <c:pt idx="55">
                  <c:v>159.37153000000001</c:v>
                </c:pt>
                <c:pt idx="56">
                  <c:v>166.80884</c:v>
                </c:pt>
                <c:pt idx="57">
                  <c:v>172.17895999999999</c:v>
                </c:pt>
                <c:pt idx="58">
                  <c:v>176.03635999999997</c:v>
                </c:pt>
                <c:pt idx="59">
                  <c:v>174.62326999999996</c:v>
                </c:pt>
                <c:pt idx="60">
                  <c:v>177.03351999999998</c:v>
                </c:pt>
                <c:pt idx="61">
                  <c:v>182.48847999999995</c:v>
                </c:pt>
                <c:pt idx="62">
                  <c:v>187.98984999999993</c:v>
                </c:pt>
                <c:pt idx="63">
                  <c:v>191.74915999999993</c:v>
                </c:pt>
                <c:pt idx="64">
                  <c:v>191.44183999999996</c:v>
                </c:pt>
                <c:pt idx="65">
                  <c:v>193.17625999999993</c:v>
                </c:pt>
                <c:pt idx="66">
                  <c:v>189.9517899999999</c:v>
                </c:pt>
                <c:pt idx="67">
                  <c:v>201.49196999999992</c:v>
                </c:pt>
                <c:pt idx="68">
                  <c:v>210.20306999999994</c:v>
                </c:pt>
                <c:pt idx="69">
                  <c:v>207.44911999999994</c:v>
                </c:pt>
                <c:pt idx="70">
                  <c:v>207.90898999999993</c:v>
                </c:pt>
                <c:pt idx="71">
                  <c:v>211.12268999999992</c:v>
                </c:pt>
                <c:pt idx="72">
                  <c:v>214.44409999999991</c:v>
                </c:pt>
                <c:pt idx="73">
                  <c:v>212.56306999999993</c:v>
                </c:pt>
                <c:pt idx="74">
                  <c:v>215.52386999999987</c:v>
                </c:pt>
                <c:pt idx="75">
                  <c:v>216.83289999999988</c:v>
                </c:pt>
                <c:pt idx="76">
                  <c:v>214.02603999999988</c:v>
                </c:pt>
                <c:pt idx="77">
                  <c:v>227.2419699999999</c:v>
                </c:pt>
                <c:pt idx="78">
                  <c:v>219.33854999999988</c:v>
                </c:pt>
                <c:pt idx="79">
                  <c:v>207.53776999999988</c:v>
                </c:pt>
                <c:pt idx="80">
                  <c:v>178.32781999999992</c:v>
                </c:pt>
                <c:pt idx="81">
                  <c:v>179.40078999999992</c:v>
                </c:pt>
                <c:pt idx="82">
                  <c:v>197.04854999999992</c:v>
                </c:pt>
                <c:pt idx="83">
                  <c:v>185.29878999999994</c:v>
                </c:pt>
                <c:pt idx="84">
                  <c:v>175.48059999999995</c:v>
                </c:pt>
                <c:pt idx="85">
                  <c:v>185.50719999999995</c:v>
                </c:pt>
                <c:pt idx="86">
                  <c:v>201.13775999999993</c:v>
                </c:pt>
                <c:pt idx="87">
                  <c:v>212.50091999999992</c:v>
                </c:pt>
                <c:pt idx="88">
                  <c:v>215.13744999999992</c:v>
                </c:pt>
                <c:pt idx="89">
                  <c:v>225.05390999999995</c:v>
                </c:pt>
                <c:pt idx="90">
                  <c:v>226.23354999999995</c:v>
                </c:pt>
                <c:pt idx="91">
                  <c:v>233.75010999999995</c:v>
                </c:pt>
                <c:pt idx="92">
                  <c:v>235.99263999999994</c:v>
                </c:pt>
                <c:pt idx="93">
                  <c:v>241.2353599999999</c:v>
                </c:pt>
                <c:pt idx="94">
                  <c:v>240.36870999999991</c:v>
                </c:pt>
                <c:pt idx="95">
                  <c:v>240.98063999999988</c:v>
                </c:pt>
                <c:pt idx="96">
                  <c:v>243.68524999999991</c:v>
                </c:pt>
                <c:pt idx="97">
                  <c:v>253.46168999999992</c:v>
                </c:pt>
                <c:pt idx="98">
                  <c:v>257.4445399999999</c:v>
                </c:pt>
                <c:pt idx="99">
                  <c:v>246.25891999999988</c:v>
                </c:pt>
                <c:pt idx="100">
                  <c:v>248.44535999999991</c:v>
                </c:pt>
                <c:pt idx="101">
                  <c:v>262.16754999999989</c:v>
                </c:pt>
                <c:pt idx="102">
                  <c:v>263.95424999999989</c:v>
                </c:pt>
                <c:pt idx="103">
                  <c:v>279.15496999999988</c:v>
                </c:pt>
                <c:pt idx="104">
                  <c:v>282.74025999999986</c:v>
                </c:pt>
                <c:pt idx="105">
                  <c:v>269.60363999999987</c:v>
                </c:pt>
                <c:pt idx="106">
                  <c:v>278.05791999999991</c:v>
                </c:pt>
                <c:pt idx="107">
                  <c:v>273.75829999999991</c:v>
                </c:pt>
                <c:pt idx="108">
                  <c:v>277.83450999999985</c:v>
                </c:pt>
                <c:pt idx="109">
                  <c:v>286.02244999999982</c:v>
                </c:pt>
                <c:pt idx="110">
                  <c:v>299.54456999999985</c:v>
                </c:pt>
                <c:pt idx="111">
                  <c:v>295.95366999999982</c:v>
                </c:pt>
                <c:pt idx="112">
                  <c:v>297.31346999999982</c:v>
                </c:pt>
                <c:pt idx="113">
                  <c:v>301.37780999999984</c:v>
                </c:pt>
                <c:pt idx="114">
                  <c:v>301.51505999999978</c:v>
                </c:pt>
                <c:pt idx="115">
                  <c:v>271.8899999999997</c:v>
                </c:pt>
                <c:pt idx="116">
                  <c:v>287.05514999999974</c:v>
                </c:pt>
                <c:pt idx="117">
                  <c:v>277.26077999999973</c:v>
                </c:pt>
                <c:pt idx="118">
                  <c:v>273.18338999999969</c:v>
                </c:pt>
                <c:pt idx="119">
                  <c:v>293.44078999999965</c:v>
                </c:pt>
                <c:pt idx="120">
                  <c:v>301.84287999999964</c:v>
                </c:pt>
                <c:pt idx="121" formatCode="0.000">
                  <c:v>304.39855728806737</c:v>
                </c:pt>
                <c:pt idx="122" formatCode="0.000">
                  <c:v>306.97587327240234</c:v>
                </c:pt>
                <c:pt idx="123" formatCode="0.000">
                  <c:v>309.57501116595495</c:v>
                </c:pt>
                <c:pt idx="124" formatCode="0.000">
                  <c:v>312.19615573292356</c:v>
                </c:pt>
                <c:pt idx="125" formatCode="0.000">
                  <c:v>314.83949330188892</c:v>
                </c:pt>
                <c:pt idx="126" formatCode="0.000">
                  <c:v>317.50521177905955</c:v>
                </c:pt>
                <c:pt idx="127" formatCode="0.000">
                  <c:v>320.19350066162946</c:v>
                </c:pt>
                <c:pt idx="128" formatCode="0.000">
                  <c:v>322.90455105124886</c:v>
                </c:pt>
                <c:pt idx="129" formatCode="0.000">
                  <c:v>325.63855566760884</c:v>
                </c:pt>
                <c:pt idx="130" formatCode="0.000">
                  <c:v>328.39570886214136</c:v>
                </c:pt>
                <c:pt idx="131" formatCode="0.000">
                  <c:v>331.17620663183493</c:v>
                </c:pt>
                <c:pt idx="132" formatCode="0.000">
                  <c:v>333.98024663316744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63F-4246-BE9E-3FEF82073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283855"/>
        <c:axId val="1274934575"/>
      </c:scatterChart>
      <c:valAx>
        <c:axId val="1292283855"/>
        <c:scaling>
          <c:orientation val="minMax"/>
          <c:max val="1"/>
          <c:min val="-10"/>
        </c:scaling>
        <c:delete val="0"/>
        <c:axPos val="b"/>
        <c:majorGridlines>
          <c:spPr>
            <a:ln w="9525" cap="flat" cmpd="sng" algn="ctr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ource Sans CAIM"/>
                    <a:ea typeface="+mn-ea"/>
                    <a:cs typeface="+mn-cs"/>
                  </a:defRPr>
                </a:pPr>
                <a:r>
                  <a:rPr lang="en-GB">
                    <a:latin typeface="Source Sans CAIM"/>
                  </a:rPr>
                  <a:t>Years </a:t>
                </a:r>
              </a:p>
              <a:p>
                <a:pPr>
                  <a:defRPr>
                    <a:latin typeface="Source Sans CAIM"/>
                  </a:defRPr>
                </a:pPr>
                <a:r>
                  <a:rPr lang="en-GB">
                    <a:latin typeface="Source Sans CAIM"/>
                  </a:rPr>
                  <a:t>From</a:t>
                </a:r>
                <a:r>
                  <a:rPr lang="en-GB" baseline="0">
                    <a:latin typeface="Source Sans CAIM"/>
                  </a:rPr>
                  <a:t> Today</a:t>
                </a:r>
                <a:endParaRPr lang="en-GB">
                  <a:latin typeface="Source Sans CAIM"/>
                </a:endParaRPr>
              </a:p>
            </c:rich>
          </c:tx>
          <c:layout>
            <c:manualLayout>
              <c:xMode val="edge"/>
              <c:yMode val="edge"/>
              <c:x val="0.80487242122932146"/>
              <c:y val="0.68805232296355201"/>
            </c:manualLayout>
          </c:layout>
          <c:overlay val="0"/>
          <c:spPr>
            <a:solidFill>
              <a:schemeClr val="tx1">
                <a:lumMod val="10000"/>
                <a:lumOff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ource Sans CAIM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1274934575"/>
        <c:crosses val="autoZero"/>
        <c:crossBetween val="midCat"/>
      </c:valAx>
      <c:valAx>
        <c:axId val="12749345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1292283855"/>
        <c:crossesAt val="-10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785478045472787"/>
          <c:y val="0.82823302681570399"/>
          <c:w val="0.68429043909054421"/>
          <c:h val="0.171766973184296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r>
              <a:rPr lang="en-GB" b="1">
                <a:latin typeface="Source Sans CAIM"/>
              </a:rPr>
              <a:t>Index 1y Scenario Return Ranges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935099021713197E-2"/>
          <c:y val="0.11583556497062232"/>
          <c:w val="0.93403672951176342"/>
          <c:h val="0.6764228265591857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Returns!$C$180:$C$182</c:f>
              <c:numCache>
                <c:formatCode>General</c:formatCode>
                <c:ptCount val="3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</c:numCache>
            </c:numRef>
          </c:xVal>
          <c:yVal>
            <c:numRef>
              <c:f>Returns!$C$186:$C$188</c:f>
              <c:numCache>
                <c:formatCode>General</c:formatCode>
                <c:ptCount val="3"/>
                <c:pt idx="0">
                  <c:v>-1.5290991036175872</c:v>
                </c:pt>
                <c:pt idx="1">
                  <c:v>-1.2152519800000001</c:v>
                </c:pt>
                <c:pt idx="2">
                  <c:v>-0.90140485638241308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C-8943-8620-D64E80F0624C}"/>
            </c:ext>
          </c:extLst>
        </c:ser>
        <c:ser>
          <c:idx val="1"/>
          <c:order val="1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2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Returns!$D$180:$D$182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xVal>
          <c:yVal>
            <c:numRef>
              <c:f>Returns!$D$186:$D$188</c:f>
              <c:numCache>
                <c:formatCode>General</c:formatCode>
                <c:ptCount val="3"/>
                <c:pt idx="0">
                  <c:v>-1.5290991036175872</c:v>
                </c:pt>
                <c:pt idx="1">
                  <c:v>-1.2152519800000001</c:v>
                </c:pt>
                <c:pt idx="2">
                  <c:v>-0.90140485638241308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C-8943-8620-D64E80F0624C}"/>
            </c:ext>
          </c:extLst>
        </c:ser>
        <c:ser>
          <c:idx val="2"/>
          <c:order val="2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3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Returns!$E$180:$E$182</c:f>
              <c:numCache>
                <c:formatCode>General</c:formatCode>
                <c:ptCount val="3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Returns!$E$186:$E$188</c:f>
              <c:numCache>
                <c:formatCode>General</c:formatCode>
                <c:ptCount val="3"/>
                <c:pt idx="0">
                  <c:v>-1.2001509084840227</c:v>
                </c:pt>
                <c:pt idx="1">
                  <c:v>-0.72461419800000004</c:v>
                </c:pt>
                <c:pt idx="2">
                  <c:v>-0.24907748751597741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4C-8943-8620-D64E80F0624C}"/>
            </c:ext>
          </c:extLst>
        </c:ser>
        <c:ser>
          <c:idx val="3"/>
          <c:order val="3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4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Returns!$F$180:$F$182</c:f>
              <c:numCache>
                <c:formatCode>General</c:formatCode>
                <c:ptCount val="3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</c:numCache>
            </c:numRef>
          </c:xVal>
          <c:yVal>
            <c:numRef>
              <c:f>Returns!$F$186:$F$188</c:f>
              <c:numCache>
                <c:formatCode>General</c:formatCode>
                <c:ptCount val="3"/>
                <c:pt idx="0">
                  <c:v>-3.5844359327803867</c:v>
                </c:pt>
                <c:pt idx="1">
                  <c:v>-3.0838948950000002</c:v>
                </c:pt>
                <c:pt idx="2">
                  <c:v>-2.5833538572196137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4C-8943-8620-D64E80F0624C}"/>
            </c:ext>
          </c:extLst>
        </c:ser>
        <c:ser>
          <c:idx val="4"/>
          <c:order val="4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5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Returns!$G$180:$G$182</c:f>
              <c:numCache>
                <c:formatCode>General</c:formatCode>
                <c:ptCount val="3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</c:numCache>
            </c:numRef>
          </c:xVal>
          <c:yVal>
            <c:numRef>
              <c:f>Returns!$G$186:$G$188</c:f>
              <c:numCache>
                <c:formatCode>General</c:formatCode>
                <c:ptCount val="3"/>
                <c:pt idx="0">
                  <c:v>-1.5290991036175872</c:v>
                </c:pt>
                <c:pt idx="1">
                  <c:v>-1.2152519800000001</c:v>
                </c:pt>
                <c:pt idx="2">
                  <c:v>-0.90140485638241308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4C-8943-8620-D64E80F0624C}"/>
            </c:ext>
          </c:extLst>
        </c:ser>
        <c:ser>
          <c:idx val="5"/>
          <c:order val="5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6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Returns!$H$180:$H$182</c:f>
              <c:numCache>
                <c:formatCode>General</c:formatCode>
                <c:ptCount val="3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</c:numCache>
            </c:numRef>
          </c:xVal>
          <c:yVal>
            <c:numRef>
              <c:f>Returns!$H$186:$H$188</c:f>
              <c:numCache>
                <c:formatCode>General</c:formatCode>
                <c:ptCount val="3"/>
                <c:pt idx="0">
                  <c:v>-7.0601653175363506</c:v>
                </c:pt>
                <c:pt idx="1">
                  <c:v>-6.151263159</c:v>
                </c:pt>
                <c:pt idx="2">
                  <c:v>-5.2423610004636494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44C-8943-8620-D64E80F0624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Returns!$I$180:$I$182</c:f>
              <c:numCache>
                <c:formatCode>General</c:formatCode>
                <c:ptCount val="3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</c:numCache>
            </c:numRef>
          </c:xVal>
          <c:yVal>
            <c:numRef>
              <c:f>Returns!$I$186:$I$188</c:f>
              <c:numCache>
                <c:formatCode>General</c:formatCode>
                <c:ptCount val="3"/>
                <c:pt idx="0">
                  <c:v>-4.9375588369150929</c:v>
                </c:pt>
                <c:pt idx="1">
                  <c:v>-3.8184685580000002</c:v>
                </c:pt>
                <c:pt idx="2">
                  <c:v>-2.6993782790849079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44C-8943-8620-D64E80F0624C}"/>
            </c:ext>
          </c:extLst>
        </c:ser>
        <c:ser>
          <c:idx val="7"/>
          <c:order val="7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Returns!$J$180:$J$182</c:f>
              <c:numCache>
                <c:formatCode>General</c:formatCode>
                <c:ptCount val="3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</c:numCache>
            </c:numRef>
          </c:xVal>
          <c:yVal>
            <c:numRef>
              <c:f>Returns!$J$186:$J$188</c:f>
              <c:numCache>
                <c:formatCode>General</c:formatCode>
                <c:ptCount val="3"/>
                <c:pt idx="0">
                  <c:v>-6.1403791488505766</c:v>
                </c:pt>
                <c:pt idx="1">
                  <c:v>-4.7775234779999991</c:v>
                </c:pt>
                <c:pt idx="2">
                  <c:v>-3.4146678071494216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44C-8943-8620-D64E80F0624C}"/>
            </c:ext>
          </c:extLst>
        </c:ser>
        <c:ser>
          <c:idx val="8"/>
          <c:order val="8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Returns!$K$180:$K$182</c:f>
              <c:numCache>
                <c:formatCode>General</c:formatCode>
                <c:ptCount val="3"/>
                <c:pt idx="0">
                  <c:v>8.5</c:v>
                </c:pt>
                <c:pt idx="1">
                  <c:v>8.5</c:v>
                </c:pt>
                <c:pt idx="2">
                  <c:v>8.5</c:v>
                </c:pt>
              </c:numCache>
            </c:numRef>
          </c:xVal>
          <c:yVal>
            <c:numRef>
              <c:f>Returns!$K$186:$K$188</c:f>
              <c:numCache>
                <c:formatCode>General</c:formatCode>
                <c:ptCount val="3"/>
                <c:pt idx="0">
                  <c:v>-5.7204006200340922</c:v>
                </c:pt>
                <c:pt idx="1">
                  <c:v>-4.9056925749999998</c:v>
                </c:pt>
                <c:pt idx="2">
                  <c:v>-4.0909845299659073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44C-8943-8620-D64E80F0624C}"/>
            </c:ext>
          </c:extLst>
        </c:ser>
        <c:ser>
          <c:idx val="9"/>
          <c:order val="9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Returns!$L$180:$L$182</c:f>
              <c:numCache>
                <c:formatCode>General</c:formatCode>
                <c:ptCount val="3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</c:numCache>
            </c:numRef>
          </c:xVal>
          <c:yVal>
            <c:numRef>
              <c:f>Returns!$L$186:$L$188</c:f>
              <c:numCache>
                <c:formatCode>General</c:formatCode>
                <c:ptCount val="3"/>
                <c:pt idx="0">
                  <c:v>-0.54896116678647555</c:v>
                </c:pt>
                <c:pt idx="1">
                  <c:v>2.6010385409999999</c:v>
                </c:pt>
                <c:pt idx="2">
                  <c:v>5.7510382487864753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44C-8943-8620-D64E80F0624C}"/>
            </c:ext>
          </c:extLst>
        </c:ser>
        <c:ser>
          <c:idx val="10"/>
          <c:order val="10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Returns!$M$180:$M$182</c:f>
              <c:numCache>
                <c:formatCode>General</c:formatCode>
                <c:ptCount val="3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</c:numCache>
            </c:numRef>
          </c:xVal>
          <c:yVal>
            <c:numRef>
              <c:f>Returns!$M$186:$M$188</c:f>
              <c:numCache>
                <c:formatCode>General</c:formatCode>
                <c:ptCount val="3"/>
                <c:pt idx="0">
                  <c:v>-3.6865596016036206</c:v>
                </c:pt>
                <c:pt idx="1">
                  <c:v>-0.9304998560000004</c:v>
                </c:pt>
                <c:pt idx="2">
                  <c:v>1.8255598896036198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44C-8943-8620-D64E80F0624C}"/>
            </c:ext>
          </c:extLst>
        </c:ser>
        <c:ser>
          <c:idx val="11"/>
          <c:order val="11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dot"/>
            <c:size val="10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Returns!$N$180:$N$182</c:f>
              <c:numCache>
                <c:formatCode>General</c:formatCode>
                <c:ptCount val="3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</c:numCache>
            </c:numRef>
          </c:xVal>
          <c:yVal>
            <c:numRef>
              <c:f>Returns!$N$186:$N$188</c:f>
              <c:numCache>
                <c:formatCode>General</c:formatCode>
                <c:ptCount val="3"/>
                <c:pt idx="0">
                  <c:v>0.39246503993678283</c:v>
                </c:pt>
                <c:pt idx="1">
                  <c:v>3.71448117</c:v>
                </c:pt>
                <c:pt idx="2">
                  <c:v>7.0364973000632176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44C-8943-8620-D64E80F06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868095"/>
        <c:axId val="1274335263"/>
      </c:scatterChart>
      <c:valAx>
        <c:axId val="1317868095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335263"/>
        <c:crosses val="autoZero"/>
        <c:crossBetween val="midCat"/>
      </c:valAx>
      <c:valAx>
        <c:axId val="127433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ource Sans CAIM"/>
                    <a:ea typeface="+mn-ea"/>
                    <a:cs typeface="+mn-cs"/>
                  </a:defRPr>
                </a:pPr>
                <a:r>
                  <a:rPr lang="en-GB">
                    <a:latin typeface="Source Sans CAIM"/>
                  </a:rPr>
                  <a:t>%</a:t>
                </a:r>
              </a:p>
            </c:rich>
          </c:tx>
          <c:layout>
            <c:manualLayout>
              <c:xMode val="edge"/>
              <c:yMode val="edge"/>
              <c:x val="1.2112016351547465E-2"/>
              <c:y val="2.62234723475976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ource Sans CAIM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1317868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latin typeface="Source Sans CAIM"/>
              </a:rPr>
              <a:t>Markets</a:t>
            </a:r>
          </a:p>
        </c:rich>
      </c:tx>
      <c:layout>
        <c:manualLayout>
          <c:xMode val="edge"/>
          <c:yMode val="edge"/>
          <c:x val="0.22412979351032447"/>
          <c:y val="0.104545454545454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DF-454F-B1DA-9C2BB087A9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DF-454F-B1DA-9C2BB087A9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1DF-454F-B1DA-9C2BB087A93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1DF-454F-B1DA-9C2BB087A93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1DF-454F-B1DA-9C2BB087A93D}"/>
              </c:ext>
            </c:extLst>
          </c:dPt>
          <c:dLbls>
            <c:spPr>
              <a:solidFill>
                <a:schemeClr val="tx1">
                  <a:lumMod val="10000"/>
                  <a:lumOff val="9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Profiles!$J$17:$N$17</c:f>
              <c:strCache>
                <c:ptCount val="5"/>
                <c:pt idx="0">
                  <c:v>US</c:v>
                </c:pt>
                <c:pt idx="1">
                  <c:v>EU</c:v>
                </c:pt>
                <c:pt idx="2">
                  <c:v>GB</c:v>
                </c:pt>
                <c:pt idx="3">
                  <c:v>JP</c:v>
                </c:pt>
                <c:pt idx="4">
                  <c:v>Other</c:v>
                </c:pt>
              </c:strCache>
            </c:strRef>
          </c:cat>
          <c:val>
            <c:numRef>
              <c:f>Profiles!$J$18:$N$18</c:f>
              <c:numCache>
                <c:formatCode>General</c:formatCode>
                <c:ptCount val="5"/>
                <c:pt idx="0">
                  <c:v>42.131611727905508</c:v>
                </c:pt>
                <c:pt idx="1">
                  <c:v>23.892125253362227</c:v>
                </c:pt>
                <c:pt idx="2">
                  <c:v>3.333376846361126</c:v>
                </c:pt>
                <c:pt idx="3">
                  <c:v>26.305646670078353</c:v>
                </c:pt>
                <c:pt idx="4">
                  <c:v>4.337239502292789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1DF-454F-B1DA-9C2BB087A93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accent5">
            <a:lumMod val="20000"/>
            <a:lumOff val="80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ource Sans CAIM"/>
                <a:ea typeface="+mn-ea"/>
                <a:cs typeface="+mn-cs"/>
              </a:defRPr>
            </a:pPr>
            <a:r>
              <a:rPr lang="en-GB">
                <a:latin typeface="Source Sans CAIM"/>
              </a:rPr>
              <a:t>Sectors</a:t>
            </a:r>
          </a:p>
        </c:rich>
      </c:tx>
      <c:layout>
        <c:manualLayout>
          <c:xMode val="edge"/>
          <c:yMode val="edge"/>
          <c:x val="0.2575221238938053"/>
          <c:y val="8.9572297780959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548-0241-AB88-368D740D1A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548-0241-AB88-368D740D1A9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548-0241-AB88-368D740D1A9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548-0241-AB88-368D740D1A97}"/>
              </c:ext>
            </c:extLst>
          </c:dPt>
          <c:dLbls>
            <c:spPr>
              <a:solidFill>
                <a:schemeClr val="tx1">
                  <a:lumMod val="10000"/>
                  <a:lumOff val="9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eparator>, 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Profiles!$O$17:$R$17</c:f>
              <c:strCache>
                <c:ptCount val="4"/>
                <c:pt idx="0">
                  <c:v>Govt</c:v>
                </c:pt>
                <c:pt idx="1">
                  <c:v>Agcy</c:v>
                </c:pt>
                <c:pt idx="2">
                  <c:v>Corp</c:v>
                </c:pt>
                <c:pt idx="3">
                  <c:v>Sec</c:v>
                </c:pt>
              </c:strCache>
            </c:strRef>
          </c:cat>
          <c:val>
            <c:numRef>
              <c:f>Profiles!$O$18:$R$18</c:f>
              <c:numCache>
                <c:formatCode>General</c:formatCode>
                <c:ptCount val="4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48-0241-AB88-368D740D1A9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accent5">
            <a:lumMod val="20000"/>
            <a:lumOff val="80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Ratings</a:t>
            </a:r>
          </a:p>
        </c:rich>
      </c:tx>
      <c:layout>
        <c:manualLayout>
          <c:xMode val="edge"/>
          <c:yMode val="edge"/>
          <c:x val="0.22598796831811951"/>
          <c:y val="9.09090909090909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28-884D-B566-A401A1DE46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28-884D-B566-A401A1DE46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E28-884D-B566-A401A1DE46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E28-884D-B566-A401A1DE46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E28-884D-B566-A401A1DE46A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E28-884D-B566-A401A1DE46A4}"/>
              </c:ext>
            </c:extLst>
          </c:dPt>
          <c:dLbls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eparator>, 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Profiles!$S$17:$X$17</c:f>
              <c:strCache>
                <c:ptCount val="6"/>
                <c:pt idx="0">
                  <c:v>AAA</c:v>
                </c:pt>
                <c:pt idx="1">
                  <c:v>AA</c:v>
                </c:pt>
                <c:pt idx="2">
                  <c:v>A</c:v>
                </c:pt>
                <c:pt idx="3">
                  <c:v>BBB</c:v>
                </c:pt>
                <c:pt idx="4">
                  <c:v>HY</c:v>
                </c:pt>
                <c:pt idx="5">
                  <c:v>NR</c:v>
                </c:pt>
              </c:strCache>
            </c:strRef>
          </c:cat>
          <c:val>
            <c:numRef>
              <c:f>Profiles!$S$18:$X$18</c:f>
              <c:numCache>
                <c:formatCode>General</c:formatCode>
                <c:ptCount val="6"/>
                <c:pt idx="0">
                  <c:v>15.753197282042777</c:v>
                </c:pt>
                <c:pt idx="1">
                  <c:v>75.348155854787748</c:v>
                </c:pt>
                <c:pt idx="2">
                  <c:v>3.3332735338231094</c:v>
                </c:pt>
                <c:pt idx="3">
                  <c:v>5.5653733293463441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28-884D-B566-A401A1DE46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accent5">
            <a:lumMod val="20000"/>
            <a:lumOff val="80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Returns!$P$21</c:f>
          <c:strCache>
            <c:ptCount val="1"/>
            <c:pt idx="0">
              <c:v>Scenario Return Components for Benchmark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ource Sans CAIM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749308363481589E-2"/>
          <c:y val="0.15962454800446083"/>
          <c:w val="0.94827764772646661"/>
          <c:h val="0.7288449190632286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Returns!$P$15:$P$20</c:f>
              <c:strCache>
                <c:ptCount val="6"/>
                <c:pt idx="0">
                  <c:v>Carry</c:v>
                </c:pt>
                <c:pt idx="1">
                  <c:v>Duration</c:v>
                </c:pt>
                <c:pt idx="2">
                  <c:v>Spread</c:v>
                </c:pt>
                <c:pt idx="3">
                  <c:v>Default</c:v>
                </c:pt>
                <c:pt idx="4">
                  <c:v>Currency</c:v>
                </c:pt>
                <c:pt idx="5">
                  <c:v>Total</c:v>
                </c:pt>
              </c:strCache>
            </c:strRef>
          </c:cat>
          <c:val>
            <c:numRef>
              <c:f>Returns!$Q$15:$Q$20</c:f>
              <c:numCache>
                <c:formatCode>General</c:formatCode>
                <c:ptCount val="6"/>
                <c:pt idx="0">
                  <c:v>0.45684212499999999</c:v>
                </c:pt>
                <c:pt idx="1">
                  <c:v>-1.672094105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-1.2152519800000001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0-3341-94E0-C2E3B3A8E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0664079"/>
        <c:axId val="2062229023"/>
      </c:barChart>
      <c:catAx>
        <c:axId val="21206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2062229023"/>
        <c:crosses val="autoZero"/>
        <c:auto val="1"/>
        <c:lblAlgn val="ctr"/>
        <c:lblOffset val="100"/>
        <c:noMultiLvlLbl val="0"/>
      </c:catAx>
      <c:valAx>
        <c:axId val="206222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</a:t>
                </a:r>
              </a:p>
            </c:rich>
          </c:tx>
          <c:layout>
            <c:manualLayout>
              <c:xMode val="edge"/>
              <c:yMode val="edge"/>
              <c:x val="5.4054054054054057E-3"/>
              <c:y val="4.256632084079618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ource Sans CAIM"/>
                <a:ea typeface="+mn-ea"/>
                <a:cs typeface="+mn-cs"/>
              </a:defRPr>
            </a:pPr>
            <a:endParaRPr lang="en-US"/>
          </a:p>
        </c:txPr>
        <c:crossAx val="212066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5" fmlaLink="$E$4" fmlaRange="ScenList" sel="2" val="0"/>
</file>

<file path=xl/ctrlProps/ctrlProp2.xml><?xml version="1.0" encoding="utf-8"?>
<formControlPr xmlns="http://schemas.microsoft.com/office/spreadsheetml/2009/9/main" objectType="Radio" checked="Checked" firstButton="1" fmlaLink="CcyChoice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firstButton="1" fmlaLink="Chart_Choice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fmlaLink="FundChoice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190500</xdr:rowOff>
        </xdr:from>
        <xdr:to>
          <xdr:col>7</xdr:col>
          <xdr:colOff>50799</xdr:colOff>
          <xdr:row>4</xdr:row>
          <xdr:rowOff>12700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622300</xdr:colOff>
      <xdr:row>5</xdr:row>
      <xdr:rowOff>12700</xdr:rowOff>
    </xdr:from>
    <xdr:to>
      <xdr:col>13</xdr:col>
      <xdr:colOff>342900</xdr:colOff>
      <xdr:row>19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355600</xdr:colOff>
          <xdr:row>21</xdr:row>
          <xdr:rowOff>38100</xdr:rowOff>
        </xdr:from>
        <xdr:to>
          <xdr:col>9</xdr:col>
          <xdr:colOff>323850</xdr:colOff>
          <xdr:row>23</xdr:row>
          <xdr:rowOff>12700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/>
                </a:rPr>
                <a:t>USD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584200</xdr:colOff>
          <xdr:row>21</xdr:row>
          <xdr:rowOff>38100</xdr:rowOff>
        </xdr:from>
        <xdr:to>
          <xdr:col>10</xdr:col>
          <xdr:colOff>546101</xdr:colOff>
          <xdr:row>23</xdr:row>
          <xdr:rowOff>12700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/>
                </a:rPr>
                <a:t>EUR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698500</xdr:colOff>
          <xdr:row>21</xdr:row>
          <xdr:rowOff>31750</xdr:rowOff>
        </xdr:from>
        <xdr:to>
          <xdr:col>11</xdr:col>
          <xdr:colOff>660400</xdr:colOff>
          <xdr:row>23</xdr:row>
          <xdr:rowOff>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/>
                </a:rPr>
                <a:t>GBP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38100</xdr:rowOff>
        </xdr:from>
        <xdr:to>
          <xdr:col>12</xdr:col>
          <xdr:colOff>774700</xdr:colOff>
          <xdr:row>23</xdr:row>
          <xdr:rowOff>12700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/>
                </a:rPr>
                <a:t>JPY</a:t>
              </a:r>
            </a:p>
          </xdr:txBody>
        </xdr:sp>
        <xdr:clientData/>
      </xdr:twoCellAnchor>
    </mc:Choice>
    <mc:Fallback/>
  </mc:AlternateContent>
  <xdr:twoCellAnchor>
    <xdr:from>
      <xdr:col>46</xdr:col>
      <xdr:colOff>288810</xdr:colOff>
      <xdr:row>3</xdr:row>
      <xdr:rowOff>9525</xdr:rowOff>
    </xdr:from>
    <xdr:to>
      <xdr:col>46</xdr:col>
      <xdr:colOff>536460</xdr:colOff>
      <xdr:row>4</xdr:row>
      <xdr:rowOff>57150</xdr:rowOff>
    </xdr:to>
    <xdr:sp macro="[0]!RestoreEnv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635439" y="655864"/>
          <a:ext cx="247650" cy="251732"/>
        </a:xfrm>
        <a:prstGeom prst="ellips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46</xdr:col>
      <xdr:colOff>279285</xdr:colOff>
      <xdr:row>7</xdr:row>
      <xdr:rowOff>0</xdr:rowOff>
    </xdr:from>
    <xdr:to>
      <xdr:col>46</xdr:col>
      <xdr:colOff>526935</xdr:colOff>
      <xdr:row>8</xdr:row>
      <xdr:rowOff>47625</xdr:rowOff>
    </xdr:to>
    <xdr:sp macro="[0]!PrepEnv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8625914" y="1462768"/>
          <a:ext cx="247650" cy="251732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34392</xdr:colOff>
      <xdr:row>1</xdr:row>
      <xdr:rowOff>101600</xdr:rowOff>
    </xdr:from>
    <xdr:to>
      <xdr:col>18</xdr:col>
      <xdr:colOff>120117</xdr:colOff>
      <xdr:row>20</xdr:row>
      <xdr:rowOff>114300</xdr:rowOff>
    </xdr:to>
    <xdr:graphicFrame macro="">
      <xdr:nvGraphicFramePr>
        <xdr:cNvPr id="7" name="Chart 6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35722</xdr:colOff>
      <xdr:row>1</xdr:row>
      <xdr:rowOff>152400</xdr:rowOff>
    </xdr:from>
    <xdr:to>
      <xdr:col>18</xdr:col>
      <xdr:colOff>156372</xdr:colOff>
      <xdr:row>21</xdr:row>
      <xdr:rowOff>0</xdr:rowOff>
    </xdr:to>
    <xdr:graphicFrame macro="">
      <xdr:nvGraphicFramePr>
        <xdr:cNvPr id="8" name="Chart 7" hidden="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240552</xdr:colOff>
      <xdr:row>7</xdr:row>
      <xdr:rowOff>25027</xdr:rowOff>
    </xdr:from>
    <xdr:to>
      <xdr:col>18</xdr:col>
      <xdr:colOff>138952</xdr:colOff>
      <xdr:row>20</xdr:row>
      <xdr:rowOff>168088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1022350</xdr:colOff>
          <xdr:row>21</xdr:row>
          <xdr:rowOff>50800</xdr:rowOff>
        </xdr:from>
        <xdr:to>
          <xdr:col>3</xdr:col>
          <xdr:colOff>19051</xdr:colOff>
          <xdr:row>23</xdr:row>
          <xdr:rowOff>203200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Annual returns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469900</xdr:colOff>
          <xdr:row>21</xdr:row>
          <xdr:rowOff>50800</xdr:rowOff>
        </xdr:from>
        <xdr:to>
          <xdr:col>5</xdr:col>
          <xdr:colOff>933449</xdr:colOff>
          <xdr:row>23</xdr:row>
          <xdr:rowOff>203200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4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 series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88900</xdr:colOff>
          <xdr:row>21</xdr:row>
          <xdr:rowOff>50800</xdr:rowOff>
        </xdr:from>
        <xdr:to>
          <xdr:col>8</xdr:col>
          <xdr:colOff>431800</xdr:colOff>
          <xdr:row>23</xdr:row>
          <xdr:rowOff>203200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Performance statistics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21</xdr:row>
          <xdr:rowOff>50800</xdr:rowOff>
        </xdr:from>
        <xdr:to>
          <xdr:col>12</xdr:col>
          <xdr:colOff>222251</xdr:colOff>
          <xdr:row>23</xdr:row>
          <xdr:rowOff>203200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4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 returns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850900</xdr:colOff>
      <xdr:row>17</xdr:row>
      <xdr:rowOff>62752</xdr:rowOff>
    </xdr:from>
    <xdr:to>
      <xdr:col>1</xdr:col>
      <xdr:colOff>1320800</xdr:colOff>
      <xdr:row>18</xdr:row>
      <xdr:rowOff>138952</xdr:rowOff>
    </xdr:to>
    <xdr:sp macro="[0]!SavePortfolio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663326" y="4414370"/>
          <a:ext cx="469900" cy="272303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101600</xdr:colOff>
      <xdr:row>17</xdr:row>
      <xdr:rowOff>75452</xdr:rowOff>
    </xdr:from>
    <xdr:to>
      <xdr:col>3</xdr:col>
      <xdr:colOff>571500</xdr:colOff>
      <xdr:row>18</xdr:row>
      <xdr:rowOff>151652</xdr:rowOff>
    </xdr:to>
    <xdr:sp macro="[0]!ReloadPortfolio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3351306" y="4427070"/>
          <a:ext cx="469900" cy="272303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0.89504</cdr:x>
      <cdr:y>0.11028</cdr:y>
    </cdr:from>
    <cdr:to>
      <cdr:x>0.98105</cdr:x>
      <cdr:y>0.77237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42784F9-44DC-6841-A232-3517A9B5D35F}"/>
            </a:ext>
          </a:extLst>
        </cdr:cNvPr>
        <cdr:cNvSpPr/>
      </cdr:nvSpPr>
      <cdr:spPr>
        <a:xfrm xmlns:a="http://schemas.openxmlformats.org/drawingml/2006/main">
          <a:off x="7470707" y="530706"/>
          <a:ext cx="717907" cy="3186067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50000"/>
            <a:lumOff val="50000"/>
            <a:alpha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0.94025</cdr:x>
      <cdr:y>0.78322</cdr:y>
    </cdr:from>
    <cdr:to>
      <cdr:x>0.99453</cdr:x>
      <cdr:y>0.89161</cdr:y>
    </cdr:to>
    <cdr:sp macro="" textlink="">
      <cdr:nvSpPr>
        <cdr:cNvPr id="4" name="TextBox 6">
          <a:extLst xmlns:a="http://schemas.openxmlformats.org/drawingml/2006/main">
            <a:ext uri="{FF2B5EF4-FFF2-40B4-BE49-F238E27FC236}">
              <a16:creationId xmlns:a16="http://schemas.microsoft.com/office/drawing/2014/main" id="{E5D66EB0-141A-D446-BC6A-C056CFEFDBE2}"/>
            </a:ext>
          </a:extLst>
        </cdr:cNvPr>
        <cdr:cNvSpPr txBox="1"/>
      </cdr:nvSpPr>
      <cdr:spPr>
        <a:xfrm xmlns:a="http://schemas.openxmlformats.org/drawingml/2006/main">
          <a:off x="6794500" y="2844800"/>
          <a:ext cx="392290" cy="393700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10000"/>
            <a:lumOff val="9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900"/>
            <a:t>+1</a:t>
          </a:r>
          <a:endParaRPr lang="en-GB" sz="1100"/>
        </a:p>
      </cdr:txBody>
    </cdr:sp>
  </cdr:relSizeAnchor>
  <cdr:relSizeAnchor xmlns:cdr="http://schemas.openxmlformats.org/drawingml/2006/chartDrawing">
    <cdr:from>
      <cdr:x>0.88752</cdr:x>
      <cdr:y>0.01399</cdr:y>
    </cdr:from>
    <cdr:to>
      <cdr:x>1</cdr:x>
      <cdr:y>0.09829</cdr:y>
    </cdr:to>
    <cdr:sp macro="" textlink="">
      <cdr:nvSpPr>
        <cdr:cNvPr id="5" name="TextBox 6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7000000}"/>
            </a:ext>
          </a:extLst>
        </cdr:cNvPr>
        <cdr:cNvSpPr txBox="1"/>
      </cdr:nvSpPr>
      <cdr:spPr>
        <a:xfrm xmlns:a="http://schemas.openxmlformats.org/drawingml/2006/main">
          <a:off x="7407940" y="67322"/>
          <a:ext cx="938846" cy="405657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10000"/>
            <a:lumOff val="9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Scenario Forecast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0.04464</cdr:x>
      <cdr:y>0.86127</cdr:y>
    </cdr:from>
    <cdr:to>
      <cdr:x>0.12605</cdr:x>
      <cdr:y>0.95248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7E2514E-DB87-3349-8A00-95AA628A12E8}"/>
            </a:ext>
          </a:extLst>
        </cdr:cNvPr>
        <cdr:cNvSpPr txBox="1"/>
      </cdr:nvSpPr>
      <cdr:spPr>
        <a:xfrm xmlns:a="http://schemas.openxmlformats.org/drawingml/2006/main" rot="19130384">
          <a:off x="374418" y="3336121"/>
          <a:ext cx="682932" cy="3532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r>
            <a:rPr lang="en-GB" sz="1100">
              <a:latin typeface="Source Sans CAIM"/>
            </a:rPr>
            <a:t>Portfolio</a:t>
          </a:r>
        </a:p>
      </cdr:txBody>
    </cdr:sp>
  </cdr:relSizeAnchor>
  <cdr:relSizeAnchor xmlns:cdr="http://schemas.openxmlformats.org/drawingml/2006/chartDrawing">
    <cdr:from>
      <cdr:x>0.10749</cdr:x>
      <cdr:y>0.86375</cdr:y>
    </cdr:from>
    <cdr:to>
      <cdr:x>0.19682</cdr:x>
      <cdr:y>0.949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D15392B-0A0A-0E42-872C-17EB7A0EC99B}"/>
            </a:ext>
          </a:extLst>
        </cdr:cNvPr>
        <cdr:cNvSpPr txBox="1"/>
      </cdr:nvSpPr>
      <cdr:spPr>
        <a:xfrm xmlns:a="http://schemas.openxmlformats.org/drawingml/2006/main" rot="19286157">
          <a:off x="901700" y="3345753"/>
          <a:ext cx="749300" cy="330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>
              <a:latin typeface="Source Sans CAIM"/>
            </a:rPr>
            <a:t>Benchmark</a:t>
          </a:r>
        </a:p>
      </cdr:txBody>
    </cdr:sp>
  </cdr:relSizeAnchor>
  <cdr:relSizeAnchor xmlns:cdr="http://schemas.openxmlformats.org/drawingml/2006/chartDrawing">
    <cdr:from>
      <cdr:x>0.20075</cdr:x>
      <cdr:y>0.83892</cdr:y>
    </cdr:from>
    <cdr:to>
      <cdr:x>0.26868</cdr:x>
      <cdr:y>0.93349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042CFA3-E803-E848-B3F6-B7E247DD73C3}"/>
            </a:ext>
          </a:extLst>
        </cdr:cNvPr>
        <cdr:cNvSpPr txBox="1"/>
      </cdr:nvSpPr>
      <cdr:spPr>
        <a:xfrm xmlns:a="http://schemas.openxmlformats.org/drawingml/2006/main" rot="19286157">
          <a:off x="1684003" y="3249556"/>
          <a:ext cx="569780" cy="366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US  </a:t>
          </a:r>
          <a:r>
            <a:rPr lang="en-GB" sz="1100">
              <a:latin typeface="Source Sans CAIM"/>
            </a:rPr>
            <a:t>1-3</a:t>
          </a:r>
        </a:p>
      </cdr:txBody>
    </cdr:sp>
  </cdr:relSizeAnchor>
  <cdr:relSizeAnchor xmlns:cdr="http://schemas.openxmlformats.org/drawingml/2006/chartDrawing">
    <cdr:from>
      <cdr:x>0.25517</cdr:x>
      <cdr:y>0.85322</cdr:y>
    </cdr:from>
    <cdr:to>
      <cdr:x>0.34497</cdr:x>
      <cdr:y>0.94257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901C3EA-655D-0246-97EC-7A55A9907957}"/>
            </a:ext>
          </a:extLst>
        </cdr:cNvPr>
        <cdr:cNvSpPr txBox="1"/>
      </cdr:nvSpPr>
      <cdr:spPr>
        <a:xfrm xmlns:a="http://schemas.openxmlformats.org/drawingml/2006/main" rot="19286157">
          <a:off x="2140429" y="3304936"/>
          <a:ext cx="753341" cy="3460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Euro 1-3</a:t>
          </a:r>
        </a:p>
      </cdr:txBody>
    </cdr:sp>
  </cdr:relSizeAnchor>
  <cdr:relSizeAnchor xmlns:cdr="http://schemas.openxmlformats.org/drawingml/2006/chartDrawing">
    <cdr:from>
      <cdr:x>0.33308</cdr:x>
      <cdr:y>0.85246</cdr:y>
    </cdr:from>
    <cdr:to>
      <cdr:x>0.42289</cdr:x>
      <cdr:y>0.94181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933B17D0-438B-5947-8265-0862A353CDF0}"/>
            </a:ext>
          </a:extLst>
        </cdr:cNvPr>
        <cdr:cNvSpPr txBox="1"/>
      </cdr:nvSpPr>
      <cdr:spPr>
        <a:xfrm xmlns:a="http://schemas.openxmlformats.org/drawingml/2006/main" rot="19286157">
          <a:off x="2794001" y="3302001"/>
          <a:ext cx="753341" cy="3460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>
              <a:latin typeface="Source Sans CAIM"/>
            </a:rPr>
            <a:t>Global</a:t>
          </a:r>
          <a:r>
            <a:rPr lang="en-GB" sz="1100"/>
            <a:t> 1-3</a:t>
          </a:r>
        </a:p>
      </cdr:txBody>
    </cdr:sp>
  </cdr:relSizeAnchor>
  <cdr:relSizeAnchor xmlns:cdr="http://schemas.openxmlformats.org/drawingml/2006/chartDrawing">
    <cdr:from>
      <cdr:x>0.41332</cdr:x>
      <cdr:y>0.85574</cdr:y>
    </cdr:from>
    <cdr:to>
      <cdr:x>0.50313</cdr:x>
      <cdr:y>0.94509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2D2AC226-A5B6-BF49-B386-F1B78F4CEF93}"/>
            </a:ext>
          </a:extLst>
        </cdr:cNvPr>
        <cdr:cNvSpPr txBox="1"/>
      </cdr:nvSpPr>
      <cdr:spPr>
        <a:xfrm xmlns:a="http://schemas.openxmlformats.org/drawingml/2006/main" rot="19286157">
          <a:off x="3467100" y="3314701"/>
          <a:ext cx="753341" cy="3460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Global 1-30</a:t>
          </a:r>
        </a:p>
      </cdr:txBody>
    </cdr:sp>
  </cdr:relSizeAnchor>
  <cdr:relSizeAnchor xmlns:cdr="http://schemas.openxmlformats.org/drawingml/2006/chartDrawing">
    <cdr:from>
      <cdr:x>0.48448</cdr:x>
      <cdr:y>0.85977</cdr:y>
    </cdr:from>
    <cdr:to>
      <cdr:x>0.57429</cdr:x>
      <cdr:y>0.94912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9415FCAE-19D7-C041-9FE6-A6FCD8807EEF}"/>
            </a:ext>
          </a:extLst>
        </cdr:cNvPr>
        <cdr:cNvSpPr txBox="1"/>
      </cdr:nvSpPr>
      <cdr:spPr>
        <a:xfrm xmlns:a="http://schemas.openxmlformats.org/drawingml/2006/main" rot="19286157">
          <a:off x="4064000" y="3330336"/>
          <a:ext cx="753341" cy="3460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GB" sz="1100"/>
            <a:t>Euro </a:t>
          </a:r>
          <a:r>
            <a:rPr lang="en-GB" sz="1100">
              <a:latin typeface="Source Sans CAIM"/>
            </a:rPr>
            <a:t>Corp</a:t>
          </a:r>
        </a:p>
      </cdr:txBody>
    </cdr:sp>
  </cdr:relSizeAnchor>
  <cdr:relSizeAnchor xmlns:cdr="http://schemas.openxmlformats.org/drawingml/2006/chartDrawing">
    <cdr:from>
      <cdr:x>0.5602</cdr:x>
      <cdr:y>0.85456</cdr:y>
    </cdr:from>
    <cdr:to>
      <cdr:x>0.65001</cdr:x>
      <cdr:y>0.93798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43A68BD6-4100-2147-97DA-C83D64B3DA14}"/>
            </a:ext>
          </a:extLst>
        </cdr:cNvPr>
        <cdr:cNvSpPr txBox="1"/>
      </cdr:nvSpPr>
      <cdr:spPr>
        <a:xfrm xmlns:a="http://schemas.openxmlformats.org/drawingml/2006/main" rot="19286157">
          <a:off x="4699156" y="3310151"/>
          <a:ext cx="753341" cy="323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GB" sz="1100"/>
            <a:t>Global Corp</a:t>
          </a:r>
        </a:p>
      </cdr:txBody>
    </cdr:sp>
  </cdr:relSizeAnchor>
  <cdr:relSizeAnchor xmlns:cdr="http://schemas.openxmlformats.org/drawingml/2006/chartDrawing">
    <cdr:from>
      <cdr:x>0.65254</cdr:x>
      <cdr:y>0.84946</cdr:y>
    </cdr:from>
    <cdr:to>
      <cdr:x>0.74234</cdr:x>
      <cdr:y>0.95039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8BCB4870-59D3-EC4A-BF6F-819F819EE5F8}"/>
            </a:ext>
          </a:extLst>
        </cdr:cNvPr>
        <cdr:cNvSpPr txBox="1"/>
      </cdr:nvSpPr>
      <cdr:spPr>
        <a:xfrm xmlns:a="http://schemas.openxmlformats.org/drawingml/2006/main" rot="19286157">
          <a:off x="5473701" y="3290376"/>
          <a:ext cx="753341" cy="3909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GB" sz="1100">
              <a:latin typeface="Source Sans CAIM"/>
            </a:rPr>
            <a:t>Global</a:t>
          </a:r>
          <a:r>
            <a:rPr lang="en-GB" sz="1100"/>
            <a:t> Agg</a:t>
          </a:r>
        </a:p>
      </cdr:txBody>
    </cdr:sp>
  </cdr:relSizeAnchor>
  <cdr:relSizeAnchor xmlns:cdr="http://schemas.openxmlformats.org/drawingml/2006/chartDrawing">
    <cdr:from>
      <cdr:x>0.73154</cdr:x>
      <cdr:y>0.85691</cdr:y>
    </cdr:from>
    <cdr:to>
      <cdr:x>0.80977</cdr:x>
      <cdr:y>0.96964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B24A6B9D-7BF6-974D-AA10-AB4021672C66}"/>
            </a:ext>
          </a:extLst>
        </cdr:cNvPr>
        <cdr:cNvSpPr txBox="1"/>
      </cdr:nvSpPr>
      <cdr:spPr>
        <a:xfrm xmlns:a="http://schemas.openxmlformats.org/drawingml/2006/main" rot="19286157">
          <a:off x="6136384" y="3319228"/>
          <a:ext cx="656228" cy="4366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GB" sz="1100"/>
            <a:t>US</a:t>
          </a:r>
          <a:r>
            <a:rPr lang="en-GB" sz="1100" baseline="0"/>
            <a:t> </a:t>
          </a:r>
          <a:r>
            <a:rPr lang="en-GB" sz="1100"/>
            <a:t>HY</a:t>
          </a:r>
        </a:p>
      </cdr:txBody>
    </cdr:sp>
  </cdr:relSizeAnchor>
  <cdr:relSizeAnchor xmlns:cdr="http://schemas.openxmlformats.org/drawingml/2006/chartDrawing">
    <cdr:from>
      <cdr:x>0.8221</cdr:x>
      <cdr:y>0.85134</cdr:y>
    </cdr:from>
    <cdr:to>
      <cdr:x>0.89776</cdr:x>
      <cdr:y>0.96088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2E479F0-DCC6-9F45-A0C8-639023EAABB1}"/>
            </a:ext>
          </a:extLst>
        </cdr:cNvPr>
        <cdr:cNvSpPr txBox="1"/>
      </cdr:nvSpPr>
      <cdr:spPr>
        <a:xfrm xmlns:a="http://schemas.openxmlformats.org/drawingml/2006/main" rot="19286157">
          <a:off x="6896100" y="3297649"/>
          <a:ext cx="634626" cy="4243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GB" sz="1100"/>
            <a:t>EM US$</a:t>
          </a:r>
        </a:p>
      </cdr:txBody>
    </cdr:sp>
  </cdr:relSizeAnchor>
  <cdr:relSizeAnchor xmlns:cdr="http://schemas.openxmlformats.org/drawingml/2006/chartDrawing">
    <cdr:from>
      <cdr:x>0.88901</cdr:x>
      <cdr:y>0.86267</cdr:y>
    </cdr:from>
    <cdr:to>
      <cdr:x>0.97368</cdr:x>
      <cdr:y>0.95735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6941D92A-A79B-1242-80B7-DFBFC88AC979}"/>
            </a:ext>
          </a:extLst>
        </cdr:cNvPr>
        <cdr:cNvSpPr txBox="1"/>
      </cdr:nvSpPr>
      <cdr:spPr>
        <a:xfrm xmlns:a="http://schemas.openxmlformats.org/drawingml/2006/main" rot="19286157">
          <a:off x="7457290" y="3341571"/>
          <a:ext cx="710274" cy="36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GB" sz="1100"/>
            <a:t>EM</a:t>
          </a:r>
          <a:r>
            <a:rPr lang="en-GB" sz="1100" baseline="0"/>
            <a:t> </a:t>
          </a:r>
          <a:r>
            <a:rPr lang="en-GB" sz="1100" baseline="0">
              <a:latin typeface="Source Sans CAIM"/>
            </a:rPr>
            <a:t>Local</a:t>
          </a:r>
          <a:endParaRPr lang="en-GB" sz="1100">
            <a:latin typeface="Source Sans CAIM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6</xdr:col>
      <xdr:colOff>501650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469900</xdr:colOff>
      <xdr:row>3</xdr:row>
      <xdr:rowOff>12700</xdr:rowOff>
    </xdr:from>
    <xdr:to>
      <xdr:col>9</xdr:col>
      <xdr:colOff>146050</xdr:colOff>
      <xdr:row>14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127000</xdr:colOff>
      <xdr:row>3</xdr:row>
      <xdr:rowOff>0</xdr:rowOff>
    </xdr:from>
    <xdr:to>
      <xdr:col>11</xdr:col>
      <xdr:colOff>628650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381000</xdr:colOff>
      <xdr:row>13</xdr:row>
      <xdr:rowOff>25400</xdr:rowOff>
    </xdr:from>
    <xdr:to>
      <xdr:col>11</xdr:col>
      <xdr:colOff>711200</xdr:colOff>
      <xdr:row>27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203200</xdr:rowOff>
        </xdr:from>
        <xdr:to>
          <xdr:col>3</xdr:col>
          <xdr:colOff>488950</xdr:colOff>
          <xdr:row>4</xdr:row>
          <xdr:rowOff>88899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3</xdr:row>
          <xdr:rowOff>228600</xdr:rowOff>
        </xdr:from>
        <xdr:to>
          <xdr:col>3</xdr:col>
          <xdr:colOff>488950</xdr:colOff>
          <xdr:row>5</xdr:row>
          <xdr:rowOff>107950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0</xdr:rowOff>
        </xdr:from>
        <xdr:to>
          <xdr:col>3</xdr:col>
          <xdr:colOff>488950</xdr:colOff>
          <xdr:row>6</xdr:row>
          <xdr:rowOff>127000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241300</xdr:rowOff>
        </xdr:from>
        <xdr:to>
          <xdr:col>3</xdr:col>
          <xdr:colOff>488950</xdr:colOff>
          <xdr:row>7</xdr:row>
          <xdr:rowOff>114300</xdr:rowOff>
        </xdr:to>
        <xdr:sp macro="" textlink=""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6</xdr:row>
          <xdr:rowOff>241300</xdr:rowOff>
        </xdr:from>
        <xdr:to>
          <xdr:col>3</xdr:col>
          <xdr:colOff>469900</xdr:colOff>
          <xdr:row>8</xdr:row>
          <xdr:rowOff>114300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241300</xdr:rowOff>
        </xdr:from>
        <xdr:to>
          <xdr:col>3</xdr:col>
          <xdr:colOff>469900</xdr:colOff>
          <xdr:row>9</xdr:row>
          <xdr:rowOff>114300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8</xdr:row>
          <xdr:rowOff>241300</xdr:rowOff>
        </xdr:from>
        <xdr:to>
          <xdr:col>3</xdr:col>
          <xdr:colOff>457200</xdr:colOff>
          <xdr:row>10</xdr:row>
          <xdr:rowOff>114300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9</xdr:row>
          <xdr:rowOff>241300</xdr:rowOff>
        </xdr:from>
        <xdr:to>
          <xdr:col>3</xdr:col>
          <xdr:colOff>457200</xdr:colOff>
          <xdr:row>11</xdr:row>
          <xdr:rowOff>114300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241300</xdr:rowOff>
        </xdr:from>
        <xdr:to>
          <xdr:col>3</xdr:col>
          <xdr:colOff>450850</xdr:colOff>
          <xdr:row>12</xdr:row>
          <xdr:rowOff>114301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11</xdr:row>
          <xdr:rowOff>228600</xdr:rowOff>
        </xdr:from>
        <xdr:to>
          <xdr:col>3</xdr:col>
          <xdr:colOff>450850</xdr:colOff>
          <xdr:row>13</xdr:row>
          <xdr:rowOff>107951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228600</xdr:rowOff>
        </xdr:from>
        <xdr:to>
          <xdr:col>3</xdr:col>
          <xdr:colOff>431800</xdr:colOff>
          <xdr:row>14</xdr:row>
          <xdr:rowOff>107950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228600</xdr:rowOff>
        </xdr:from>
        <xdr:to>
          <xdr:col>3</xdr:col>
          <xdr:colOff>431800</xdr:colOff>
          <xdr:row>15</xdr:row>
          <xdr:rowOff>107949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AIM">
  <a:themeElements>
    <a:clrScheme name="CAIM">
      <a:dk1>
        <a:srgbClr val="2C2824"/>
      </a:dk1>
      <a:lt1>
        <a:srgbClr val="FFFFFF"/>
      </a:lt1>
      <a:dk2>
        <a:srgbClr val="D12E28"/>
      </a:dk2>
      <a:lt2>
        <a:srgbClr val="69B578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87E33-6E53-BA41-BB7D-6324CE8E695F}">
  <sheetPr codeName="Sheet1"/>
  <dimension ref="A1:AK207"/>
  <sheetViews>
    <sheetView topLeftCell="O1" zoomScale="94" zoomScaleNormal="94" workbookViewId="0">
      <pane ySplit="2040" topLeftCell="A173" activePane="bottomLeft"/>
      <selection activeCell="V2" sqref="V2"/>
      <selection pane="bottomLeft" activeCell="P176" sqref="P176"/>
    </sheetView>
  </sheetViews>
  <sheetFormatPr defaultColWidth="11" defaultRowHeight="15.5"/>
  <cols>
    <col min="1" max="1" width="21.33203125" customWidth="1"/>
    <col min="3" max="14" width="10.83203125" customWidth="1"/>
    <col min="16" max="16" width="14.08203125" customWidth="1"/>
  </cols>
  <sheetData>
    <row r="1" spans="1:17">
      <c r="B1" s="72" t="s">
        <v>63</v>
      </c>
    </row>
    <row r="2" spans="1:17" ht="101">
      <c r="B2" s="4" t="s">
        <v>53</v>
      </c>
      <c r="C2" s="79" t="s">
        <v>0</v>
      </c>
      <c r="D2" s="3" t="s">
        <v>1</v>
      </c>
      <c r="E2" s="4" t="s">
        <v>145</v>
      </c>
      <c r="F2" s="4" t="s">
        <v>155</v>
      </c>
      <c r="G2" s="4" t="s">
        <v>150</v>
      </c>
      <c r="H2" s="4" t="s">
        <v>151</v>
      </c>
      <c r="I2" s="4" t="s">
        <v>6</v>
      </c>
      <c r="J2" s="4" t="s">
        <v>7</v>
      </c>
      <c r="K2" s="4" t="s">
        <v>8</v>
      </c>
      <c r="L2" s="4" t="s">
        <v>146</v>
      </c>
      <c r="M2" s="4" t="s">
        <v>147</v>
      </c>
      <c r="N2" s="4" t="s">
        <v>148</v>
      </c>
      <c r="P2" s="127"/>
    </row>
    <row r="3" spans="1:17">
      <c r="A3" s="66" t="s">
        <v>54</v>
      </c>
      <c r="B3" s="67" t="s">
        <v>57</v>
      </c>
      <c r="C3" s="80">
        <f t="shared" ref="C3:C20" si="0">SUMPRODUCT(WtPF,$E3:$N3)/100</f>
        <v>0.45684212499999999</v>
      </c>
      <c r="D3" s="81">
        <f t="shared" ref="D3:D20" si="1">SUMPRODUCT(WtBM,$E3:$N3)/100</f>
        <v>0.45684212499999999</v>
      </c>
      <c r="E3" s="80">
        <v>0.42496358299999998</v>
      </c>
      <c r="F3" s="97">
        <v>0.46214153499999999</v>
      </c>
      <c r="G3" s="97">
        <v>0.45684212499999999</v>
      </c>
      <c r="H3" s="97">
        <v>1.3873416940000001</v>
      </c>
      <c r="I3" s="97">
        <v>3.6184955009999999</v>
      </c>
      <c r="J3" s="97">
        <v>3.4223105149999999</v>
      </c>
      <c r="K3" s="97">
        <v>2.4012997660000002</v>
      </c>
      <c r="L3" s="97">
        <v>6.6805569690000004</v>
      </c>
      <c r="M3" s="97">
        <v>4.6523076029999997</v>
      </c>
      <c r="N3" s="81">
        <v>6.5713940600000003</v>
      </c>
      <c r="P3" s="126" t="s">
        <v>125</v>
      </c>
      <c r="Q3" s="128">
        <f>Chart_Choice</f>
        <v>4</v>
      </c>
    </row>
    <row r="4" spans="1:17">
      <c r="A4" s="67"/>
      <c r="B4" s="67" t="s">
        <v>58</v>
      </c>
      <c r="C4" s="82">
        <f t="shared" si="0"/>
        <v>-0.78561105399999998</v>
      </c>
      <c r="D4" s="83">
        <f t="shared" si="1"/>
        <v>-0.78561105399999998</v>
      </c>
      <c r="E4" s="82">
        <v>-0.61661662699999997</v>
      </c>
      <c r="F4" s="67">
        <v>-1.5932855829999999</v>
      </c>
      <c r="G4" s="67">
        <v>-0.78561105399999998</v>
      </c>
      <c r="H4" s="67">
        <v>-3.4563080789999998</v>
      </c>
      <c r="I4" s="67">
        <v>-2.3186498100000001</v>
      </c>
      <c r="J4" s="67">
        <v>-4.1661621369999997</v>
      </c>
      <c r="K4" s="67">
        <v>-3.3411463800000001</v>
      </c>
      <c r="L4" s="67">
        <v>-2.2760215750000001</v>
      </c>
      <c r="M4" s="67">
        <v>-5.0811197379999999</v>
      </c>
      <c r="N4" s="83">
        <v>-0.92434269300000005</v>
      </c>
      <c r="P4" s="126"/>
      <c r="Q4" s="126" t="str" cm="1">
        <f t="array" ref="Q4">INDEX(Alloc_Charts, Chart_Choice)</f>
        <v>Return ranges</v>
      </c>
    </row>
    <row r="5" spans="1:17">
      <c r="A5" s="67"/>
      <c r="B5" s="67" t="s">
        <v>59</v>
      </c>
      <c r="C5" s="82">
        <f t="shared" si="0"/>
        <v>0</v>
      </c>
      <c r="D5" s="83">
        <f t="shared" si="1"/>
        <v>0</v>
      </c>
      <c r="E5" s="82">
        <v>0</v>
      </c>
      <c r="F5" s="67">
        <v>0</v>
      </c>
      <c r="G5" s="67">
        <v>0</v>
      </c>
      <c r="H5" s="67">
        <v>0</v>
      </c>
      <c r="I5" s="67">
        <v>1.5548437209999999</v>
      </c>
      <c r="J5" s="67">
        <v>2.0243006640000001</v>
      </c>
      <c r="K5" s="67">
        <v>0.67281525499999995</v>
      </c>
      <c r="L5" s="67">
        <v>2.2500082880000001</v>
      </c>
      <c r="M5" s="67">
        <v>6.1986622200000001</v>
      </c>
      <c r="N5" s="83">
        <v>0</v>
      </c>
      <c r="P5" s="126"/>
      <c r="Q5" s="126"/>
    </row>
    <row r="6" spans="1:17">
      <c r="A6" s="67"/>
      <c r="B6" s="67" t="s">
        <v>60</v>
      </c>
      <c r="C6" s="82">
        <f t="shared" si="0"/>
        <v>0</v>
      </c>
      <c r="D6" s="83">
        <f t="shared" si="1"/>
        <v>0</v>
      </c>
      <c r="E6" s="82">
        <v>0</v>
      </c>
      <c r="F6" s="67">
        <v>0</v>
      </c>
      <c r="G6" s="67">
        <v>0</v>
      </c>
      <c r="H6" s="67">
        <v>0</v>
      </c>
      <c r="I6" s="67">
        <v>-2.5566655000000001E-2</v>
      </c>
      <c r="J6" s="67">
        <v>-3.7644968000000001E-2</v>
      </c>
      <c r="K6" s="67">
        <v>-8.655645E-3</v>
      </c>
      <c r="L6" s="67">
        <v>-2.1</v>
      </c>
      <c r="M6" s="67">
        <v>0</v>
      </c>
      <c r="N6" s="83">
        <v>0</v>
      </c>
      <c r="P6" s="126" t="s">
        <v>126</v>
      </c>
      <c r="Q6" s="126"/>
    </row>
    <row r="7" spans="1:17">
      <c r="A7" s="67"/>
      <c r="B7" s="67" t="s">
        <v>61</v>
      </c>
      <c r="C7" s="82">
        <f t="shared" si="0"/>
        <v>0</v>
      </c>
      <c r="D7" s="83">
        <f t="shared" si="1"/>
        <v>0</v>
      </c>
      <c r="E7" s="82">
        <v>0</v>
      </c>
      <c r="F7" s="67">
        <v>0</v>
      </c>
      <c r="G7" s="67">
        <v>0</v>
      </c>
      <c r="H7" s="67">
        <v>0</v>
      </c>
      <c r="I7" s="67">
        <v>0</v>
      </c>
      <c r="J7" s="67">
        <v>0</v>
      </c>
      <c r="K7" s="67">
        <v>0</v>
      </c>
      <c r="L7" s="67">
        <v>0</v>
      </c>
      <c r="M7" s="67">
        <v>0</v>
      </c>
      <c r="N7" s="83">
        <v>5</v>
      </c>
      <c r="P7" s="126" t="s">
        <v>129</v>
      </c>
      <c r="Q7" s="126"/>
    </row>
    <row r="8" spans="1:17">
      <c r="A8" s="67"/>
      <c r="B8" s="67" t="s">
        <v>62</v>
      </c>
      <c r="C8" s="82">
        <f t="shared" si="0"/>
        <v>-0.32876892899999999</v>
      </c>
      <c r="D8" s="83">
        <f t="shared" si="1"/>
        <v>-0.32876892899999999</v>
      </c>
      <c r="E8" s="82">
        <f t="shared" ref="E8:N8" si="2">SUM(E3:E7)</f>
        <v>-0.19165304399999999</v>
      </c>
      <c r="F8" s="67">
        <f t="shared" si="2"/>
        <v>-1.1311440479999999</v>
      </c>
      <c r="G8" s="67">
        <f t="shared" si="2"/>
        <v>-0.32876892899999999</v>
      </c>
      <c r="H8" s="67">
        <f t="shared" si="2"/>
        <v>-2.0689663849999995</v>
      </c>
      <c r="I8" s="67">
        <f t="shared" si="2"/>
        <v>2.8291227569999999</v>
      </c>
      <c r="J8" s="67">
        <f t="shared" si="2"/>
        <v>1.2428040740000004</v>
      </c>
      <c r="K8" s="67">
        <f t="shared" si="2"/>
        <v>-0.27568700399999996</v>
      </c>
      <c r="L8" s="67">
        <f t="shared" si="2"/>
        <v>4.5545436820000003</v>
      </c>
      <c r="M8" s="67">
        <f t="shared" si="2"/>
        <v>5.7698500849999999</v>
      </c>
      <c r="N8" s="83">
        <f t="shared" si="2"/>
        <v>10.647051367</v>
      </c>
      <c r="P8" s="126" t="s">
        <v>127</v>
      </c>
      <c r="Q8" s="126"/>
    </row>
    <row r="9" spans="1:17">
      <c r="A9" s="68" t="s">
        <v>55</v>
      </c>
      <c r="B9" s="69" t="s">
        <v>57</v>
      </c>
      <c r="C9" s="84">
        <f t="shared" si="0"/>
        <v>0.45684212499999999</v>
      </c>
      <c r="D9" s="85">
        <f t="shared" si="1"/>
        <v>0.45684212499999999</v>
      </c>
      <c r="E9" s="84">
        <v>0.42496358299999998</v>
      </c>
      <c r="F9" s="69">
        <v>0.46214153499999999</v>
      </c>
      <c r="G9" s="69">
        <v>0.45684212499999999</v>
      </c>
      <c r="H9" s="69">
        <v>1.3873416940000001</v>
      </c>
      <c r="I9" s="69">
        <v>3.6184955009999999</v>
      </c>
      <c r="J9" s="69">
        <v>3.4223105149999999</v>
      </c>
      <c r="K9" s="69">
        <v>2.4012997660000002</v>
      </c>
      <c r="L9" s="69">
        <v>6.7144684259999998</v>
      </c>
      <c r="M9" s="69">
        <v>4.6523076029999997</v>
      </c>
      <c r="N9" s="85">
        <v>6.5713940600000003</v>
      </c>
      <c r="P9" s="126" t="s">
        <v>128</v>
      </c>
      <c r="Q9" s="126"/>
    </row>
    <row r="10" spans="1:17">
      <c r="A10" s="69"/>
      <c r="B10" s="69" t="s">
        <v>58</v>
      </c>
      <c r="C10" s="84">
        <f t="shared" si="0"/>
        <v>-1.672094105</v>
      </c>
      <c r="D10" s="85">
        <f t="shared" si="1"/>
        <v>-1.672094105</v>
      </c>
      <c r="E10" s="84">
        <v>-1.1495777810000001</v>
      </c>
      <c r="F10" s="69">
        <v>-3.54603643</v>
      </c>
      <c r="G10" s="69">
        <v>-1.672094105</v>
      </c>
      <c r="H10" s="69">
        <v>-7.5386048529999998</v>
      </c>
      <c r="I10" s="69">
        <v>-6.9238976880000003</v>
      </c>
      <c r="J10" s="69">
        <v>-7.5583907449999996</v>
      </c>
      <c r="K10" s="69">
        <v>-7.0968425320000001</v>
      </c>
      <c r="L10" s="69">
        <v>-3.8500320100000001</v>
      </c>
      <c r="M10" s="69">
        <v>-8.3377684460000001</v>
      </c>
      <c r="N10" s="85">
        <v>-7.8569128900000003</v>
      </c>
    </row>
    <row r="11" spans="1:17">
      <c r="A11" s="69"/>
      <c r="B11" s="69" t="s">
        <v>59</v>
      </c>
      <c r="C11" s="84">
        <f t="shared" si="0"/>
        <v>0</v>
      </c>
      <c r="D11" s="85">
        <f t="shared" si="1"/>
        <v>0</v>
      </c>
      <c r="E11" s="84">
        <v>0</v>
      </c>
      <c r="F11" s="69">
        <v>0</v>
      </c>
      <c r="G11" s="69">
        <v>0</v>
      </c>
      <c r="H11" s="69">
        <v>0</v>
      </c>
      <c r="I11" s="69">
        <v>-0.496021934</v>
      </c>
      <c r="J11" s="69">
        <v>-0.61634660299999999</v>
      </c>
      <c r="K11" s="69">
        <v>-0.204379379</v>
      </c>
      <c r="L11" s="69">
        <v>1.136602125</v>
      </c>
      <c r="M11" s="69">
        <v>2.754960987</v>
      </c>
      <c r="N11" s="85">
        <v>0</v>
      </c>
      <c r="P11" s="130" t="s">
        <v>133</v>
      </c>
      <c r="Q11" s="130">
        <f>FundChoice</f>
        <v>2</v>
      </c>
    </row>
    <row r="12" spans="1:17">
      <c r="A12" s="69"/>
      <c r="B12" s="69" t="s">
        <v>60</v>
      </c>
      <c r="C12" s="84">
        <f t="shared" si="0"/>
        <v>0</v>
      </c>
      <c r="D12" s="85">
        <f t="shared" si="1"/>
        <v>0</v>
      </c>
      <c r="E12" s="84">
        <v>0</v>
      </c>
      <c r="F12" s="69">
        <v>0</v>
      </c>
      <c r="G12" s="69">
        <v>0</v>
      </c>
      <c r="H12" s="69">
        <v>0</v>
      </c>
      <c r="I12" s="69">
        <v>-1.7044436999999999E-2</v>
      </c>
      <c r="J12" s="69">
        <v>-2.5096645000000001E-2</v>
      </c>
      <c r="K12" s="69">
        <v>-5.77043E-3</v>
      </c>
      <c r="L12" s="69">
        <v>-1.4</v>
      </c>
      <c r="M12" s="69">
        <v>0</v>
      </c>
      <c r="N12" s="85">
        <v>0</v>
      </c>
      <c r="P12" s="130" t="str" cm="1">
        <f t="array" ref="P12">INDEX(C2:N2,FundChoice)</f>
        <v>Benchmark</v>
      </c>
      <c r="Q12" s="130"/>
    </row>
    <row r="13" spans="1:17">
      <c r="A13" s="69"/>
      <c r="B13" s="69" t="s">
        <v>61</v>
      </c>
      <c r="C13" s="84">
        <f t="shared" si="0"/>
        <v>0</v>
      </c>
      <c r="D13" s="85">
        <f t="shared" si="1"/>
        <v>0</v>
      </c>
      <c r="E13" s="84">
        <v>0</v>
      </c>
      <c r="F13" s="69">
        <v>0</v>
      </c>
      <c r="G13" s="69">
        <v>0</v>
      </c>
      <c r="H13" s="69">
        <v>0</v>
      </c>
      <c r="I13" s="69">
        <v>0</v>
      </c>
      <c r="J13" s="69">
        <v>0</v>
      </c>
      <c r="K13" s="69">
        <v>0</v>
      </c>
      <c r="L13" s="69">
        <v>0</v>
      </c>
      <c r="M13" s="69">
        <v>0</v>
      </c>
      <c r="N13" s="85">
        <v>5</v>
      </c>
    </row>
    <row r="14" spans="1:17">
      <c r="A14" s="69"/>
      <c r="B14" s="69" t="s">
        <v>62</v>
      </c>
      <c r="C14" s="84">
        <f t="shared" si="0"/>
        <v>-1.2152519800000001</v>
      </c>
      <c r="D14" s="85">
        <f t="shared" si="1"/>
        <v>-1.2152519800000001</v>
      </c>
      <c r="E14" s="84">
        <f t="shared" ref="E14:N14" si="3">SUM(E9:E13)</f>
        <v>-0.72461419800000004</v>
      </c>
      <c r="F14" s="69">
        <f t="shared" si="3"/>
        <v>-3.0838948950000002</v>
      </c>
      <c r="G14" s="69">
        <f t="shared" si="3"/>
        <v>-1.2152519800000001</v>
      </c>
      <c r="H14" s="69">
        <f t="shared" si="3"/>
        <v>-6.151263159</v>
      </c>
      <c r="I14" s="69">
        <f t="shared" si="3"/>
        <v>-3.8184685580000002</v>
      </c>
      <c r="J14" s="69">
        <f t="shared" si="3"/>
        <v>-4.7775234779999991</v>
      </c>
      <c r="K14" s="69">
        <f t="shared" si="3"/>
        <v>-4.9056925749999998</v>
      </c>
      <c r="L14" s="69">
        <f t="shared" si="3"/>
        <v>2.6010385409999999</v>
      </c>
      <c r="M14" s="69">
        <f t="shared" si="3"/>
        <v>-0.9304998560000004</v>
      </c>
      <c r="N14" s="85">
        <f t="shared" si="3"/>
        <v>3.71448117</v>
      </c>
      <c r="P14" t="s">
        <v>134</v>
      </c>
      <c r="Q14">
        <f>ScenChoice</f>
        <v>2</v>
      </c>
    </row>
    <row r="15" spans="1:17">
      <c r="A15" s="70" t="s">
        <v>56</v>
      </c>
      <c r="B15" s="71" t="s">
        <v>57</v>
      </c>
      <c r="C15" s="86">
        <f t="shared" si="0"/>
        <v>0.45684212499999999</v>
      </c>
      <c r="D15" s="87">
        <f t="shared" si="1"/>
        <v>0.45684212499999999</v>
      </c>
      <c r="E15" s="86">
        <v>0.42496358299999998</v>
      </c>
      <c r="F15" s="71">
        <v>0.46214153499999999</v>
      </c>
      <c r="G15" s="71">
        <v>0.45684212499999999</v>
      </c>
      <c r="H15" s="71">
        <v>1.3873416940000001</v>
      </c>
      <c r="I15" s="71">
        <v>3.6184955009999999</v>
      </c>
      <c r="J15" s="71">
        <v>3.421084</v>
      </c>
      <c r="K15" s="71">
        <v>2.4012997660000002</v>
      </c>
      <c r="L15" s="71">
        <v>6.6127340559999999</v>
      </c>
      <c r="M15" s="71">
        <v>4.6523076029999997</v>
      </c>
      <c r="N15" s="87">
        <v>6.5713940600000003</v>
      </c>
      <c r="O15">
        <f>1+(ScenChoice-1)*6</f>
        <v>7</v>
      </c>
      <c r="P15" s="67" t="s">
        <v>57</v>
      </c>
      <c r="Q15" cm="1">
        <f t="array" ref="Q15">INDEX($C$3:$N$20,$O15,Q$11)</f>
        <v>0.45684212499999999</v>
      </c>
    </row>
    <row r="16" spans="1:17">
      <c r="A16" s="71"/>
      <c r="B16" s="71" t="s">
        <v>58</v>
      </c>
      <c r="C16" s="86">
        <f t="shared" si="0"/>
        <v>0.15817745899999999</v>
      </c>
      <c r="D16" s="87">
        <f t="shared" si="1"/>
        <v>0.15817745899999999</v>
      </c>
      <c r="E16" s="86">
        <v>0.39600999999999997</v>
      </c>
      <c r="F16" s="71">
        <v>-0.157634357</v>
      </c>
      <c r="G16" s="71">
        <v>0.15817745899999999</v>
      </c>
      <c r="H16" s="71">
        <v>1.3551063619999999</v>
      </c>
      <c r="I16" s="71">
        <v>0.67319014499999996</v>
      </c>
      <c r="J16" s="71">
        <v>1.614081587</v>
      </c>
      <c r="K16" s="71">
        <v>1.288143</v>
      </c>
      <c r="L16" s="71">
        <v>1.3057208</v>
      </c>
      <c r="M16" s="71">
        <v>2.8128997500000001</v>
      </c>
      <c r="N16" s="87">
        <v>-0.92434269300000005</v>
      </c>
      <c r="O16">
        <f>O15+1</f>
        <v>8</v>
      </c>
      <c r="P16" s="67" t="s">
        <v>58</v>
      </c>
      <c r="Q16" cm="1">
        <f t="array" ref="Q16">INDEX($C$3:$N$20,$O16,Q$11)</f>
        <v>-1.672094105</v>
      </c>
    </row>
    <row r="17" spans="1:28">
      <c r="A17" s="71"/>
      <c r="B17" s="71" t="s">
        <v>59</v>
      </c>
      <c r="C17" s="86">
        <f t="shared" si="0"/>
        <v>0</v>
      </c>
      <c r="D17" s="87">
        <f t="shared" si="1"/>
        <v>0</v>
      </c>
      <c r="E17" s="86">
        <v>0</v>
      </c>
      <c r="F17" s="71">
        <v>0</v>
      </c>
      <c r="G17" s="71">
        <v>0</v>
      </c>
      <c r="H17" s="71"/>
      <c r="I17" s="71">
        <v>-4.6715556149999999</v>
      </c>
      <c r="J17" s="71">
        <v>-6.0913379020000002</v>
      </c>
      <c r="K17" s="71">
        <v>-2.0247232770000001</v>
      </c>
      <c r="L17" s="71">
        <v>-7.3453878799999996</v>
      </c>
      <c r="M17" s="71">
        <v>-6.8874024670000003</v>
      </c>
      <c r="N17" s="87">
        <v>0</v>
      </c>
      <c r="O17">
        <f>O16+1</f>
        <v>9</v>
      </c>
      <c r="P17" s="67" t="s">
        <v>59</v>
      </c>
      <c r="Q17" cm="1">
        <f t="array" ref="Q17">INDEX($C$3:$N$20,$O17,Q$11)</f>
        <v>0</v>
      </c>
    </row>
    <row r="18" spans="1:28">
      <c r="A18" s="71"/>
      <c r="B18" s="71" t="s">
        <v>60</v>
      </c>
      <c r="C18" s="86">
        <f t="shared" si="0"/>
        <v>0</v>
      </c>
      <c r="D18" s="87">
        <f t="shared" si="1"/>
        <v>0</v>
      </c>
      <c r="E18" s="86">
        <v>0</v>
      </c>
      <c r="F18" s="71">
        <v>0</v>
      </c>
      <c r="G18" s="71">
        <v>0</v>
      </c>
      <c r="H18" s="71"/>
      <c r="I18" s="71">
        <v>-4.2611092000000003E-2</v>
      </c>
      <c r="J18" s="71">
        <v>-6.2741613000000002E-2</v>
      </c>
      <c r="K18" s="71">
        <v>-1.4426075E-2</v>
      </c>
      <c r="L18" s="71">
        <v>-3.5</v>
      </c>
      <c r="M18" s="71">
        <v>0</v>
      </c>
      <c r="N18" s="87">
        <v>0</v>
      </c>
      <c r="O18">
        <f>O17+1</f>
        <v>10</v>
      </c>
      <c r="P18" s="67" t="s">
        <v>60</v>
      </c>
      <c r="Q18" cm="1">
        <f t="array" ref="Q18">INDEX($C$3:$N$20,$O18,Q$11)</f>
        <v>0</v>
      </c>
    </row>
    <row r="19" spans="1:28">
      <c r="A19" s="71"/>
      <c r="B19" s="71" t="s">
        <v>61</v>
      </c>
      <c r="C19" s="86">
        <f t="shared" si="0"/>
        <v>0</v>
      </c>
      <c r="D19" s="87">
        <f t="shared" si="1"/>
        <v>0</v>
      </c>
      <c r="E19" s="86">
        <v>0</v>
      </c>
      <c r="F19" s="71">
        <v>0</v>
      </c>
      <c r="G19" s="71">
        <v>0</v>
      </c>
      <c r="H19" s="71">
        <v>0</v>
      </c>
      <c r="I19" s="71">
        <v>0</v>
      </c>
      <c r="J19" s="71">
        <v>0</v>
      </c>
      <c r="K19" s="71">
        <v>0</v>
      </c>
      <c r="L19" s="71">
        <v>0</v>
      </c>
      <c r="M19" s="71">
        <v>0</v>
      </c>
      <c r="N19" s="87">
        <v>-7.5</v>
      </c>
      <c r="O19">
        <f>O18+1</f>
        <v>11</v>
      </c>
      <c r="P19" s="67" t="s">
        <v>61</v>
      </c>
      <c r="Q19" cm="1">
        <f t="array" ref="Q19">INDEX($C$3:$N$20,$O19,Q$11)</f>
        <v>0</v>
      </c>
    </row>
    <row r="20" spans="1:28">
      <c r="A20" s="71"/>
      <c r="B20" s="71" t="s">
        <v>62</v>
      </c>
      <c r="C20" s="88">
        <f t="shared" si="0"/>
        <v>0.61501958400000001</v>
      </c>
      <c r="D20" s="89">
        <f t="shared" si="1"/>
        <v>0.61501958400000001</v>
      </c>
      <c r="E20" s="88">
        <f t="shared" ref="E20:N20" si="4">SUM(E15:E19)</f>
        <v>0.82097358300000001</v>
      </c>
      <c r="F20" s="98">
        <f t="shared" si="4"/>
        <v>0.30450717799999999</v>
      </c>
      <c r="G20" s="98">
        <f t="shared" si="4"/>
        <v>0.61501958400000001</v>
      </c>
      <c r="H20" s="98">
        <f t="shared" si="4"/>
        <v>2.7424480559999997</v>
      </c>
      <c r="I20" s="98">
        <f t="shared" si="4"/>
        <v>-0.42248106100000049</v>
      </c>
      <c r="J20" s="98">
        <f t="shared" si="4"/>
        <v>-1.1189139280000004</v>
      </c>
      <c r="K20" s="98">
        <f t="shared" si="4"/>
        <v>1.6502934139999998</v>
      </c>
      <c r="L20" s="98">
        <f t="shared" si="4"/>
        <v>-2.9269330239999993</v>
      </c>
      <c r="M20" s="98">
        <f t="shared" si="4"/>
        <v>0.57780488600000002</v>
      </c>
      <c r="N20" s="89">
        <f t="shared" si="4"/>
        <v>-1.8529486329999996</v>
      </c>
      <c r="O20">
        <f>O19+1</f>
        <v>12</v>
      </c>
      <c r="P20" s="67" t="s">
        <v>62</v>
      </c>
      <c r="Q20" cm="1">
        <f t="array" ref="Q20">INDEX($C$3:$N$20,$O20,Q$11)</f>
        <v>-1.2152519800000001</v>
      </c>
    </row>
    <row r="21" spans="1:28">
      <c r="P21" t="str">
        <f>"Scenario Return Components for "&amp;P12</f>
        <v>Scenario Return Components for Benchmark</v>
      </c>
    </row>
    <row r="22" spans="1:28">
      <c r="B22" s="72" t="s">
        <v>109</v>
      </c>
      <c r="E22" s="78">
        <v>1</v>
      </c>
      <c r="F22" s="78">
        <v>2</v>
      </c>
      <c r="G22" s="78">
        <v>3</v>
      </c>
      <c r="H22" s="78">
        <v>4</v>
      </c>
      <c r="I22" s="78">
        <v>5</v>
      </c>
      <c r="J22" s="78">
        <v>6</v>
      </c>
      <c r="K22" s="78">
        <v>7</v>
      </c>
      <c r="L22" s="78">
        <v>8</v>
      </c>
      <c r="M22" s="78">
        <v>9</v>
      </c>
      <c r="N22" s="78">
        <v>10</v>
      </c>
    </row>
    <row r="23" spans="1:28">
      <c r="B23" s="64" t="s">
        <v>0</v>
      </c>
      <c r="C23" s="64"/>
      <c r="D23" s="64"/>
      <c r="E23" s="64">
        <v>0</v>
      </c>
      <c r="F23" s="64">
        <v>0</v>
      </c>
      <c r="G23" s="64">
        <v>100</v>
      </c>
      <c r="H23" s="64">
        <v>0</v>
      </c>
      <c r="I23" s="64">
        <v>0</v>
      </c>
      <c r="J23" s="64">
        <v>0</v>
      </c>
      <c r="K23" s="64">
        <v>0</v>
      </c>
      <c r="L23" s="64">
        <v>0</v>
      </c>
      <c r="M23" s="64">
        <v>0</v>
      </c>
      <c r="N23" s="64">
        <v>0</v>
      </c>
    </row>
    <row r="24" spans="1:28">
      <c r="B24" s="65" t="s">
        <v>1</v>
      </c>
      <c r="C24" s="65"/>
      <c r="D24" s="65"/>
      <c r="E24" s="65">
        <v>0</v>
      </c>
      <c r="F24" s="65">
        <v>0</v>
      </c>
      <c r="G24" s="65">
        <v>100</v>
      </c>
      <c r="H24" s="65">
        <v>0</v>
      </c>
      <c r="I24" s="65">
        <v>0</v>
      </c>
      <c r="J24" s="65">
        <v>0</v>
      </c>
      <c r="K24" s="65">
        <v>0</v>
      </c>
      <c r="L24" s="65">
        <v>0</v>
      </c>
      <c r="M24" s="65">
        <v>0</v>
      </c>
      <c r="N24" s="65">
        <v>0</v>
      </c>
    </row>
    <row r="26" spans="1:28">
      <c r="B26" s="72" t="s">
        <v>64</v>
      </c>
    </row>
    <row r="27" spans="1:28">
      <c r="B27" s="64" t="s">
        <v>0</v>
      </c>
      <c r="C27" s="64"/>
      <c r="D27" s="64"/>
      <c r="E27" s="64" cm="1">
        <f t="array" ref="E27">INDEX(WtAllocPF,E$22)</f>
        <v>0</v>
      </c>
      <c r="F27" s="64" cm="1">
        <f t="array" ref="F27">INDEX(WtAllocPF,F$22)</f>
        <v>0</v>
      </c>
      <c r="G27" s="64" cm="1">
        <f t="array" ref="G27">INDEX(WtAllocPF,G$22)</f>
        <v>100</v>
      </c>
      <c r="H27" s="64" cm="1">
        <f t="array" ref="H27">INDEX(WtAllocPF,H$22)</f>
        <v>0</v>
      </c>
      <c r="I27" s="64" cm="1">
        <f t="array" ref="I27">INDEX(WtAllocPF,I$22)</f>
        <v>0</v>
      </c>
      <c r="J27" s="64" cm="1">
        <f t="array" ref="J27">INDEX(WtAllocPF,J$22)</f>
        <v>0</v>
      </c>
      <c r="K27" s="64" cm="1">
        <f t="array" ref="K27">INDEX(WtAllocPF,K$22)</f>
        <v>0</v>
      </c>
      <c r="L27" s="64" cm="1">
        <f t="array" ref="L27">INDEX(WtAllocPF,L$22)</f>
        <v>0</v>
      </c>
      <c r="M27" s="64" cm="1">
        <f t="array" ref="M27">INDEX(WtAllocPF,M$22)</f>
        <v>0</v>
      </c>
      <c r="N27" s="64" cm="1">
        <f t="array" ref="N27">INDEX(WtAllocPF,N$22)</f>
        <v>0</v>
      </c>
    </row>
    <row r="28" spans="1:28">
      <c r="B28" s="65" t="s">
        <v>1</v>
      </c>
      <c r="C28" s="65"/>
      <c r="D28" s="65"/>
      <c r="E28" s="65" cm="1">
        <f t="array" ref="E28">INDEX(WtAllocBM,E$22)</f>
        <v>0</v>
      </c>
      <c r="F28" s="65" cm="1">
        <f t="array" ref="F28">INDEX(WtAllocBM,F$22)</f>
        <v>0</v>
      </c>
      <c r="G28" s="65" cm="1">
        <f t="array" ref="G28">INDEX(WtAllocBM,G$22)</f>
        <v>100</v>
      </c>
      <c r="H28" s="65" cm="1">
        <f t="array" ref="H28">INDEX(WtAllocBM,H$22)</f>
        <v>0</v>
      </c>
      <c r="I28" s="65" cm="1">
        <f t="array" ref="I28">INDEX(WtAllocBM,I$22)</f>
        <v>0</v>
      </c>
      <c r="J28" s="65" cm="1">
        <f t="array" ref="J28">INDEX(WtAllocBM,J$22)</f>
        <v>0</v>
      </c>
      <c r="K28" s="65" cm="1">
        <f t="array" ref="K28">INDEX(WtAllocBM,K$22)</f>
        <v>0</v>
      </c>
      <c r="L28" s="65" cm="1">
        <f t="array" ref="L28">INDEX(WtAllocBM,L$22)</f>
        <v>0</v>
      </c>
      <c r="M28" s="65" cm="1">
        <f t="array" ref="M28">INDEX(WtAllocBM,M$22)</f>
        <v>0</v>
      </c>
      <c r="N28" s="65" cm="1">
        <f t="array" ref="N28">INDEX(WtAllocBM,N$22)</f>
        <v>0</v>
      </c>
    </row>
    <row r="30" spans="1:28">
      <c r="B30" s="72" t="s">
        <v>65</v>
      </c>
    </row>
    <row r="31" spans="1:28" ht="101">
      <c r="B31" s="1"/>
      <c r="C31" s="2" t="s">
        <v>0</v>
      </c>
      <c r="D31" s="2" t="s">
        <v>1</v>
      </c>
      <c r="E31" s="4" t="str">
        <f>E2</f>
        <v>US Govt 1-3</v>
      </c>
      <c r="F31" s="4" t="str">
        <f t="shared" ref="F31:N31" si="5">F2</f>
        <v>Euro Govt 1-3 Hedged</v>
      </c>
      <c r="G31" s="4" t="str">
        <f t="shared" si="5"/>
        <v>Global Govt 1-3 Hedged</v>
      </c>
      <c r="H31" s="4" t="str">
        <f t="shared" si="5"/>
        <v>Global Govt 1-30 Hedged</v>
      </c>
      <c r="I31" s="4" t="str">
        <f t="shared" si="5"/>
        <v>Euro Corp Hedged</v>
      </c>
      <c r="J31" s="4" t="str">
        <f t="shared" si="5"/>
        <v>Global Corp Hedged</v>
      </c>
      <c r="K31" s="4" t="str">
        <f t="shared" si="5"/>
        <v>Global Agg Hedged</v>
      </c>
      <c r="L31" s="4" t="str">
        <f t="shared" si="5"/>
        <v>US High Yield</v>
      </c>
      <c r="M31" s="4" t="str">
        <f t="shared" si="5"/>
        <v>EM Govt US$</v>
      </c>
      <c r="N31" s="4" t="str">
        <f t="shared" si="5"/>
        <v>EM Govt Local Unhedged</v>
      </c>
      <c r="P31" s="1"/>
      <c r="Q31" s="79" t="s">
        <v>0</v>
      </c>
      <c r="R31" s="79" t="s">
        <v>1</v>
      </c>
      <c r="S31" s="4" t="str">
        <f>E31</f>
        <v>US Govt 1-3</v>
      </c>
      <c r="T31" s="4" t="str">
        <f t="shared" ref="T31:AB31" si="6">F31</f>
        <v>Euro Govt 1-3 Hedged</v>
      </c>
      <c r="U31" s="4" t="str">
        <f t="shared" si="6"/>
        <v>Global Govt 1-3 Hedged</v>
      </c>
      <c r="V31" s="4" t="str">
        <f t="shared" si="6"/>
        <v>Global Govt 1-30 Hedged</v>
      </c>
      <c r="W31" s="4" t="str">
        <f t="shared" si="6"/>
        <v>Euro Corp Hedged</v>
      </c>
      <c r="X31" s="4" t="str">
        <f t="shared" si="6"/>
        <v>Global Corp Hedged</v>
      </c>
      <c r="Y31" s="4" t="str">
        <f t="shared" si="6"/>
        <v>Global Agg Hedged</v>
      </c>
      <c r="Z31" s="4" t="str">
        <f t="shared" si="6"/>
        <v>US High Yield</v>
      </c>
      <c r="AA31" s="4" t="str">
        <f t="shared" si="6"/>
        <v>EM Govt US$</v>
      </c>
      <c r="AB31" s="4" t="str">
        <f t="shared" si="6"/>
        <v>EM Govt Local Unhedged</v>
      </c>
    </row>
    <row r="32" spans="1:28">
      <c r="B32" s="5">
        <v>37315</v>
      </c>
      <c r="P32" s="121">
        <f>(B32-B$152)/365.15</f>
        <v>-10.00410790086266</v>
      </c>
      <c r="Q32" s="90">
        <v>100</v>
      </c>
      <c r="R32" s="91">
        <v>100</v>
      </c>
      <c r="S32" s="104">
        <v>100</v>
      </c>
      <c r="T32" s="104">
        <v>100</v>
      </c>
      <c r="U32" s="104">
        <v>100</v>
      </c>
      <c r="V32" s="104">
        <v>100</v>
      </c>
      <c r="W32" s="104">
        <v>100</v>
      </c>
      <c r="X32" s="104">
        <v>100</v>
      </c>
      <c r="Y32" s="104">
        <v>100</v>
      </c>
      <c r="Z32" s="104">
        <v>100</v>
      </c>
      <c r="AA32" s="104">
        <v>100</v>
      </c>
      <c r="AB32" s="104">
        <v>100</v>
      </c>
    </row>
    <row r="33" spans="2:28">
      <c r="B33" s="5">
        <v>37346</v>
      </c>
      <c r="C33" s="90">
        <f t="shared" ref="C33:C64" si="7">SUMPRODUCT(WtPF,$E33:$N33)/100</f>
        <v>-0.43391292762755557</v>
      </c>
      <c r="D33" s="91">
        <f t="shared" ref="D33:D64" si="8">SUMPRODUCT(WtBM,$E33:$N33)/100</f>
        <v>-0.43391292762755557</v>
      </c>
      <c r="E33" s="6">
        <v>-0.7669819449527937</v>
      </c>
      <c r="F33" s="6">
        <v>-0.40818387124582634</v>
      </c>
      <c r="G33" s="6">
        <v>-0.43391292762755551</v>
      </c>
      <c r="H33" s="6">
        <v>-1.0973675024789853</v>
      </c>
      <c r="I33" s="6">
        <v>-0.6939559186606159</v>
      </c>
      <c r="J33" s="6">
        <v>-1.2607057966946944</v>
      </c>
      <c r="K33" s="6">
        <v>-1.0580052139127605</v>
      </c>
      <c r="L33" s="6">
        <v>2.5348791511102364</v>
      </c>
      <c r="M33" s="6">
        <v>0.10794637922817429</v>
      </c>
      <c r="N33" s="6">
        <v>0</v>
      </c>
      <c r="P33" s="121">
        <f t="shared" ref="P33:P96" si="9">(B33-B$152)/365.15</f>
        <v>-9.9192112830343699</v>
      </c>
      <c r="Q33" s="92">
        <f>Q32*(1+C33/100)</f>
        <v>99.56608707237244</v>
      </c>
      <c r="R33" s="93">
        <f t="shared" ref="R33:AB48" si="10">R32*(1+D33/100)</f>
        <v>99.56608707237244</v>
      </c>
      <c r="S33" s="6">
        <f t="shared" si="10"/>
        <v>99.233018055047211</v>
      </c>
      <c r="T33" s="6">
        <f t="shared" si="10"/>
        <v>99.591816128754175</v>
      </c>
      <c r="U33" s="6">
        <f t="shared" si="10"/>
        <v>99.56608707237244</v>
      </c>
      <c r="V33" s="6">
        <f t="shared" si="10"/>
        <v>98.902632497521012</v>
      </c>
      <c r="W33" s="6">
        <f t="shared" si="10"/>
        <v>99.30604408133938</v>
      </c>
      <c r="X33" s="6">
        <f t="shared" si="10"/>
        <v>98.739294203305306</v>
      </c>
      <c r="Y33" s="6">
        <f t="shared" si="10"/>
        <v>98.941994786087236</v>
      </c>
      <c r="Z33" s="6">
        <f t="shared" si="10"/>
        <v>102.53487915111023</v>
      </c>
      <c r="AA33" s="6">
        <f t="shared" si="10"/>
        <v>100.10794637922817</v>
      </c>
      <c r="AB33" s="6">
        <f t="shared" si="10"/>
        <v>100</v>
      </c>
    </row>
    <row r="34" spans="2:28">
      <c r="B34" s="7">
        <v>37376</v>
      </c>
      <c r="C34" s="92">
        <f t="shared" si="7"/>
        <v>0.76506560491036435</v>
      </c>
      <c r="D34" s="93">
        <f t="shared" si="8"/>
        <v>0.76506560491036435</v>
      </c>
      <c r="E34" s="6">
        <v>1.2121186539050033</v>
      </c>
      <c r="F34" s="6">
        <v>0.6397105819707205</v>
      </c>
      <c r="G34" s="6">
        <v>0.76506560491036435</v>
      </c>
      <c r="H34" s="6">
        <v>1.3079054220987762</v>
      </c>
      <c r="I34" s="6">
        <v>0.69418062377877288</v>
      </c>
      <c r="J34" s="6">
        <v>0.94709902190059925</v>
      </c>
      <c r="K34" s="6">
        <v>1.345804561525088</v>
      </c>
      <c r="L34" s="6">
        <v>1.6164780775576038</v>
      </c>
      <c r="M34" s="6">
        <v>0.98193362049672217</v>
      </c>
      <c r="N34" s="6">
        <v>0</v>
      </c>
      <c r="P34" s="121">
        <f t="shared" si="9"/>
        <v>-9.8370532657811864</v>
      </c>
      <c r="Q34" s="92">
        <f t="shared" ref="Q34:Q97" si="11">Q33*(1+C34/100)</f>
        <v>100.32783295871826</v>
      </c>
      <c r="R34" s="93">
        <f t="shared" si="10"/>
        <v>100.32783295871826</v>
      </c>
      <c r="S34" s="6">
        <v>100.43583997772535</v>
      </c>
      <c r="T34" s="6">
        <v>100.22891551530664</v>
      </c>
      <c r="U34" s="6">
        <v>100.32783295871826</v>
      </c>
      <c r="V34" s="6">
        <v>100.19618539055452</v>
      </c>
      <c r="W34" s="6">
        <v>99.99540739759324</v>
      </c>
      <c r="X34" s="6">
        <v>99.674453092936361</v>
      </c>
      <c r="Y34" s="6">
        <v>100.27356066518232</v>
      </c>
      <c r="Z34" s="6">
        <v>104.19233299443812</v>
      </c>
      <c r="AA34" s="6">
        <v>101.09093996151464</v>
      </c>
      <c r="AB34" s="6">
        <v>100</v>
      </c>
    </row>
    <row r="35" spans="2:28">
      <c r="B35" s="5">
        <v>37407</v>
      </c>
      <c r="C35" s="92">
        <f t="shared" si="7"/>
        <v>0.16748283473055903</v>
      </c>
      <c r="D35" s="93">
        <f t="shared" si="8"/>
        <v>0.16748283473055903</v>
      </c>
      <c r="E35" s="6">
        <v>0.42512993303949198</v>
      </c>
      <c r="F35" s="6">
        <v>-5.5189790790310944E-2</v>
      </c>
      <c r="G35" s="6">
        <v>0.16748283473055903</v>
      </c>
      <c r="H35" s="6">
        <v>0.25411502219370163</v>
      </c>
      <c r="I35" s="6">
        <v>6.0081610662043872E-2</v>
      </c>
      <c r="J35" s="6">
        <v>0.85511515928153869</v>
      </c>
      <c r="K35" s="6">
        <v>0.47007664230611645</v>
      </c>
      <c r="L35" s="6">
        <v>-0.75192285615888199</v>
      </c>
      <c r="M35" s="6">
        <v>-0.51546976196302774</v>
      </c>
      <c r="N35" s="6">
        <v>0</v>
      </c>
      <c r="P35" s="121">
        <f t="shared" si="9"/>
        <v>-9.7521566479528961</v>
      </c>
      <c r="Q35" s="92">
        <f t="shared" si="11"/>
        <v>100.49586485738126</v>
      </c>
      <c r="R35" s="93">
        <f t="shared" si="10"/>
        <v>100.49586485738126</v>
      </c>
      <c r="S35" s="6">
        <v>100.86282279697031</v>
      </c>
      <c r="T35" s="6">
        <v>100.17359938652234</v>
      </c>
      <c r="U35" s="6">
        <v>100.49586485738126</v>
      </c>
      <c r="V35" s="6">
        <v>100.45079894929697</v>
      </c>
      <c r="W35" s="6">
        <v>100.05548624894578</v>
      </c>
      <c r="X35" s="6">
        <v>100.52678445126503</v>
      </c>
      <c r="Y35" s="6">
        <v>100.74492325227799</v>
      </c>
      <c r="Z35" s="6">
        <v>103.40888702828777</v>
      </c>
      <c r="AA35" s="6">
        <v>100.56984673392883</v>
      </c>
      <c r="AB35" s="6">
        <v>100</v>
      </c>
    </row>
    <row r="36" spans="2:28">
      <c r="B36" s="7">
        <v>37437</v>
      </c>
      <c r="C36" s="92">
        <f t="shared" si="7"/>
        <v>0.69080452954251026</v>
      </c>
      <c r="D36" s="93">
        <f t="shared" si="8"/>
        <v>0.69080452954251026</v>
      </c>
      <c r="E36" s="6">
        <v>0.86997682558542788</v>
      </c>
      <c r="F36" s="6">
        <v>0.76139257790781567</v>
      </c>
      <c r="G36" s="6">
        <v>0.69080452954251026</v>
      </c>
      <c r="H36" s="6">
        <v>1.3271004949532816</v>
      </c>
      <c r="I36" s="6">
        <v>0.74353409147185356</v>
      </c>
      <c r="J36" s="6">
        <v>0.28746247693238747</v>
      </c>
      <c r="K36" s="6">
        <v>1.0402872910395988</v>
      </c>
      <c r="L36" s="6">
        <v>-6.4377008683295216</v>
      </c>
      <c r="M36" s="6">
        <v>-5.044098890206028</v>
      </c>
      <c r="N36" s="6">
        <v>0</v>
      </c>
      <c r="P36" s="121">
        <f t="shared" si="9"/>
        <v>-9.6699986306997125</v>
      </c>
      <c r="Q36" s="92">
        <f t="shared" si="11"/>
        <v>101.19009484381897</v>
      </c>
      <c r="R36" s="93">
        <f t="shared" si="10"/>
        <v>101.19009484381897</v>
      </c>
      <c r="S36" s="6">
        <v>101.74030598093525</v>
      </c>
      <c r="T36" s="6">
        <v>100.93631373727443</v>
      </c>
      <c r="U36" s="6">
        <v>101.19009484381897</v>
      </c>
      <c r="V36" s="6">
        <v>101.78388199933761</v>
      </c>
      <c r="W36" s="6">
        <v>100.79943289959463</v>
      </c>
      <c r="X36" s="6">
        <v>100.81576123582911</v>
      </c>
      <c r="Y36" s="6">
        <v>101.79295988523903</v>
      </c>
      <c r="Z36" s="6">
        <v>96.751732210137789</v>
      </c>
      <c r="AA36" s="6">
        <v>95.497004210940815</v>
      </c>
      <c r="AB36" s="6">
        <v>100</v>
      </c>
    </row>
    <row r="37" spans="2:28">
      <c r="B37" s="5">
        <v>37468</v>
      </c>
      <c r="C37" s="92">
        <f t="shared" si="7"/>
        <v>0.85907174231010242</v>
      </c>
      <c r="D37" s="93">
        <f t="shared" si="8"/>
        <v>0.85907174231010242</v>
      </c>
      <c r="E37" s="6">
        <v>1.2908021365155786</v>
      </c>
      <c r="F37" s="6">
        <v>0.83180951904606726</v>
      </c>
      <c r="G37" s="6">
        <v>0.85907174231010242</v>
      </c>
      <c r="H37" s="6">
        <v>1.3463745642692704</v>
      </c>
      <c r="I37" s="6">
        <v>0.66445643546590993</v>
      </c>
      <c r="J37" s="6">
        <v>5.1461041359068815E-2</v>
      </c>
      <c r="K37" s="6">
        <v>1.0461036735271767</v>
      </c>
      <c r="L37" s="6">
        <v>-3.6266501832310394</v>
      </c>
      <c r="M37" s="6">
        <v>-4.5286974114529084</v>
      </c>
      <c r="N37" s="6">
        <v>0</v>
      </c>
      <c r="P37" s="121">
        <f t="shared" si="9"/>
        <v>-9.5851020128714239</v>
      </c>
      <c r="Q37" s="92">
        <f t="shared" si="11"/>
        <v>102.05939035463901</v>
      </c>
      <c r="R37" s="93">
        <f t="shared" si="10"/>
        <v>102.05939035463901</v>
      </c>
      <c r="S37" s="6">
        <v>103.05357202423464</v>
      </c>
      <c r="T37" s="6">
        <v>101.77591160311529</v>
      </c>
      <c r="U37" s="6">
        <v>102.05939035463901</v>
      </c>
      <c r="V37" s="6">
        <v>103.15427429710255</v>
      </c>
      <c r="W37" s="6">
        <v>101.46920121840914</v>
      </c>
      <c r="X37" s="6">
        <v>100.86764207641515</v>
      </c>
      <c r="Y37" s="6">
        <v>102.85781977799056</v>
      </c>
      <c r="Z37" s="6">
        <v>93.242885336659626</v>
      </c>
      <c r="AA37" s="6">
        <v>91.172233853224867</v>
      </c>
      <c r="AB37" s="6">
        <v>100</v>
      </c>
    </row>
    <row r="38" spans="2:28">
      <c r="B38" s="5">
        <v>37499</v>
      </c>
      <c r="C38" s="92">
        <f t="shared" si="7"/>
        <v>0.36245522839686295</v>
      </c>
      <c r="D38" s="93">
        <f t="shared" si="8"/>
        <v>0.36245522839686295</v>
      </c>
      <c r="E38" s="6">
        <v>0.40190073956651862</v>
      </c>
      <c r="F38" s="6">
        <v>0.43821082882880003</v>
      </c>
      <c r="G38" s="6">
        <v>0.36245522839686295</v>
      </c>
      <c r="H38" s="6">
        <v>1.5037805019699757</v>
      </c>
      <c r="I38" s="6">
        <v>1.3104242644165653</v>
      </c>
      <c r="J38" s="6">
        <v>2.0256453675665309</v>
      </c>
      <c r="K38" s="6">
        <v>1.43407132981479</v>
      </c>
      <c r="L38" s="6">
        <v>2.2888453151056476</v>
      </c>
      <c r="M38" s="6">
        <v>7.3201889323328384</v>
      </c>
      <c r="N38" s="6">
        <v>0</v>
      </c>
      <c r="P38" s="121">
        <f t="shared" si="9"/>
        <v>-9.5002053950431335</v>
      </c>
      <c r="Q38" s="92">
        <f t="shared" si="11"/>
        <v>102.42930995104936</v>
      </c>
      <c r="R38" s="93">
        <f t="shared" si="10"/>
        <v>102.42930995104936</v>
      </c>
      <c r="S38" s="6">
        <v>103.46774509234976</v>
      </c>
      <c r="T38" s="6">
        <v>102.22190466889937</v>
      </c>
      <c r="U38" s="6">
        <v>102.42930995104936</v>
      </c>
      <c r="V38" s="6">
        <v>104.705488160931</v>
      </c>
      <c r="W38" s="6">
        <v>102.79887825208485</v>
      </c>
      <c r="X38" s="6">
        <v>102.91086279550964</v>
      </c>
      <c r="Y38" s="6">
        <v>104.33287428189928</v>
      </c>
      <c r="Z38" s="6">
        <v>95.377070749357088</v>
      </c>
      <c r="AA38" s="6">
        <v>97.846213625109243</v>
      </c>
      <c r="AB38" s="6">
        <v>100</v>
      </c>
    </row>
    <row r="39" spans="2:28">
      <c r="B39" s="7">
        <v>37529</v>
      </c>
      <c r="C39" s="92">
        <f t="shared" si="7"/>
        <v>0.71746360057058922</v>
      </c>
      <c r="D39" s="93">
        <f t="shared" si="8"/>
        <v>0.71746360057058922</v>
      </c>
      <c r="E39" s="6">
        <v>0.86209596474182693</v>
      </c>
      <c r="F39" s="6">
        <v>0.91574387813639913</v>
      </c>
      <c r="G39" s="6">
        <v>0.71746360057058922</v>
      </c>
      <c r="H39" s="6">
        <v>1.5734454023728972</v>
      </c>
      <c r="I39" s="6">
        <v>1.4314040077443968</v>
      </c>
      <c r="J39" s="6">
        <v>1.4780987105361909</v>
      </c>
      <c r="K39" s="6">
        <v>1.3420890948922182</v>
      </c>
      <c r="L39" s="6">
        <v>-1.4099394460568293</v>
      </c>
      <c r="M39" s="6">
        <v>-2.7726879875154764</v>
      </c>
      <c r="N39" s="6">
        <v>0</v>
      </c>
      <c r="P39" s="121">
        <f t="shared" si="9"/>
        <v>-9.41804737778995</v>
      </c>
      <c r="Q39" s="92">
        <f t="shared" si="11"/>
        <v>103.16420296626377</v>
      </c>
      <c r="R39" s="93">
        <f t="shared" si="10"/>
        <v>103.16420296626377</v>
      </c>
      <c r="S39" s="6">
        <v>104.35973634760026</v>
      </c>
      <c r="T39" s="6">
        <v>103.15799550301924</v>
      </c>
      <c r="U39" s="6">
        <v>103.16420296626377</v>
      </c>
      <c r="V39" s="6">
        <v>106.35297185043126</v>
      </c>
      <c r="W39" s="6">
        <v>104.27034551530147</v>
      </c>
      <c r="X39" s="6">
        <v>104.43198693149174</v>
      </c>
      <c r="Y39" s="6">
        <v>105.73311441002426</v>
      </c>
      <c r="Z39" s="6">
        <v>94.032311806368369</v>
      </c>
      <c r="AA39" s="6">
        <v>95.133243413687111</v>
      </c>
      <c r="AB39" s="6">
        <v>100</v>
      </c>
    </row>
    <row r="40" spans="2:28">
      <c r="B40" s="5">
        <v>37560</v>
      </c>
      <c r="C40" s="92">
        <f t="shared" si="7"/>
        <v>0.17619029340225634</v>
      </c>
      <c r="D40" s="93">
        <f t="shared" si="8"/>
        <v>0.17619029340225634</v>
      </c>
      <c r="E40" s="6">
        <v>0.22557698240524005</v>
      </c>
      <c r="F40" s="6">
        <v>0.16064625721028403</v>
      </c>
      <c r="G40" s="6">
        <v>0.17619029340225634</v>
      </c>
      <c r="H40" s="6">
        <v>-0.34982373649454779</v>
      </c>
      <c r="I40" s="6">
        <v>-1.0054312137597776</v>
      </c>
      <c r="J40" s="6">
        <v>-0.89903939040696379</v>
      </c>
      <c r="K40" s="6">
        <v>-0.25501131098646379</v>
      </c>
      <c r="L40" s="6">
        <v>-0.97853936871944436</v>
      </c>
      <c r="M40" s="6">
        <v>6.152841837280798</v>
      </c>
      <c r="N40" s="6">
        <v>0</v>
      </c>
      <c r="P40" s="121">
        <f t="shared" si="9"/>
        <v>-9.3331507599616597</v>
      </c>
      <c r="Q40" s="92">
        <f t="shared" si="11"/>
        <v>103.34596827815614</v>
      </c>
      <c r="R40" s="93">
        <f t="shared" si="10"/>
        <v>103.34596827815614</v>
      </c>
      <c r="S40" s="6">
        <v>104.59514789169924</v>
      </c>
      <c r="T40" s="6">
        <v>103.32371496180799</v>
      </c>
      <c r="U40" s="6">
        <v>103.34596827815614</v>
      </c>
      <c r="V40" s="6">
        <v>105.98092391043109</v>
      </c>
      <c r="W40" s="6">
        <v>103.22197891479546</v>
      </c>
      <c r="X40" s="6">
        <v>103.49310223279298</v>
      </c>
      <c r="Y40" s="6">
        <v>105.46348300882043</v>
      </c>
      <c r="Z40" s="6">
        <v>93.11216861602604</v>
      </c>
      <c r="AA40" s="6">
        <v>100.98664141560663</v>
      </c>
      <c r="AB40" s="6">
        <v>100</v>
      </c>
    </row>
    <row r="41" spans="2:28">
      <c r="B41" s="7">
        <v>37590</v>
      </c>
      <c r="C41" s="92">
        <f t="shared" si="7"/>
        <v>-5.9556287096207416E-2</v>
      </c>
      <c r="D41" s="93">
        <f t="shared" si="8"/>
        <v>-5.9556287096207416E-2</v>
      </c>
      <c r="E41" s="6">
        <v>-0.33147678422885685</v>
      </c>
      <c r="F41" s="6">
        <v>9.9744356619146934E-2</v>
      </c>
      <c r="G41" s="6">
        <v>-5.9556287096207416E-2</v>
      </c>
      <c r="H41" s="6">
        <v>-0.12801664058442741</v>
      </c>
      <c r="I41" s="6">
        <v>1.0532400337430081</v>
      </c>
      <c r="J41" s="6">
        <v>1.117024463595051</v>
      </c>
      <c r="K41" s="6">
        <v>0.12040420819452446</v>
      </c>
      <c r="L41" s="6">
        <v>6.1191907143184787</v>
      </c>
      <c r="M41" s="6">
        <v>2.8388029500180156</v>
      </c>
      <c r="N41" s="6">
        <v>0</v>
      </c>
      <c r="P41" s="121">
        <f t="shared" si="9"/>
        <v>-9.2509927427084762</v>
      </c>
      <c r="Q41" s="92">
        <f t="shared" si="11"/>
        <v>103.28441925658605</v>
      </c>
      <c r="R41" s="93">
        <f t="shared" si="10"/>
        <v>103.28441925658605</v>
      </c>
      <c r="S41" s="6">
        <v>104.24843925900842</v>
      </c>
      <c r="T41" s="6">
        <v>103.42677453653165</v>
      </c>
      <c r="U41" s="6">
        <v>103.28441925658605</v>
      </c>
      <c r="V41" s="6">
        <v>105.84525069198061</v>
      </c>
      <c r="W41" s="6">
        <v>104.30915412034786</v>
      </c>
      <c r="X41" s="6">
        <v>104.64914550286672</v>
      </c>
      <c r="Y41" s="6">
        <v>105.59046548047156</v>
      </c>
      <c r="Z41" s="6">
        <v>98.809879791878473</v>
      </c>
      <c r="AA41" s="6">
        <v>103.85345317123698</v>
      </c>
      <c r="AB41" s="6">
        <v>100</v>
      </c>
    </row>
    <row r="42" spans="2:28">
      <c r="B42" s="5">
        <v>37621</v>
      </c>
      <c r="C42" s="92">
        <f t="shared" si="7"/>
        <v>0.77851604956296061</v>
      </c>
      <c r="D42" s="93">
        <f t="shared" si="8"/>
        <v>0.77851604956296061</v>
      </c>
      <c r="E42" s="6">
        <v>1.0262324086876662</v>
      </c>
      <c r="F42" s="6">
        <v>0.8700338863948387</v>
      </c>
      <c r="G42" s="6">
        <v>0.77851604956296061</v>
      </c>
      <c r="H42" s="6">
        <v>1.7736051452801327</v>
      </c>
      <c r="I42" s="6">
        <v>1.9131624671516967</v>
      </c>
      <c r="J42" s="6">
        <v>2.3372519238772149</v>
      </c>
      <c r="K42" s="6">
        <v>1.6902947024603154</v>
      </c>
      <c r="L42" s="6">
        <v>1.42926314697287</v>
      </c>
      <c r="M42" s="6">
        <v>3.0722397917533506</v>
      </c>
      <c r="N42" s="6">
        <v>0</v>
      </c>
      <c r="P42" s="121">
        <f t="shared" si="9"/>
        <v>-9.1660961248801875</v>
      </c>
      <c r="Q42" s="92">
        <f t="shared" si="11"/>
        <v>104.08850503719647</v>
      </c>
      <c r="R42" s="93">
        <f t="shared" si="10"/>
        <v>104.08850503719647</v>
      </c>
      <c r="S42" s="6">
        <v>105.31827052823544</v>
      </c>
      <c r="T42" s="6">
        <v>104.32662252260467</v>
      </c>
      <c r="U42" s="6">
        <v>104.08850503719647</v>
      </c>
      <c r="V42" s="6">
        <v>107.72252750428824</v>
      </c>
      <c r="W42" s="6">
        <v>106.30475770678177</v>
      </c>
      <c r="X42" s="6">
        <v>107.09505966945353</v>
      </c>
      <c r="Y42" s="6">
        <v>107.37525552479116</v>
      </c>
      <c r="Z42" s="6">
        <v>100.22213298931199</v>
      </c>
      <c r="AA42" s="6">
        <v>107.04408028467365</v>
      </c>
      <c r="AB42" s="6">
        <v>100</v>
      </c>
    </row>
    <row r="43" spans="2:28">
      <c r="B43" s="5">
        <v>37652</v>
      </c>
      <c r="C43" s="92">
        <f t="shared" si="7"/>
        <v>0.14815298701829072</v>
      </c>
      <c r="D43" s="93">
        <f t="shared" si="8"/>
        <v>0.14815298701829072</v>
      </c>
      <c r="E43" s="6">
        <v>-1.0926358512997059E-2</v>
      </c>
      <c r="F43" s="6">
        <v>0.33490749924975916</v>
      </c>
      <c r="G43" s="6">
        <v>0.14815298701829072</v>
      </c>
      <c r="H43" s="6">
        <v>0.48854625223033743</v>
      </c>
      <c r="I43" s="6">
        <v>0.97638683646681379</v>
      </c>
      <c r="J43" s="6">
        <v>0.54554284677004183</v>
      </c>
      <c r="K43" s="6">
        <v>0.46000255087943476</v>
      </c>
      <c r="L43" s="6">
        <v>2.8907055844919816</v>
      </c>
      <c r="M43" s="6">
        <v>1.646516076286586</v>
      </c>
      <c r="N43" s="6">
        <v>1.2483699999999986</v>
      </c>
      <c r="P43" s="121">
        <f t="shared" si="9"/>
        <v>-9.0811995070518972</v>
      </c>
      <c r="Q43" s="92">
        <f t="shared" si="11"/>
        <v>104.24271526655176</v>
      </c>
      <c r="R43" s="93">
        <f t="shared" si="10"/>
        <v>104.24271526655176</v>
      </c>
      <c r="S43" s="6">
        <v>105.30676307641784</v>
      </c>
      <c r="T43" s="6">
        <v>104.67602020514686</v>
      </c>
      <c r="U43" s="6">
        <v>104.24271526655176</v>
      </c>
      <c r="V43" s="6">
        <v>108.24880187521823</v>
      </c>
      <c r="W43" s="6">
        <v>107.34270336756873</v>
      </c>
      <c r="X43" s="6">
        <v>107.67930910672435</v>
      </c>
      <c r="Y43" s="6">
        <v>107.86918443921851</v>
      </c>
      <c r="Z43" s="6">
        <v>103.11925978453101</v>
      </c>
      <c r="AA43" s="6">
        <v>108.80657827527392</v>
      </c>
      <c r="AB43" s="6">
        <v>101.24836999999999</v>
      </c>
    </row>
    <row r="44" spans="2:28">
      <c r="B44" s="7">
        <v>37680</v>
      </c>
      <c r="C44" s="92">
        <f t="shared" si="7"/>
        <v>0.46121647773951224</v>
      </c>
      <c r="D44" s="93">
        <f t="shared" si="8"/>
        <v>0.46121647773951224</v>
      </c>
      <c r="E44" s="6">
        <v>0.47585115762269758</v>
      </c>
      <c r="F44" s="6">
        <v>0.59573017261960182</v>
      </c>
      <c r="G44" s="6">
        <v>0.46121647773951224</v>
      </c>
      <c r="H44" s="6">
        <v>0.99483091326715289</v>
      </c>
      <c r="I44" s="6">
        <v>0.96495779979504093</v>
      </c>
      <c r="J44" s="6">
        <v>1.4277517857068434</v>
      </c>
      <c r="K44" s="6">
        <v>1.0022868331746704</v>
      </c>
      <c r="L44" s="6">
        <v>1.3894182173689762</v>
      </c>
      <c r="M44" s="6">
        <v>3.2014129638921363</v>
      </c>
      <c r="N44" s="6">
        <v>0.87540174720837083</v>
      </c>
      <c r="P44" s="121">
        <f t="shared" si="9"/>
        <v>-9.0045186909489257</v>
      </c>
      <c r="Q44" s="92">
        <f t="shared" si="11"/>
        <v>104.72349984620418</v>
      </c>
      <c r="R44" s="93">
        <f t="shared" si="10"/>
        <v>104.72349984620418</v>
      </c>
      <c r="S44" s="6">
        <v>105.80786652757196</v>
      </c>
      <c r="T44" s="6">
        <v>105.29960684100631</v>
      </c>
      <c r="U44" s="6">
        <v>104.72349984620418</v>
      </c>
      <c r="V44" s="6">
        <v>109.32569441951422</v>
      </c>
      <c r="W44" s="6">
        <v>108.37851515622494</v>
      </c>
      <c r="X44" s="6">
        <v>109.2167023653324</v>
      </c>
      <c r="Y44" s="6">
        <v>108.95034307190571</v>
      </c>
      <c r="Z44" s="6">
        <v>104.55201756559333</v>
      </c>
      <c r="AA44" s="6">
        <v>112.28992617774598</v>
      </c>
      <c r="AB44" s="6">
        <v>102.1347</v>
      </c>
    </row>
    <row r="45" spans="2:28">
      <c r="B45" s="5">
        <v>37711</v>
      </c>
      <c r="C45" s="92">
        <f t="shared" si="7"/>
        <v>3.3453643088887652E-2</v>
      </c>
      <c r="D45" s="93">
        <f t="shared" si="8"/>
        <v>3.3453643088887652E-2</v>
      </c>
      <c r="E45" s="6">
        <v>0.15717006360866925</v>
      </c>
      <c r="F45" s="6">
        <v>-7.7476599400905233E-2</v>
      </c>
      <c r="G45" s="6">
        <v>3.3453643088887652E-2</v>
      </c>
      <c r="H45" s="6">
        <v>-0.21743130239912922</v>
      </c>
      <c r="I45" s="6">
        <v>-0.2027717037977439</v>
      </c>
      <c r="J45" s="6">
        <v>-5.604787056689986E-5</v>
      </c>
      <c r="K45" s="6">
        <v>-8.5931745598510911E-2</v>
      </c>
      <c r="L45" s="6">
        <v>2.598569969356479</v>
      </c>
      <c r="M45" s="6">
        <v>1.6190403824909883</v>
      </c>
      <c r="N45" s="6">
        <v>1.0724269029037226</v>
      </c>
      <c r="P45" s="121">
        <f t="shared" si="9"/>
        <v>-8.9196220731206353</v>
      </c>
      <c r="Q45" s="92">
        <f t="shared" si="11"/>
        <v>104.75853367207291</v>
      </c>
      <c r="R45" s="93">
        <f t="shared" si="10"/>
        <v>104.75853367207291</v>
      </c>
      <c r="S45" s="6">
        <v>105.97416481869632</v>
      </c>
      <c r="T45" s="6">
        <v>105.21802428644338</v>
      </c>
      <c r="U45" s="6">
        <v>104.75853367207291</v>
      </c>
      <c r="V45" s="6">
        <v>109.08798613828098</v>
      </c>
      <c r="W45" s="6">
        <v>108.15875419449196</v>
      </c>
      <c r="X45" s="6">
        <v>109.21664115169642</v>
      </c>
      <c r="Y45" s="6">
        <v>108.85672014026845</v>
      </c>
      <c r="Z45" s="6">
        <v>107.26887489640914</v>
      </c>
      <c r="AA45" s="6">
        <v>114.10794542803301</v>
      </c>
      <c r="AB45" s="6">
        <v>103.23002000000001</v>
      </c>
    </row>
    <row r="46" spans="2:28">
      <c r="B46" s="7">
        <v>37741</v>
      </c>
      <c r="C46" s="92">
        <f t="shared" si="7"/>
        <v>0.15788648370604896</v>
      </c>
      <c r="D46" s="93">
        <f t="shared" si="8"/>
        <v>0.15788648370604896</v>
      </c>
      <c r="E46" s="6">
        <v>0.19590275778047506</v>
      </c>
      <c r="F46" s="6">
        <v>9.6734756789507159E-2</v>
      </c>
      <c r="G46" s="6">
        <v>0.15788648370604896</v>
      </c>
      <c r="H46" s="6">
        <v>0.29566393493563048</v>
      </c>
      <c r="I46" s="6">
        <v>0.89436680223364817</v>
      </c>
      <c r="J46" s="6">
        <v>1.4450587973025231</v>
      </c>
      <c r="K46" s="6">
        <v>0.54345929347778821</v>
      </c>
      <c r="L46" s="6">
        <v>5.7982557444944405</v>
      </c>
      <c r="M46" s="6">
        <v>5.6977789181321681</v>
      </c>
      <c r="N46" s="6">
        <v>5.1876963697188083</v>
      </c>
      <c r="P46" s="121">
        <f t="shared" si="9"/>
        <v>-8.8374640558674518</v>
      </c>
      <c r="Q46" s="92">
        <f t="shared" si="11"/>
        <v>104.92393323726976</v>
      </c>
      <c r="R46" s="93">
        <f t="shared" si="10"/>
        <v>104.92393323726976</v>
      </c>
      <c r="S46" s="6">
        <v>106.18177113011097</v>
      </c>
      <c r="T46" s="6">
        <v>105.3198066863356</v>
      </c>
      <c r="U46" s="6">
        <v>104.92393323726976</v>
      </c>
      <c r="V46" s="6">
        <v>109.41051997063946</v>
      </c>
      <c r="W46" s="6">
        <v>109.12609018571699</v>
      </c>
      <c r="X46" s="6">
        <v>110.79488583277734</v>
      </c>
      <c r="Y46" s="6">
        <v>109.44831210244584</v>
      </c>
      <c r="Z46" s="6">
        <v>113.48859859714474</v>
      </c>
      <c r="AA46" s="6">
        <v>120.60956388654523</v>
      </c>
      <c r="AB46" s="6">
        <v>108.58528000000001</v>
      </c>
    </row>
    <row r="47" spans="2:28">
      <c r="B47" s="5">
        <v>37772</v>
      </c>
      <c r="C47" s="92">
        <f t="shared" si="7"/>
        <v>0.50061566214205655</v>
      </c>
      <c r="D47" s="93">
        <f t="shared" si="8"/>
        <v>0.50061566214205655</v>
      </c>
      <c r="E47" s="6">
        <v>0.43277567654236293</v>
      </c>
      <c r="F47" s="6">
        <v>0.69334034390104993</v>
      </c>
      <c r="G47" s="6">
        <v>0.50061566214205655</v>
      </c>
      <c r="H47" s="6">
        <v>1.9624598923641212</v>
      </c>
      <c r="I47" s="6">
        <v>2.1157456775247274</v>
      </c>
      <c r="J47" s="6">
        <v>2.5195237970170759</v>
      </c>
      <c r="K47" s="6">
        <v>1.7250560703489626</v>
      </c>
      <c r="L47" s="6">
        <v>1.126209206910822</v>
      </c>
      <c r="M47" s="6">
        <v>4.1464757466052937</v>
      </c>
      <c r="N47" s="6">
        <v>2.8446765528439943</v>
      </c>
      <c r="P47" s="121">
        <f t="shared" si="9"/>
        <v>-8.7525674380391632</v>
      </c>
      <c r="Q47" s="92">
        <f t="shared" si="11"/>
        <v>105.44919888039101</v>
      </c>
      <c r="R47" s="93">
        <f t="shared" si="10"/>
        <v>105.44919888039101</v>
      </c>
      <c r="S47" s="6">
        <v>106.64130000848398</v>
      </c>
      <c r="T47" s="6">
        <v>106.05003139621056</v>
      </c>
      <c r="U47" s="6">
        <v>105.44919888039101</v>
      </c>
      <c r="V47" s="6">
        <v>111.55765754309029</v>
      </c>
      <c r="W47" s="6">
        <v>111.43492072187303</v>
      </c>
      <c r="X47" s="6">
        <v>113.58638934721206</v>
      </c>
      <c r="Y47" s="6">
        <v>111.33635685426356</v>
      </c>
      <c r="Z47" s="6">
        <v>114.76671764333986</v>
      </c>
      <c r="AA47" s="6">
        <v>125.61061020118724</v>
      </c>
      <c r="AB47" s="6">
        <v>111.67418000000001</v>
      </c>
    </row>
    <row r="48" spans="2:28">
      <c r="B48" s="5">
        <v>37802</v>
      </c>
      <c r="C48" s="92">
        <f t="shared" si="7"/>
        <v>0.14323913676177469</v>
      </c>
      <c r="D48" s="93">
        <f t="shared" si="8"/>
        <v>0.14323913676177469</v>
      </c>
      <c r="E48" s="6">
        <v>0.14475814819836508</v>
      </c>
      <c r="F48" s="6">
        <v>0.18473146365558524</v>
      </c>
      <c r="G48" s="6">
        <v>0.14323913676177469</v>
      </c>
      <c r="H48" s="6">
        <v>-0.56090144576524947</v>
      </c>
      <c r="I48" s="6">
        <v>0.24410957562777114</v>
      </c>
      <c r="J48" s="6">
        <v>-0.12368064673129453</v>
      </c>
      <c r="K48" s="6">
        <v>-0.32205938721289185</v>
      </c>
      <c r="L48" s="6">
        <v>2.8124557994803956</v>
      </c>
      <c r="M48" s="6">
        <v>-3.5363901551455079E-3</v>
      </c>
      <c r="N48" s="6">
        <v>-0.33601321272294093</v>
      </c>
      <c r="P48" s="121">
        <f t="shared" si="9"/>
        <v>-8.6704094207859796</v>
      </c>
      <c r="Q48" s="92">
        <f t="shared" si="11"/>
        <v>105.60024340258948</v>
      </c>
      <c r="R48" s="93">
        <f t="shared" si="10"/>
        <v>105.60024340258948</v>
      </c>
      <c r="S48" s="6">
        <v>106.79567197959092</v>
      </c>
      <c r="T48" s="6">
        <v>106.24593917141598</v>
      </c>
      <c r="U48" s="6">
        <v>105.60024340258948</v>
      </c>
      <c r="V48" s="6">
        <v>110.93192902906925</v>
      </c>
      <c r="W48" s="6">
        <v>111.70694403394833</v>
      </c>
      <c r="X48" s="6">
        <v>113.4459049662687</v>
      </c>
      <c r="Y48" s="6">
        <v>110.97778766563356</v>
      </c>
      <c r="Z48" s="6">
        <v>117.99448084957326</v>
      </c>
      <c r="AA48" s="6">
        <v>125.60616811993427</v>
      </c>
      <c r="AB48" s="6">
        <v>111.29894</v>
      </c>
    </row>
    <row r="49" spans="2:28">
      <c r="B49" s="7">
        <v>37833</v>
      </c>
      <c r="C49" s="92">
        <f t="shared" si="7"/>
        <v>-0.32848496516042486</v>
      </c>
      <c r="D49" s="93">
        <f t="shared" si="8"/>
        <v>-0.32848496516042486</v>
      </c>
      <c r="E49" s="6">
        <v>-0.60851022924159892</v>
      </c>
      <c r="F49" s="6">
        <v>-0.4698255133886331</v>
      </c>
      <c r="G49" s="6">
        <v>-0.32848496516042491</v>
      </c>
      <c r="H49" s="6">
        <v>-1.9900529349436868</v>
      </c>
      <c r="I49" s="6">
        <v>-1.0562465192000992</v>
      </c>
      <c r="J49" s="6">
        <v>-2.6920725425588654</v>
      </c>
      <c r="K49" s="6">
        <v>-2.0627249207875953</v>
      </c>
      <c r="L49" s="6">
        <v>-1.251185657705145</v>
      </c>
      <c r="M49" s="6">
        <v>-3.5407257179135287</v>
      </c>
      <c r="N49" s="6">
        <v>-1.7287316482977988</v>
      </c>
      <c r="P49" s="121">
        <f t="shared" si="9"/>
        <v>-8.5855128029576893</v>
      </c>
      <c r="Q49" s="92">
        <f t="shared" si="11"/>
        <v>105.25336247983917</v>
      </c>
      <c r="R49" s="93">
        <f t="shared" ref="R49:R112" si="12">R48*(1+D49/100)</f>
        <v>105.25336247983917</v>
      </c>
      <c r="S49" s="6">
        <v>106.14580939120781</v>
      </c>
      <c r="T49" s="6">
        <v>105.74676864224931</v>
      </c>
      <c r="U49" s="6">
        <v>105.25336247983917</v>
      </c>
      <c r="V49" s="6">
        <v>108.72432491963662</v>
      </c>
      <c r="W49" s="6">
        <v>110.52704332588495</v>
      </c>
      <c r="X49" s="6">
        <v>110.39185890801436</v>
      </c>
      <c r="Y49" s="6">
        <v>108.6886211829158</v>
      </c>
      <c r="Z49" s="6">
        <v>116.51815082829977</v>
      </c>
      <c r="AA49" s="6">
        <v>121.15879822202605</v>
      </c>
      <c r="AB49" s="6">
        <v>109.37488000000002</v>
      </c>
    </row>
    <row r="50" spans="2:28">
      <c r="B50" s="5">
        <v>37864</v>
      </c>
      <c r="C50" s="92">
        <f t="shared" si="7"/>
        <v>-7.2017138285229709E-2</v>
      </c>
      <c r="D50" s="93">
        <f t="shared" si="8"/>
        <v>-7.2017138285229709E-2</v>
      </c>
      <c r="E50" s="6">
        <v>7.7122288944186934E-2</v>
      </c>
      <c r="F50" s="6">
        <v>-0.10290518725204478</v>
      </c>
      <c r="G50" s="6">
        <v>-7.2017138285229709E-2</v>
      </c>
      <c r="H50" s="6">
        <v>-0.37991378976247603</v>
      </c>
      <c r="I50" s="6">
        <v>0.14286687938358522</v>
      </c>
      <c r="J50" s="6">
        <v>0.34523269406432355</v>
      </c>
      <c r="K50" s="6">
        <v>-4.626569024388516E-2</v>
      </c>
      <c r="L50" s="6">
        <v>1.1944479069665004</v>
      </c>
      <c r="M50" s="6">
        <v>2.4347845679856261</v>
      </c>
      <c r="N50" s="6">
        <v>-0.50936741599167945</v>
      </c>
      <c r="P50" s="121">
        <f t="shared" si="9"/>
        <v>-8.5006161851293989</v>
      </c>
      <c r="Q50" s="92">
        <f t="shared" si="11"/>
        <v>105.1775620202322</v>
      </c>
      <c r="R50" s="93">
        <f t="shared" si="12"/>
        <v>105.1775620202322</v>
      </c>
      <c r="S50" s="6">
        <v>106.22767146902864</v>
      </c>
      <c r="T50" s="6">
        <v>105.63794973196501</v>
      </c>
      <c r="U50" s="6">
        <v>105.1775620202322</v>
      </c>
      <c r="V50" s="6">
        <v>108.31126621644076</v>
      </c>
      <c r="W50" s="6">
        <v>110.68494986355958</v>
      </c>
      <c r="X50" s="6">
        <v>110.77296769655018</v>
      </c>
      <c r="Y50" s="6">
        <v>108.63833564210896</v>
      </c>
      <c r="Z50" s="6">
        <v>117.90989944210446</v>
      </c>
      <c r="AA50" s="6">
        <v>124.10875394389278</v>
      </c>
      <c r="AB50" s="6">
        <v>108.81776000000002</v>
      </c>
    </row>
    <row r="51" spans="2:28">
      <c r="B51" s="7">
        <v>37894</v>
      </c>
      <c r="C51" s="92">
        <f t="shared" si="7"/>
        <v>0.68963220053770424</v>
      </c>
      <c r="D51" s="93">
        <f t="shared" si="8"/>
        <v>0.68963220053770424</v>
      </c>
      <c r="E51" s="6">
        <v>0.97933777705956349</v>
      </c>
      <c r="F51" s="6">
        <v>0.82544681524732155</v>
      </c>
      <c r="G51" s="6">
        <v>0.68963220053770424</v>
      </c>
      <c r="H51" s="6">
        <v>1.5954105776425198</v>
      </c>
      <c r="I51" s="6">
        <v>1.6832723366980051</v>
      </c>
      <c r="J51" s="6">
        <v>2.5309399731755944</v>
      </c>
      <c r="K51" s="6">
        <v>1.7624070167939543</v>
      </c>
      <c r="L51" s="6">
        <v>2.7157452358524958</v>
      </c>
      <c r="M51" s="6">
        <v>3.5067883793766796</v>
      </c>
      <c r="N51" s="6">
        <v>3.9717321878340428</v>
      </c>
      <c r="P51" s="121">
        <f t="shared" si="9"/>
        <v>-8.4184581678762154</v>
      </c>
      <c r="Q51" s="92">
        <f t="shared" si="11"/>
        <v>105.90290035566424</v>
      </c>
      <c r="R51" s="93">
        <f t="shared" si="12"/>
        <v>105.90290035566424</v>
      </c>
      <c r="S51" s="6">
        <v>107.26799918541556</v>
      </c>
      <c r="T51" s="6">
        <v>106.50993482372009</v>
      </c>
      <c r="U51" s="6">
        <v>105.90290035566424</v>
      </c>
      <c r="V51" s="6">
        <v>110.03927561443641</v>
      </c>
      <c r="W51" s="6">
        <v>112.54807900550094</v>
      </c>
      <c r="X51" s="6">
        <v>113.57656501545506</v>
      </c>
      <c r="Y51" s="6">
        <v>110.55298529239366</v>
      </c>
      <c r="Z51" s="6">
        <v>121.11203191880188</v>
      </c>
      <c r="AA51" s="6">
        <v>128.46098530498639</v>
      </c>
      <c r="AB51" s="6">
        <v>113.13971000000002</v>
      </c>
    </row>
    <row r="52" spans="2:28">
      <c r="B52" s="5">
        <v>37925</v>
      </c>
      <c r="C52" s="92">
        <f t="shared" si="7"/>
        <v>-0.27114892991030315</v>
      </c>
      <c r="D52" s="93">
        <f t="shared" si="8"/>
        <v>-0.27114892991030315</v>
      </c>
      <c r="E52" s="6">
        <v>-0.39174422666796715</v>
      </c>
      <c r="F52" s="6">
        <v>-0.54137138972144561</v>
      </c>
      <c r="G52" s="6">
        <v>-0.27114892991030315</v>
      </c>
      <c r="H52" s="6">
        <v>-1.090115029963501</v>
      </c>
      <c r="I52" s="6">
        <v>-1.0338696876689091</v>
      </c>
      <c r="J52" s="6">
        <v>-0.97691096769154662</v>
      </c>
      <c r="K52" s="6">
        <v>-0.94207786026941909</v>
      </c>
      <c r="L52" s="6">
        <v>2.0669027497566272</v>
      </c>
      <c r="M52" s="6">
        <v>0.48744859302172205</v>
      </c>
      <c r="N52" s="6">
        <v>-0.83077815914501807</v>
      </c>
      <c r="P52" s="121">
        <f t="shared" si="9"/>
        <v>-8.3335615500479268</v>
      </c>
      <c r="Q52" s="92">
        <f t="shared" si="11"/>
        <v>105.61574577460588</v>
      </c>
      <c r="R52" s="93">
        <f t="shared" si="12"/>
        <v>105.61574577460588</v>
      </c>
      <c r="S52" s="6">
        <v>106.84778299154445</v>
      </c>
      <c r="T52" s="6">
        <v>105.9333205093735</v>
      </c>
      <c r="U52" s="6">
        <v>105.61574577460588</v>
      </c>
      <c r="V52" s="6">
        <v>108.83972093210048</v>
      </c>
      <c r="W52" s="6">
        <v>111.38447853260941</v>
      </c>
      <c r="X52" s="6">
        <v>112.46702309509176</v>
      </c>
      <c r="Y52" s="6">
        <v>109.51149009408711</v>
      </c>
      <c r="Z52" s="6">
        <v>123.61529983681771</v>
      </c>
      <c r="AA52" s="6">
        <v>129.0871665704374</v>
      </c>
      <c r="AB52" s="6">
        <v>112.19977000000002</v>
      </c>
    </row>
    <row r="53" spans="2:28">
      <c r="B53" s="5">
        <v>37955</v>
      </c>
      <c r="C53" s="92">
        <f t="shared" si="7"/>
        <v>-7.4662056100072149E-3</v>
      </c>
      <c r="D53" s="93">
        <f t="shared" si="8"/>
        <v>-7.4662056100072149E-3</v>
      </c>
      <c r="E53" s="6">
        <v>-7.0859992550853512E-2</v>
      </c>
      <c r="F53" s="6">
        <v>-0.10076195899946239</v>
      </c>
      <c r="G53" s="6">
        <v>-7.4662056100072149E-3</v>
      </c>
      <c r="H53" s="6">
        <v>0.10237600379148226</v>
      </c>
      <c r="I53" s="6">
        <v>-0.16234948505061686</v>
      </c>
      <c r="J53" s="6">
        <v>0.26063168168088957</v>
      </c>
      <c r="K53" s="6">
        <v>0.14195654169109062</v>
      </c>
      <c r="L53" s="6">
        <v>1.3643149397324139</v>
      </c>
      <c r="M53" s="6">
        <v>1.2305606419547477</v>
      </c>
      <c r="N53" s="6">
        <v>0.99704304206682526</v>
      </c>
      <c r="P53" s="121">
        <f t="shared" si="9"/>
        <v>-8.2514035327947433</v>
      </c>
      <c r="Q53" s="92">
        <f t="shared" si="11"/>
        <v>105.6078602858698</v>
      </c>
      <c r="R53" s="93">
        <f t="shared" si="12"/>
        <v>105.6078602858698</v>
      </c>
      <c r="S53" s="6">
        <v>106.77207066047589</v>
      </c>
      <c r="T53" s="6">
        <v>105.82658002039508</v>
      </c>
      <c r="U53" s="6">
        <v>105.6078602858698</v>
      </c>
      <c r="V53" s="6">
        <v>108.95114668892856</v>
      </c>
      <c r="W53" s="6">
        <v>111.2036464052854</v>
      </c>
      <c r="X53" s="6">
        <v>112.76014778872093</v>
      </c>
      <c r="Y53" s="6">
        <v>109.66694881817905</v>
      </c>
      <c r="Z53" s="6">
        <v>125.30180184028643</v>
      </c>
      <c r="AA53" s="6">
        <v>130.67566243606777</v>
      </c>
      <c r="AB53" s="6">
        <v>113.31845</v>
      </c>
    </row>
    <row r="54" spans="2:28">
      <c r="B54" s="7">
        <v>37986</v>
      </c>
      <c r="C54" s="92">
        <f t="shared" si="7"/>
        <v>0.55206448550952913</v>
      </c>
      <c r="D54" s="93">
        <f t="shared" si="8"/>
        <v>0.55206448550952913</v>
      </c>
      <c r="E54" s="6">
        <v>0.64073498144092689</v>
      </c>
      <c r="F54" s="6">
        <v>0.68353043518158962</v>
      </c>
      <c r="G54" s="6">
        <v>0.55206448550952913</v>
      </c>
      <c r="H54" s="6">
        <v>0.9354927075325481</v>
      </c>
      <c r="I54" s="6">
        <v>1.1565123793582988</v>
      </c>
      <c r="J54" s="6">
        <v>1.1472465502656348</v>
      </c>
      <c r="K54" s="6">
        <v>0.95509616449267476</v>
      </c>
      <c r="L54" s="6">
        <v>2.3550749342024613</v>
      </c>
      <c r="M54" s="6">
        <v>2.9361808990358895</v>
      </c>
      <c r="N54" s="6">
        <v>3.1764642033137669</v>
      </c>
      <c r="P54" s="121">
        <f t="shared" si="9"/>
        <v>-8.1665069149664529</v>
      </c>
      <c r="Q54" s="92">
        <f t="shared" si="11"/>
        <v>106.19088377641461</v>
      </c>
      <c r="R54" s="93">
        <f t="shared" si="12"/>
        <v>106.19088377641461</v>
      </c>
      <c r="S54" s="6">
        <v>107.45619666760638</v>
      </c>
      <c r="T54" s="6">
        <v>106.54993690334628</v>
      </c>
      <c r="U54" s="6">
        <v>106.19088377641461</v>
      </c>
      <c r="V54" s="6">
        <v>109.97037672097657</v>
      </c>
      <c r="W54" s="6">
        <v>112.48973034226036</v>
      </c>
      <c r="X54" s="6">
        <v>114.05378469430146</v>
      </c>
      <c r="Y54" s="6">
        <v>110.71437364005763</v>
      </c>
      <c r="Z54" s="6">
        <v>128.25275316753104</v>
      </c>
      <c r="AA54" s="6">
        <v>134.5125362762042</v>
      </c>
      <c r="AB54" s="6">
        <v>116.91797000000001</v>
      </c>
    </row>
    <row r="55" spans="2:28">
      <c r="B55" s="5">
        <v>38017</v>
      </c>
      <c r="C55" s="92">
        <f t="shared" si="7"/>
        <v>0.2205940939668416</v>
      </c>
      <c r="D55" s="93">
        <f t="shared" si="8"/>
        <v>0.2205940939668416</v>
      </c>
      <c r="E55" s="6">
        <v>0.21351318921984941</v>
      </c>
      <c r="F55" s="6">
        <v>0.27950902304996195</v>
      </c>
      <c r="G55" s="6">
        <v>0.2205940939668416</v>
      </c>
      <c r="H55" s="6">
        <v>0.55040177794376532</v>
      </c>
      <c r="I55" s="6">
        <v>0.48192894056806601</v>
      </c>
      <c r="J55" s="6">
        <v>0.65538356397820685</v>
      </c>
      <c r="K55" s="6">
        <v>0.5826209116819081</v>
      </c>
      <c r="L55" s="6">
        <v>1.6227450771403307</v>
      </c>
      <c r="M55" s="6">
        <v>0.51363285621022214</v>
      </c>
      <c r="N55" s="6">
        <v>-0.27757067626130727</v>
      </c>
      <c r="P55" s="121">
        <f t="shared" si="9"/>
        <v>-8.0816102971381625</v>
      </c>
      <c r="Q55" s="92">
        <f t="shared" si="11"/>
        <v>106.42513459435658</v>
      </c>
      <c r="R55" s="93">
        <f t="shared" si="12"/>
        <v>106.42513459435658</v>
      </c>
      <c r="S55" s="6">
        <v>107.68562982012574</v>
      </c>
      <c r="T55" s="6">
        <v>106.84775359104518</v>
      </c>
      <c r="U55" s="6">
        <v>106.42513459435658</v>
      </c>
      <c r="V55" s="6">
        <v>110.57565562966029</v>
      </c>
      <c r="W55" s="6">
        <v>113.03185090794669</v>
      </c>
      <c r="X55" s="6">
        <v>114.801274453283</v>
      </c>
      <c r="Y55" s="6">
        <v>111.35941873312225</v>
      </c>
      <c r="Z55" s="6">
        <v>130.33396840585408</v>
      </c>
      <c r="AA55" s="6">
        <v>135.20343685824048</v>
      </c>
      <c r="AB55" s="6">
        <v>116.59344000000002</v>
      </c>
    </row>
    <row r="56" spans="2:28">
      <c r="B56" s="7">
        <v>38046</v>
      </c>
      <c r="C56" s="92">
        <f t="shared" si="7"/>
        <v>0.44508099383047117</v>
      </c>
      <c r="D56" s="93">
        <f t="shared" si="8"/>
        <v>0.44508099383047117</v>
      </c>
      <c r="E56" s="6">
        <v>0.51077480412904386</v>
      </c>
      <c r="F56" s="6">
        <v>0.64075467676827369</v>
      </c>
      <c r="G56" s="6">
        <v>0.44508099383047117</v>
      </c>
      <c r="H56" s="6">
        <v>1.0310699889844344</v>
      </c>
      <c r="I56" s="6">
        <v>1.2630535602359494</v>
      </c>
      <c r="J56" s="6">
        <v>1.0945265934745319</v>
      </c>
      <c r="K56" s="6">
        <v>1.0052568597952893</v>
      </c>
      <c r="L56" s="6">
        <v>-9.4394042687084845E-2</v>
      </c>
      <c r="M56" s="6">
        <v>0.34941461830149123</v>
      </c>
      <c r="N56" s="6">
        <v>2.1602673357952185</v>
      </c>
      <c r="P56" s="121">
        <f t="shared" si="9"/>
        <v>-8.0021908804600859</v>
      </c>
      <c r="Q56" s="92">
        <f t="shared" si="11"/>
        <v>106.89881264109455</v>
      </c>
      <c r="R56" s="93">
        <f t="shared" si="12"/>
        <v>106.89881264109455</v>
      </c>
      <c r="S56" s="6">
        <v>108.23566088491461</v>
      </c>
      <c r="T56" s="6">
        <v>107.53238556920164</v>
      </c>
      <c r="U56" s="6">
        <v>106.89881264109455</v>
      </c>
      <c r="V56" s="6">
        <v>111.7157680299805</v>
      </c>
      <c r="W56" s="6">
        <v>114.45950372504011</v>
      </c>
      <c r="X56" s="6">
        <v>116.05780493182186</v>
      </c>
      <c r="Y56" s="6">
        <v>112.47886692896513</v>
      </c>
      <c r="Z56" s="6">
        <v>130.2109409040813</v>
      </c>
      <c r="AA56" s="6">
        <v>135.6758574310692</v>
      </c>
      <c r="AB56" s="6">
        <v>119.11217000000001</v>
      </c>
    </row>
    <row r="57" spans="2:28">
      <c r="B57" s="5">
        <v>38077</v>
      </c>
      <c r="C57" s="92">
        <f t="shared" si="7"/>
        <v>0.2620861682806952</v>
      </c>
      <c r="D57" s="93">
        <f t="shared" si="8"/>
        <v>0.2620861682806952</v>
      </c>
      <c r="E57" s="6">
        <v>0.33248275024748697</v>
      </c>
      <c r="F57" s="6">
        <v>0.39383290732575293</v>
      </c>
      <c r="G57" s="6">
        <v>0.2620861682806952</v>
      </c>
      <c r="H57" s="6">
        <v>0.43486361663012119</v>
      </c>
      <c r="I57" s="6">
        <v>0.88669388062314614</v>
      </c>
      <c r="J57" s="6">
        <v>0.73202345137755032</v>
      </c>
      <c r="K57" s="6">
        <v>0.50211793197145749</v>
      </c>
      <c r="L57" s="6">
        <v>0.66991234055955307</v>
      </c>
      <c r="M57" s="6">
        <v>2.494516684807091</v>
      </c>
      <c r="N57" s="6">
        <v>1.917662989432567</v>
      </c>
      <c r="P57" s="121">
        <f t="shared" si="9"/>
        <v>-7.9172942626317955</v>
      </c>
      <c r="Q57" s="92">
        <f t="shared" si="11"/>
        <v>107.17897964308315</v>
      </c>
      <c r="R57" s="93">
        <f t="shared" si="12"/>
        <v>107.17897964308315</v>
      </c>
      <c r="S57" s="6">
        <v>108.59552578697331</v>
      </c>
      <c r="T57" s="6">
        <v>107.95588348960557</v>
      </c>
      <c r="U57" s="6">
        <v>107.17897964308315</v>
      </c>
      <c r="V57" s="6">
        <v>112.20157925918178</v>
      </c>
      <c r="W57" s="6">
        <v>115.47440914036166</v>
      </c>
      <c r="X57" s="6">
        <v>116.90737528107681</v>
      </c>
      <c r="Y57" s="6">
        <v>113.04364348949377</v>
      </c>
      <c r="Z57" s="6">
        <v>131.08324006595643</v>
      </c>
      <c r="AA57" s="6">
        <v>139.06031433194229</v>
      </c>
      <c r="AB57" s="6">
        <v>121.39634000000001</v>
      </c>
    </row>
    <row r="58" spans="2:28">
      <c r="B58" s="5">
        <v>38107</v>
      </c>
      <c r="C58" s="92">
        <f t="shared" si="7"/>
        <v>-0.42701749944006329</v>
      </c>
      <c r="D58" s="93">
        <f t="shared" si="8"/>
        <v>-0.42701749944006329</v>
      </c>
      <c r="E58" s="6">
        <v>-1.0218652177657495</v>
      </c>
      <c r="F58" s="6">
        <v>-0.41368892247072298</v>
      </c>
      <c r="G58" s="6">
        <v>-0.42701749944006329</v>
      </c>
      <c r="H58" s="6">
        <v>-1.3817422763597431</v>
      </c>
      <c r="I58" s="6">
        <v>-0.84934093254120935</v>
      </c>
      <c r="J58" s="6">
        <v>-1.9384804061434946</v>
      </c>
      <c r="K58" s="6">
        <v>-1.5346500345352121</v>
      </c>
      <c r="L58" s="6">
        <v>-0.6537225687451742</v>
      </c>
      <c r="M58" s="6">
        <v>-5.4297619295167854</v>
      </c>
      <c r="N58" s="6">
        <v>-3.4161820694100009</v>
      </c>
      <c r="P58" s="121">
        <f t="shared" si="9"/>
        <v>-7.835136245378612</v>
      </c>
      <c r="Q58" s="92">
        <f t="shared" si="11"/>
        <v>106.72130664428589</v>
      </c>
      <c r="R58" s="93">
        <f t="shared" si="12"/>
        <v>106.72130664428589</v>
      </c>
      <c r="S58" s="6">
        <v>107.48582588090639</v>
      </c>
      <c r="T58" s="6">
        <v>107.50928195845367</v>
      </c>
      <c r="U58" s="6">
        <v>106.72130664428589</v>
      </c>
      <c r="V58" s="6">
        <v>110.65124260381438</v>
      </c>
      <c r="W58" s="6">
        <v>114.49363771692246</v>
      </c>
      <c r="X58" s="6">
        <v>114.64114871791649</v>
      </c>
      <c r="Y58" s="6">
        <v>111.3088191756424</v>
      </c>
      <c r="Z58" s="6">
        <v>130.22631934180285</v>
      </c>
      <c r="AA58" s="6">
        <v>131.50967032528013</v>
      </c>
      <c r="AB58" s="6">
        <v>117.24922000000001</v>
      </c>
    </row>
    <row r="59" spans="2:28">
      <c r="B59" s="7">
        <v>38138</v>
      </c>
      <c r="C59" s="92">
        <f t="shared" si="7"/>
        <v>-3.9169950844464285E-2</v>
      </c>
      <c r="D59" s="93">
        <f t="shared" si="8"/>
        <v>-3.9169950844464285E-2</v>
      </c>
      <c r="E59" s="6">
        <v>-0.12967318835098718</v>
      </c>
      <c r="F59" s="6">
        <v>-2.8393532909176677E-2</v>
      </c>
      <c r="G59" s="6">
        <v>-3.9169950844464285E-2</v>
      </c>
      <c r="H59" s="6">
        <v>-0.21752566061807865</v>
      </c>
      <c r="I59" s="6">
        <v>-0.33625409663662342</v>
      </c>
      <c r="J59" s="6">
        <v>-0.55121829246789211</v>
      </c>
      <c r="K59" s="6">
        <v>-0.27487385566081768</v>
      </c>
      <c r="L59" s="6">
        <v>-1.5778148084972354</v>
      </c>
      <c r="M59" s="6">
        <v>-1.4844207141322618</v>
      </c>
      <c r="N59" s="6">
        <v>7.1591094593226323E-2</v>
      </c>
      <c r="P59" s="121">
        <f t="shared" si="9"/>
        <v>-7.7502396275503225</v>
      </c>
      <c r="Q59" s="92">
        <f t="shared" si="11"/>
        <v>106.67950396093275</v>
      </c>
      <c r="R59" s="93">
        <f t="shared" si="12"/>
        <v>106.67950396093275</v>
      </c>
      <c r="S59" s="6">
        <v>107.34644558346123</v>
      </c>
      <c r="T59" s="6">
        <v>107.47875627510038</v>
      </c>
      <c r="U59" s="6">
        <v>106.67950396093275</v>
      </c>
      <c r="V59" s="6">
        <v>110.41054775735832</v>
      </c>
      <c r="W59" s="6">
        <v>114.10864816971102</v>
      </c>
      <c r="X59" s="6">
        <v>114.00922573548802</v>
      </c>
      <c r="Y59" s="6">
        <v>111.00286033268378</v>
      </c>
      <c r="Z59" s="6">
        <v>128.17158919066699</v>
      </c>
      <c r="AA59" s="6">
        <v>129.55751353788463</v>
      </c>
      <c r="AB59" s="6">
        <v>117.33316000000003</v>
      </c>
    </row>
    <row r="60" spans="2:28">
      <c r="B60" s="5">
        <v>38168</v>
      </c>
      <c r="C60" s="92">
        <f t="shared" si="7"/>
        <v>2.9419548953946162E-2</v>
      </c>
      <c r="D60" s="93">
        <f t="shared" si="8"/>
        <v>2.9419548953946162E-2</v>
      </c>
      <c r="E60" s="6">
        <v>-1.0890188869350226E-3</v>
      </c>
      <c r="F60" s="6">
        <v>2.3132700086625491E-2</v>
      </c>
      <c r="G60" s="6">
        <v>2.9419548953946162E-2</v>
      </c>
      <c r="H60" s="6">
        <v>7.2469145962594794E-3</v>
      </c>
      <c r="I60" s="6">
        <v>0.1871451895634868</v>
      </c>
      <c r="J60" s="6">
        <v>0.28970426846335329</v>
      </c>
      <c r="K60" s="6">
        <v>0.178024489941353</v>
      </c>
      <c r="L60" s="6">
        <v>1.4504636017624195</v>
      </c>
      <c r="M60" s="6">
        <v>1.4668516525607078</v>
      </c>
      <c r="N60" s="6">
        <v>0.98404406733783034</v>
      </c>
      <c r="P60" s="121">
        <f t="shared" si="9"/>
        <v>-7.668081610297139</v>
      </c>
      <c r="Q60" s="92">
        <f t="shared" si="11"/>
        <v>106.71088858982436</v>
      </c>
      <c r="R60" s="93">
        <f t="shared" si="12"/>
        <v>106.71088858982436</v>
      </c>
      <c r="S60" s="6">
        <v>107.34527656039438</v>
      </c>
      <c r="T60" s="6">
        <v>107.50361901344634</v>
      </c>
      <c r="U60" s="6">
        <v>106.71088858982436</v>
      </c>
      <c r="V60" s="6">
        <v>110.41854911545956</v>
      </c>
      <c r="W60" s="6">
        <v>114.32219701563656</v>
      </c>
      <c r="X60" s="6">
        <v>114.33951532888574</v>
      </c>
      <c r="Y60" s="6">
        <v>111.20047260861135</v>
      </c>
      <c r="Z60" s="6">
        <v>130.03067143967806</v>
      </c>
      <c r="AA60" s="6">
        <v>131.45793006623165</v>
      </c>
      <c r="AB60" s="6">
        <v>118.48777000000004</v>
      </c>
    </row>
    <row r="61" spans="2:28">
      <c r="B61" s="7">
        <v>38199</v>
      </c>
      <c r="C61" s="92">
        <f t="shared" si="7"/>
        <v>0.27032565690598975</v>
      </c>
      <c r="D61" s="93">
        <f t="shared" si="8"/>
        <v>0.27032565690598975</v>
      </c>
      <c r="E61" s="6">
        <v>0.37808167766073542</v>
      </c>
      <c r="F61" s="6">
        <v>0.33497952021872557</v>
      </c>
      <c r="G61" s="6">
        <v>0.27032565690598975</v>
      </c>
      <c r="H61" s="6">
        <v>0.54181226414218298</v>
      </c>
      <c r="I61" s="6">
        <v>0.84845141450022865</v>
      </c>
      <c r="J61" s="6">
        <v>0.91063977677134922</v>
      </c>
      <c r="K61" s="6">
        <v>0.68826682814762119</v>
      </c>
      <c r="L61" s="6">
        <v>1.3456244209807178</v>
      </c>
      <c r="M61" s="6">
        <v>2.9715583764321041</v>
      </c>
      <c r="N61" s="6">
        <v>1.3914769431478069</v>
      </c>
      <c r="P61" s="121">
        <f t="shared" si="9"/>
        <v>-7.5831849924688486</v>
      </c>
      <c r="Q61" s="92">
        <f t="shared" si="11"/>
        <v>106.99935550039503</v>
      </c>
      <c r="R61" s="93">
        <f t="shared" si="12"/>
        <v>106.99935550039503</v>
      </c>
      <c r="S61" s="6">
        <v>107.75112938290347</v>
      </c>
      <c r="T61" s="6">
        <v>107.86373412063534</v>
      </c>
      <c r="U61" s="6">
        <v>106.99935550039503</v>
      </c>
      <c r="V61" s="6">
        <v>111.01681035645497</v>
      </c>
      <c r="W61" s="6">
        <v>115.29216531330347</v>
      </c>
      <c r="X61" s="6">
        <v>115.38073643603815</v>
      </c>
      <c r="Y61" s="6">
        <v>111.9658285743198</v>
      </c>
      <c r="Z61" s="6">
        <v>131.78039590933557</v>
      </c>
      <c r="AA61" s="6">
        <v>135.36427919859901</v>
      </c>
      <c r="AB61" s="6">
        <v>120.13650000000004</v>
      </c>
    </row>
    <row r="62" spans="2:28">
      <c r="B62" s="5">
        <v>38230</v>
      </c>
      <c r="C62" s="92">
        <f t="shared" si="7"/>
        <v>0.50621495444238551</v>
      </c>
      <c r="D62" s="93">
        <f t="shared" si="8"/>
        <v>0.50621495444238551</v>
      </c>
      <c r="E62" s="6">
        <v>0.71932901781392999</v>
      </c>
      <c r="F62" s="6">
        <v>0.5150842676029832</v>
      </c>
      <c r="G62" s="6">
        <v>0.50621495444238551</v>
      </c>
      <c r="H62" s="6">
        <v>1.5908351511159324</v>
      </c>
      <c r="I62" s="6">
        <v>1.3842437208843261</v>
      </c>
      <c r="J62" s="6">
        <v>1.8826070451033461</v>
      </c>
      <c r="K62" s="6">
        <v>1.5975037245407275</v>
      </c>
      <c r="L62" s="6">
        <v>1.8191837660864296</v>
      </c>
      <c r="M62" s="6">
        <v>4.1267992406841536</v>
      </c>
      <c r="N62" s="6">
        <v>1.0432799357397604</v>
      </c>
      <c r="P62" s="121">
        <f t="shared" si="9"/>
        <v>-7.4982883746405591</v>
      </c>
      <c r="Q62" s="92">
        <f t="shared" si="11"/>
        <v>107.54100223909499</v>
      </c>
      <c r="R62" s="93">
        <f t="shared" si="12"/>
        <v>107.54100223909499</v>
      </c>
      <c r="S62" s="6">
        <v>108.52621452357693</v>
      </c>
      <c r="T62" s="6">
        <v>108.41932324553984</v>
      </c>
      <c r="U62" s="6">
        <v>107.54100223909499</v>
      </c>
      <c r="V62" s="6">
        <v>112.78290479925316</v>
      </c>
      <c r="W62" s="6">
        <v>116.88808987232446</v>
      </c>
      <c r="X62" s="6">
        <v>117.55290230887513</v>
      </c>
      <c r="Y62" s="6">
        <v>113.75448685600745</v>
      </c>
      <c r="Z62" s="6">
        <v>134.17772347860262</v>
      </c>
      <c r="AA62" s="6">
        <v>140.95049124472436</v>
      </c>
      <c r="AB62" s="6">
        <v>121.38986000000004</v>
      </c>
    </row>
    <row r="63" spans="2:28">
      <c r="B63" s="5">
        <v>38260</v>
      </c>
      <c r="C63" s="92">
        <f t="shared" si="7"/>
        <v>7.3710775942403828E-2</v>
      </c>
      <c r="D63" s="93">
        <f t="shared" si="8"/>
        <v>7.3710775942403828E-2</v>
      </c>
      <c r="E63" s="6">
        <v>-7.3399139813579151E-2</v>
      </c>
      <c r="F63" s="6">
        <v>7.9464692138642157E-2</v>
      </c>
      <c r="G63" s="6">
        <v>7.3710775942403828E-2</v>
      </c>
      <c r="H63" s="6">
        <v>0.50558719346955883</v>
      </c>
      <c r="I63" s="6">
        <v>0.44049605164275807</v>
      </c>
      <c r="J63" s="6">
        <v>0.57809952769625195</v>
      </c>
      <c r="K63" s="6">
        <v>0.42505475566207984</v>
      </c>
      <c r="L63" s="6">
        <v>1.3880841255388354</v>
      </c>
      <c r="M63" s="6">
        <v>1.6666102047663722</v>
      </c>
      <c r="N63" s="6">
        <v>2.8565812663430057</v>
      </c>
      <c r="P63" s="121">
        <f t="shared" si="9"/>
        <v>-7.4161303573873756</v>
      </c>
      <c r="Q63" s="92">
        <f t="shared" si="11"/>
        <v>107.62027154630167</v>
      </c>
      <c r="R63" s="93">
        <f t="shared" si="12"/>
        <v>107.62027154630167</v>
      </c>
      <c r="S63" s="6">
        <v>108.44655721564438</v>
      </c>
      <c r="T63" s="6">
        <v>108.50547832697571</v>
      </c>
      <c r="U63" s="6">
        <v>107.62027154630167</v>
      </c>
      <c r="V63" s="6">
        <v>113.35312072234115</v>
      </c>
      <c r="W63" s="6">
        <v>117.40297729305269</v>
      </c>
      <c r="X63" s="6">
        <v>118.23247508191598</v>
      </c>
      <c r="Y63" s="6">
        <v>114.2380057121679</v>
      </c>
      <c r="Z63" s="6">
        <v>136.04022315821848</v>
      </c>
      <c r="AA63" s="6">
        <v>143.29958651547727</v>
      </c>
      <c r="AB63" s="6">
        <v>124.85746000000005</v>
      </c>
    </row>
    <row r="64" spans="2:28">
      <c r="B64" s="7">
        <v>38291</v>
      </c>
      <c r="C64" s="92">
        <f t="shared" si="7"/>
        <v>0.32582778595093842</v>
      </c>
      <c r="D64" s="93">
        <f t="shared" si="8"/>
        <v>0.32582778595093842</v>
      </c>
      <c r="E64" s="6">
        <v>0.31438145762474612</v>
      </c>
      <c r="F64" s="6">
        <v>0.4315813476595487</v>
      </c>
      <c r="G64" s="6">
        <v>0.32582778595093842</v>
      </c>
      <c r="H64" s="6">
        <v>0.67879788368725436</v>
      </c>
      <c r="I64" s="6">
        <v>0.81471004626985088</v>
      </c>
      <c r="J64" s="6">
        <v>0.83202069598422579</v>
      </c>
      <c r="K64" s="6">
        <v>0.73771325370586283</v>
      </c>
      <c r="L64" s="6">
        <v>1.9204803084826416</v>
      </c>
      <c r="M64" s="6">
        <v>1.6067776532488143</v>
      </c>
      <c r="N64" s="6">
        <v>3.4400747860800607</v>
      </c>
      <c r="P64" s="121">
        <f t="shared" si="9"/>
        <v>-7.3312337395590861</v>
      </c>
      <c r="Q64" s="92">
        <f t="shared" si="11"/>
        <v>107.97092829431537</v>
      </c>
      <c r="R64" s="93">
        <f t="shared" si="12"/>
        <v>107.97092829431537</v>
      </c>
      <c r="S64" s="6">
        <v>108.78749308296277</v>
      </c>
      <c r="T64" s="6">
        <v>108.97376773262371</v>
      </c>
      <c r="U64" s="6">
        <v>107.97092829431537</v>
      </c>
      <c r="V64" s="6">
        <v>114.12255930689786</v>
      </c>
      <c r="W64" s="6">
        <v>118.3594711436791</v>
      </c>
      <c r="X64" s="6">
        <v>119.21619374397191</v>
      </c>
      <c r="Y64" s="6">
        <v>115.08075462107583</v>
      </c>
      <c r="Z64" s="6">
        <v>138.65284885558791</v>
      </c>
      <c r="AA64" s="6">
        <v>145.60209224880592</v>
      </c>
      <c r="AB64" s="6">
        <v>129.15265000000005</v>
      </c>
    </row>
    <row r="65" spans="2:28">
      <c r="B65" s="5">
        <v>38321</v>
      </c>
      <c r="C65" s="92">
        <f t="shared" ref="C65:C96" si="13">SUMPRODUCT(WtPF,$E65:$N65)/100</f>
        <v>7.6235542843194892E-2</v>
      </c>
      <c r="D65" s="93">
        <f t="shared" ref="D65:D96" si="14">SUMPRODUCT(WtBM,$E65:$N65)/100</f>
        <v>7.6235542843194892E-2</v>
      </c>
      <c r="E65" s="6">
        <v>-0.53807369672576044</v>
      </c>
      <c r="F65" s="6">
        <v>0.34446357547432971</v>
      </c>
      <c r="G65" s="6">
        <v>7.6235542843194892E-2</v>
      </c>
      <c r="H65" s="6">
        <v>0.3371417435773072</v>
      </c>
      <c r="I65" s="6">
        <v>1.02434793444659</v>
      </c>
      <c r="J65" s="6">
        <v>4.9745033901871238E-3</v>
      </c>
      <c r="K65" s="6">
        <v>0.20773219105276741</v>
      </c>
      <c r="L65" s="6">
        <v>1.038887416892087</v>
      </c>
      <c r="M65" s="6">
        <v>0.69931109245477963</v>
      </c>
      <c r="N65" s="6">
        <v>5.7330685820229155</v>
      </c>
      <c r="P65" s="121">
        <f t="shared" si="9"/>
        <v>-7.2490757223059017</v>
      </c>
      <c r="Q65" s="92">
        <f t="shared" si="11"/>
        <v>108.05324051761338</v>
      </c>
      <c r="R65" s="93">
        <f t="shared" si="12"/>
        <v>108.05324051761338</v>
      </c>
      <c r="S65" s="6">
        <v>108.20213619735598</v>
      </c>
      <c r="T65" s="6">
        <v>109.3491426692846</v>
      </c>
      <c r="U65" s="6">
        <v>108.05324051761338</v>
      </c>
      <c r="V65" s="6">
        <v>114.50731409316018</v>
      </c>
      <c r="W65" s="6">
        <v>119.57188394156128</v>
      </c>
      <c r="X65" s="6">
        <v>119.22212415757136</v>
      </c>
      <c r="Y65" s="6">
        <v>115.31981439413025</v>
      </c>
      <c r="Z65" s="6">
        <v>140.093295855511</v>
      </c>
      <c r="AA65" s="6">
        <v>146.62030383074807</v>
      </c>
      <c r="AB65" s="6">
        <v>136.55706000000006</v>
      </c>
    </row>
    <row r="66" spans="2:28">
      <c r="B66" s="7">
        <v>38352</v>
      </c>
      <c r="C66" s="92">
        <f t="shared" si="13"/>
        <v>0.17527813689608429</v>
      </c>
      <c r="D66" s="93">
        <f t="shared" si="14"/>
        <v>0.17527813689608429</v>
      </c>
      <c r="E66" s="6">
        <v>0.23286810272533653</v>
      </c>
      <c r="F66" s="6">
        <v>9.283778856652436E-2</v>
      </c>
      <c r="G66" s="6">
        <v>0.17527813689608429</v>
      </c>
      <c r="H66" s="6">
        <v>0.7217682323141128</v>
      </c>
      <c r="I66" s="6">
        <v>0.57401052061849533</v>
      </c>
      <c r="J66" s="6">
        <v>0.90943667773712988</v>
      </c>
      <c r="K66" s="6">
        <v>0.7055016646884793</v>
      </c>
      <c r="L66" s="6">
        <v>1.5014483915231081</v>
      </c>
      <c r="M66" s="6">
        <v>2.5050724733348018</v>
      </c>
      <c r="N66" s="6">
        <v>5.2834763724409317</v>
      </c>
      <c r="P66" s="121">
        <f t="shared" si="9"/>
        <v>-7.1641791044776122</v>
      </c>
      <c r="Q66" s="92">
        <f t="shared" si="11"/>
        <v>108.24263422444849</v>
      </c>
      <c r="R66" s="93">
        <f t="shared" si="12"/>
        <v>108.24263422444849</v>
      </c>
      <c r="S66" s="6">
        <v>108.45410445902705</v>
      </c>
      <c r="T66" s="6">
        <v>109.45065999515522</v>
      </c>
      <c r="U66" s="6">
        <v>108.24263422444849</v>
      </c>
      <c r="V66" s="6">
        <v>115.33379150996075</v>
      </c>
      <c r="W66" s="6">
        <v>120.25823913508758</v>
      </c>
      <c r="X66" s="6">
        <v>120.30637388263762</v>
      </c>
      <c r="Y66" s="6">
        <v>116.13339760439651</v>
      </c>
      <c r="Z66" s="6">
        <v>142.19672439276528</v>
      </c>
      <c r="AA66" s="6">
        <v>150.29324870233199</v>
      </c>
      <c r="AB66" s="6">
        <v>143.77202000000005</v>
      </c>
    </row>
    <row r="67" spans="2:28">
      <c r="B67" s="5">
        <v>38383</v>
      </c>
      <c r="C67" s="92">
        <f t="shared" si="13"/>
        <v>0.20012335244403712</v>
      </c>
      <c r="D67" s="93">
        <f t="shared" si="14"/>
        <v>0.20012335244403712</v>
      </c>
      <c r="E67" s="6">
        <v>-6.4982767523646956E-2</v>
      </c>
      <c r="F67" s="6">
        <v>0.38388109995313169</v>
      </c>
      <c r="G67" s="6">
        <v>0.20012335244403712</v>
      </c>
      <c r="H67" s="6">
        <v>0.93064064906427379</v>
      </c>
      <c r="I67" s="6">
        <v>1.0589423532296305</v>
      </c>
      <c r="J67" s="6">
        <v>0.78085417952324931</v>
      </c>
      <c r="K67" s="6">
        <v>0.75684753102496227</v>
      </c>
      <c r="L67" s="6">
        <v>-0.1021407499534277</v>
      </c>
      <c r="M67" s="6">
        <v>0.62616513584141664</v>
      </c>
      <c r="N67" s="6">
        <v>-0.31680712283238543</v>
      </c>
      <c r="P67" s="121">
        <f t="shared" si="9"/>
        <v>-7.0792824866493227</v>
      </c>
      <c r="Q67" s="92">
        <f t="shared" si="11"/>
        <v>108.45925301283219</v>
      </c>
      <c r="R67" s="93">
        <f t="shared" si="12"/>
        <v>108.45925301283219</v>
      </c>
      <c r="S67" s="6">
        <v>108.38362798045658</v>
      </c>
      <c r="T67" s="6">
        <v>109.87082039265059</v>
      </c>
      <c r="U67" s="6">
        <v>108.45925301283219</v>
      </c>
      <c r="V67" s="6">
        <v>116.40713465585948</v>
      </c>
      <c r="W67" s="6">
        <v>121.53170456253719</v>
      </c>
      <c r="X67" s="6">
        <v>121.24579123133306</v>
      </c>
      <c r="Y67" s="6">
        <v>117.01235035686078</v>
      </c>
      <c r="Z67" s="6">
        <v>142.05148359206129</v>
      </c>
      <c r="AA67" s="6">
        <v>151.23433262722943</v>
      </c>
      <c r="AB67" s="6">
        <v>143.31654000000006</v>
      </c>
    </row>
    <row r="68" spans="2:28">
      <c r="B68" s="5">
        <v>38411</v>
      </c>
      <c r="C68" s="92">
        <f t="shared" si="13"/>
        <v>-1.4682441434565874E-2</v>
      </c>
      <c r="D68" s="93">
        <f t="shared" si="14"/>
        <v>-1.4682441434565874E-2</v>
      </c>
      <c r="E68" s="6">
        <v>-0.25393065335005405</v>
      </c>
      <c r="F68" s="6">
        <v>5.7304664076562872E-2</v>
      </c>
      <c r="G68" s="6">
        <v>-1.4682441434565874E-2</v>
      </c>
      <c r="H68" s="6">
        <v>-0.56661879541289872</v>
      </c>
      <c r="I68" s="6">
        <v>-0.14129726204075155</v>
      </c>
      <c r="J68" s="6">
        <v>-0.32551148815340714</v>
      </c>
      <c r="K68" s="6">
        <v>-0.41886883592145985</v>
      </c>
      <c r="L68" s="6">
        <v>1.4230123836961095</v>
      </c>
      <c r="M68" s="6">
        <v>0.66812892296608251</v>
      </c>
      <c r="N68" s="6">
        <v>3.9835178828626416</v>
      </c>
      <c r="P68" s="121">
        <f t="shared" si="9"/>
        <v>-7.0026016705463512</v>
      </c>
      <c r="Q68" s="92">
        <f t="shared" si="11"/>
        <v>108.44332854652822</v>
      </c>
      <c r="R68" s="93">
        <f t="shared" si="12"/>
        <v>108.44332854652822</v>
      </c>
      <c r="S68" s="6">
        <v>108.10840872580131</v>
      </c>
      <c r="T68" s="6">
        <v>109.93378149719476</v>
      </c>
      <c r="U68" s="6">
        <v>108.44332854652822</v>
      </c>
      <c r="V68" s="6">
        <v>115.74754995169778</v>
      </c>
      <c r="W68" s="6">
        <v>121.35998359147887</v>
      </c>
      <c r="X68" s="6">
        <v>120.85112225197257</v>
      </c>
      <c r="Y68" s="6">
        <v>116.52222208703665</v>
      </c>
      <c r="Z68" s="6">
        <v>144.07289379480036</v>
      </c>
      <c r="AA68" s="6">
        <v>152.24477294496668</v>
      </c>
      <c r="AB68" s="6">
        <v>149.02558000000005</v>
      </c>
    </row>
    <row r="69" spans="2:28">
      <c r="B69" s="7">
        <v>38442</v>
      </c>
      <c r="C69" s="92">
        <f t="shared" si="13"/>
        <v>0.22725387694606525</v>
      </c>
      <c r="D69" s="93">
        <f t="shared" si="14"/>
        <v>0.22725387694606525</v>
      </c>
      <c r="E69" s="6">
        <v>-6.2661556479937097E-3</v>
      </c>
      <c r="F69" s="6">
        <v>0.36183574373580552</v>
      </c>
      <c r="G69" s="6">
        <v>0.22725387694606525</v>
      </c>
      <c r="H69" s="6">
        <v>0.50432093916901177</v>
      </c>
      <c r="I69" s="6">
        <v>0.20074336184157104</v>
      </c>
      <c r="J69" s="6">
        <v>-0.56343888352299309</v>
      </c>
      <c r="K69" s="6">
        <v>0.15575905510729626</v>
      </c>
      <c r="L69" s="6">
        <v>-2.7230731825917842</v>
      </c>
      <c r="M69" s="6">
        <v>-2.547491101568633</v>
      </c>
      <c r="N69" s="6">
        <v>-3.800924646627768</v>
      </c>
      <c r="P69" s="121">
        <f t="shared" si="9"/>
        <v>-6.9177050527180617</v>
      </c>
      <c r="Q69" s="92">
        <f t="shared" si="11"/>
        <v>108.68977021493957</v>
      </c>
      <c r="R69" s="93">
        <f t="shared" si="12"/>
        <v>108.68977021493957</v>
      </c>
      <c r="S69" s="6">
        <v>108.10163448464198</v>
      </c>
      <c r="T69" s="6">
        <v>110.33156121309203</v>
      </c>
      <c r="U69" s="6">
        <v>108.68977021493957</v>
      </c>
      <c r="V69" s="6">
        <v>116.33128908267931</v>
      </c>
      <c r="W69" s="6">
        <v>121.60360570247077</v>
      </c>
      <c r="X69" s="6">
        <v>120.17020003803104</v>
      </c>
      <c r="Y69" s="6">
        <v>116.70371599914945</v>
      </c>
      <c r="Z69" s="6">
        <v>140.14968346049022</v>
      </c>
      <c r="AA69" s="6">
        <v>148.36635090159029</v>
      </c>
      <c r="AB69" s="6">
        <v>143.36123000000006</v>
      </c>
    </row>
    <row r="70" spans="2:28">
      <c r="B70" s="5">
        <v>38472</v>
      </c>
      <c r="C70" s="92">
        <f t="shared" si="13"/>
        <v>0.56945903298302181</v>
      </c>
      <c r="D70" s="93">
        <f t="shared" si="14"/>
        <v>0.56945903298302181</v>
      </c>
      <c r="E70" s="6">
        <v>0.58077763954658135</v>
      </c>
      <c r="F70" s="6">
        <v>0.70149279076812121</v>
      </c>
      <c r="G70" s="6">
        <v>0.56945903298302181</v>
      </c>
      <c r="H70" s="6">
        <v>1.3956093271983105</v>
      </c>
      <c r="I70" s="6">
        <v>1.0737997863716098</v>
      </c>
      <c r="J70" s="6">
        <v>1.1190783687863304</v>
      </c>
      <c r="K70" s="6">
        <v>1.241422359077915</v>
      </c>
      <c r="L70" s="6">
        <v>-1.0722929023841532</v>
      </c>
      <c r="M70" s="6">
        <v>1.5770981302083875</v>
      </c>
      <c r="N70" s="6">
        <v>-6.3413239409293443E-2</v>
      </c>
      <c r="P70" s="121">
        <f t="shared" si="9"/>
        <v>-6.8355470354648782</v>
      </c>
      <c r="Q70" s="92">
        <f t="shared" si="11"/>
        <v>109.30871392935704</v>
      </c>
      <c r="R70" s="93">
        <f t="shared" si="12"/>
        <v>109.30871392935704</v>
      </c>
      <c r="S70" s="6">
        <v>108.72946460571315</v>
      </c>
      <c r="T70" s="6">
        <v>111.10552916094379</v>
      </c>
      <c r="U70" s="6">
        <v>109.30871392935704</v>
      </c>
      <c r="V70" s="6">
        <v>117.95481940356721</v>
      </c>
      <c r="W70" s="6">
        <v>122.90938496072408</v>
      </c>
      <c r="X70" s="6">
        <v>121.5149987523839</v>
      </c>
      <c r="Y70" s="6">
        <v>118.15250202343768</v>
      </c>
      <c r="Z70" s="6">
        <v>138.64686835202954</v>
      </c>
      <c r="AA70" s="6">
        <v>150.70623384751769</v>
      </c>
      <c r="AB70" s="6">
        <v>143.27032000000005</v>
      </c>
    </row>
    <row r="71" spans="2:28">
      <c r="B71" s="7">
        <v>38503</v>
      </c>
      <c r="C71" s="92">
        <f t="shared" si="13"/>
        <v>0.37418169803529189</v>
      </c>
      <c r="D71" s="93">
        <f t="shared" si="14"/>
        <v>0.37418169803529189</v>
      </c>
      <c r="E71" s="6">
        <v>0.38179627095744628</v>
      </c>
      <c r="F71" s="6">
        <v>0.4748527576894368</v>
      </c>
      <c r="G71" s="6">
        <v>0.37418169803529189</v>
      </c>
      <c r="H71" s="6">
        <v>0.94090786518246095</v>
      </c>
      <c r="I71" s="6">
        <v>0.92682823116254642</v>
      </c>
      <c r="J71" s="6">
        <v>1.1214370437288013</v>
      </c>
      <c r="K71" s="6">
        <v>0.97473690368694577</v>
      </c>
      <c r="L71" s="6">
        <v>1.7870127309251638</v>
      </c>
      <c r="M71" s="6">
        <v>2.9916058450826677</v>
      </c>
      <c r="N71" s="6">
        <v>-7.9569864854134309E-3</v>
      </c>
      <c r="P71" s="121">
        <f t="shared" si="9"/>
        <v>-6.7506504176365878</v>
      </c>
      <c r="Q71" s="92">
        <f t="shared" si="11"/>
        <v>109.71772713123845</v>
      </c>
      <c r="R71" s="93">
        <f t="shared" si="12"/>
        <v>109.71772713123845</v>
      </c>
      <c r="S71" s="6">
        <v>109.14458964700975</v>
      </c>
      <c r="T71" s="6">
        <v>111.63311683010997</v>
      </c>
      <c r="U71" s="6">
        <v>109.71772713123845</v>
      </c>
      <c r="V71" s="6">
        <v>119.06466557669715</v>
      </c>
      <c r="W71" s="6">
        <v>124.04854383928833</v>
      </c>
      <c r="X71" s="6">
        <v>122.87771296207973</v>
      </c>
      <c r="Y71" s="6">
        <v>119.30417806328958</v>
      </c>
      <c r="Z71" s="6">
        <v>141.12450554050938</v>
      </c>
      <c r="AA71" s="6">
        <v>155.21477034820398</v>
      </c>
      <c r="AB71" s="6">
        <v>143.25892000000005</v>
      </c>
    </row>
    <row r="72" spans="2:28">
      <c r="B72" s="5">
        <v>38533</v>
      </c>
      <c r="C72" s="92">
        <f t="shared" si="13"/>
        <v>0.37201038477259196</v>
      </c>
      <c r="D72" s="93">
        <f t="shared" si="14"/>
        <v>0.37201038477259196</v>
      </c>
      <c r="E72" s="6">
        <v>0.175248503047154</v>
      </c>
      <c r="F72" s="6">
        <v>0.55455076579586926</v>
      </c>
      <c r="G72" s="6">
        <v>0.37201038477259196</v>
      </c>
      <c r="H72" s="6">
        <v>0.97445143987491267</v>
      </c>
      <c r="I72" s="6">
        <v>1.1065810246800201</v>
      </c>
      <c r="J72" s="6">
        <v>0.95556557507594508</v>
      </c>
      <c r="K72" s="6">
        <v>0.851722213854611</v>
      </c>
      <c r="L72" s="6">
        <v>1.7483745202261813</v>
      </c>
      <c r="M72" s="6">
        <v>1.7766045853353951</v>
      </c>
      <c r="N72" s="6">
        <v>2.3671335788375325</v>
      </c>
      <c r="P72" s="121">
        <f t="shared" si="9"/>
        <v>-6.6684924003834043</v>
      </c>
      <c r="Q72" s="92">
        <f t="shared" si="11"/>
        <v>110.12588847010311</v>
      </c>
      <c r="R72" s="93">
        <f t="shared" si="12"/>
        <v>110.12588847010311</v>
      </c>
      <c r="S72" s="6">
        <v>109.3358639065231</v>
      </c>
      <c r="T72" s="6">
        <v>112.25217913437314</v>
      </c>
      <c r="U72" s="6">
        <v>110.12588847010311</v>
      </c>
      <c r="V72" s="6">
        <v>120.22489292479153</v>
      </c>
      <c r="W72" s="6">
        <v>125.42124148680577</v>
      </c>
      <c r="X72" s="6">
        <v>124.051890086586</v>
      </c>
      <c r="Y72" s="6">
        <v>120.32031824991128</v>
      </c>
      <c r="Z72" s="6">
        <v>143.59189043717484</v>
      </c>
      <c r="AA72" s="6">
        <v>157.97232307532798</v>
      </c>
      <c r="AB72" s="6">
        <v>146.65005000000005</v>
      </c>
    </row>
    <row r="73" spans="2:28">
      <c r="B73" s="5">
        <v>38564</v>
      </c>
      <c r="C73" s="92">
        <f t="shared" si="13"/>
        <v>-8.9249289915183105E-2</v>
      </c>
      <c r="D73" s="93">
        <f t="shared" si="14"/>
        <v>-8.9249289915183105E-2</v>
      </c>
      <c r="E73" s="6">
        <v>-0.30723758938384638</v>
      </c>
      <c r="F73" s="6">
        <v>-0.12434462002224311</v>
      </c>
      <c r="G73" s="6">
        <v>-8.9249289915183105E-2</v>
      </c>
      <c r="H73" s="6">
        <v>-0.68012535461855483</v>
      </c>
      <c r="I73" s="6">
        <v>-9.0099297520029875E-2</v>
      </c>
      <c r="J73" s="6">
        <v>-0.54887607905861335</v>
      </c>
      <c r="K73" s="6">
        <v>-0.54886585877969019</v>
      </c>
      <c r="L73" s="6">
        <v>1.4416612125899952</v>
      </c>
      <c r="M73" s="6">
        <v>-0.24600830725491907</v>
      </c>
      <c r="N73" s="6">
        <v>0.59607207771152915</v>
      </c>
      <c r="P73" s="121">
        <f t="shared" si="9"/>
        <v>-6.5835957825551148</v>
      </c>
      <c r="Q73" s="92">
        <f t="shared" si="11"/>
        <v>110.02760189663076</v>
      </c>
      <c r="R73" s="93">
        <f t="shared" si="12"/>
        <v>110.02760189663076</v>
      </c>
      <c r="S73" s="6">
        <v>108.99994303392469</v>
      </c>
      <c r="T73" s="6">
        <v>112.11259958876181</v>
      </c>
      <c r="U73" s="6">
        <v>110.02760189663076</v>
      </c>
      <c r="V73" s="6">
        <v>119.40721294544701</v>
      </c>
      <c r="W73" s="6">
        <v>125.30823782928526</v>
      </c>
      <c r="X73" s="6">
        <v>123.37099893628064</v>
      </c>
      <c r="Y73" s="6">
        <v>119.65992110186245</v>
      </c>
      <c r="Z73" s="6">
        <v>145.6619990260323</v>
      </c>
      <c r="AA73" s="6">
        <v>157.5836980373991</v>
      </c>
      <c r="AB73" s="6">
        <v>147.52419000000003</v>
      </c>
    </row>
    <row r="74" spans="2:28">
      <c r="B74" s="7">
        <v>38595</v>
      </c>
      <c r="C74" s="92">
        <f t="shared" si="13"/>
        <v>0.43314493585673297</v>
      </c>
      <c r="D74" s="93">
        <f t="shared" si="14"/>
        <v>0.43314493585673297</v>
      </c>
      <c r="E74" s="6">
        <v>0.64940674921738495</v>
      </c>
      <c r="F74" s="6">
        <v>0.41592234253449156</v>
      </c>
      <c r="G74" s="6">
        <v>0.43314493585673297</v>
      </c>
      <c r="H74" s="6">
        <v>1.0186981866591394</v>
      </c>
      <c r="I74" s="6">
        <v>0.98519287797513844</v>
      </c>
      <c r="J74" s="6">
        <v>1.2043795093396925</v>
      </c>
      <c r="K74" s="6">
        <v>0.99649789810103417</v>
      </c>
      <c r="L74" s="6">
        <v>0.44811223921219501</v>
      </c>
      <c r="M74" s="6">
        <v>1.9412816483164397</v>
      </c>
      <c r="N74" s="6">
        <v>1.4361373548297474</v>
      </c>
      <c r="P74" s="121">
        <f t="shared" si="9"/>
        <v>-6.4986991647268253</v>
      </c>
      <c r="Q74" s="92">
        <f t="shared" si="11"/>
        <v>110.50418088229061</v>
      </c>
      <c r="R74" s="93">
        <f t="shared" si="12"/>
        <v>110.50418088229061</v>
      </c>
      <c r="S74" s="6">
        <v>109.70779602063011</v>
      </c>
      <c r="T74" s="6">
        <v>112.5789009392477</v>
      </c>
      <c r="U74" s="6">
        <v>110.50418088229061</v>
      </c>
      <c r="V74" s="6">
        <v>120.6236120584625</v>
      </c>
      <c r="W74" s="6">
        <v>126.54276566389552</v>
      </c>
      <c r="X74" s="6">
        <v>124.8568539679369</v>
      </c>
      <c r="Y74" s="6">
        <v>120.85232970051187</v>
      </c>
      <c r="Z74" s="6">
        <v>146.31472827154911</v>
      </c>
      <c r="AA74" s="6">
        <v>160.64284144813752</v>
      </c>
      <c r="AB74" s="6">
        <v>149.64284000000004</v>
      </c>
    </row>
    <row r="75" spans="2:28">
      <c r="B75" s="5">
        <v>38625</v>
      </c>
      <c r="C75" s="92">
        <f t="shared" si="13"/>
        <v>-1.8119330829291513E-2</v>
      </c>
      <c r="D75" s="93">
        <f t="shared" si="14"/>
        <v>-1.8119330829291513E-2</v>
      </c>
      <c r="E75" s="6">
        <v>-0.26247949021043215</v>
      </c>
      <c r="F75" s="6">
        <v>3.3440134132978194E-2</v>
      </c>
      <c r="G75" s="6">
        <v>-1.8119330829291513E-2</v>
      </c>
      <c r="H75" s="6">
        <v>-0.40968147884006267</v>
      </c>
      <c r="I75" s="6">
        <v>5.5149710993984691E-2</v>
      </c>
      <c r="J75" s="6">
        <v>-0.80848830101826197</v>
      </c>
      <c r="K75" s="6">
        <v>-0.47637954105599345</v>
      </c>
      <c r="L75" s="6">
        <v>-0.89806548053510404</v>
      </c>
      <c r="M75" s="6">
        <v>1.6893332878981537</v>
      </c>
      <c r="N75" s="6">
        <v>0.70574041497741824</v>
      </c>
      <c r="P75" s="121">
        <f t="shared" si="9"/>
        <v>-6.4165411474736418</v>
      </c>
      <c r="Q75" s="92">
        <f t="shared" si="11"/>
        <v>110.48415826417636</v>
      </c>
      <c r="R75" s="93">
        <f t="shared" si="12"/>
        <v>110.48415826417636</v>
      </c>
      <c r="S75" s="6">
        <v>109.41983555691407</v>
      </c>
      <c r="T75" s="6">
        <v>112.61654747472721</v>
      </c>
      <c r="U75" s="6">
        <v>110.48415826417636</v>
      </c>
      <c r="V75" s="6">
        <v>120.12943946075109</v>
      </c>
      <c r="W75" s="6">
        <v>126.61255363344296</v>
      </c>
      <c r="X75" s="6">
        <v>123.84740091058667</v>
      </c>
      <c r="Y75" s="6">
        <v>120.2766139269291</v>
      </c>
      <c r="Z75" s="6">
        <v>145.0007262040036</v>
      </c>
      <c r="AA75" s="6">
        <v>163.35663444334637</v>
      </c>
      <c r="AB75" s="6">
        <v>150.69893000000002</v>
      </c>
    </row>
    <row r="76" spans="2:28">
      <c r="B76" s="7">
        <v>38656</v>
      </c>
      <c r="C76" s="92">
        <f t="shared" si="13"/>
        <v>2.4259575021567947E-2</v>
      </c>
      <c r="D76" s="93">
        <f t="shared" si="14"/>
        <v>2.4259575021567947E-2</v>
      </c>
      <c r="E76" s="6">
        <v>-4.0807363561035093E-2</v>
      </c>
      <c r="F76" s="6">
        <v>-0.11885494192461765</v>
      </c>
      <c r="G76" s="6">
        <v>2.4259575021567947E-2</v>
      </c>
      <c r="H76" s="6">
        <v>-0.59495996667160433</v>
      </c>
      <c r="I76" s="6">
        <v>-0.81723347333882979</v>
      </c>
      <c r="J76" s="6">
        <v>-0.82375728646740809</v>
      </c>
      <c r="K76" s="6">
        <v>-0.62857999210104154</v>
      </c>
      <c r="L76" s="6">
        <v>-0.90149011012319313</v>
      </c>
      <c r="M76" s="6">
        <v>-1.4775882840345034</v>
      </c>
      <c r="N76" s="6">
        <v>-1.8204044315377588</v>
      </c>
      <c r="P76" s="121">
        <f t="shared" si="9"/>
        <v>-6.3316445296453514</v>
      </c>
      <c r="Q76" s="92">
        <f t="shared" si="11"/>
        <v>110.51096125143741</v>
      </c>
      <c r="R76" s="93">
        <f t="shared" si="12"/>
        <v>110.51096125143741</v>
      </c>
      <c r="S76" s="6">
        <v>109.37518420681047</v>
      </c>
      <c r="T76" s="6">
        <v>112.48269714262861</v>
      </c>
      <c r="U76" s="6">
        <v>110.51096125143741</v>
      </c>
      <c r="V76" s="6">
        <v>119.41471738777261</v>
      </c>
      <c r="W76" s="6">
        <v>125.57783346370138</v>
      </c>
      <c r="X76" s="6">
        <v>122.82719892148521</v>
      </c>
      <c r="Y76" s="6">
        <v>119.52057919660781</v>
      </c>
      <c r="Z76" s="6">
        <v>143.69355899766771</v>
      </c>
      <c r="AA76" s="6">
        <v>160.9428959516184</v>
      </c>
      <c r="AB76" s="6">
        <v>147.95560000000003</v>
      </c>
    </row>
    <row r="77" spans="2:28">
      <c r="B77" s="5">
        <v>38686</v>
      </c>
      <c r="C77" s="92">
        <f t="shared" si="13"/>
        <v>0.30764513846306407</v>
      </c>
      <c r="D77" s="93">
        <f t="shared" si="14"/>
        <v>0.30764513846306407</v>
      </c>
      <c r="E77" s="6">
        <v>0.33156724001335292</v>
      </c>
      <c r="F77" s="6">
        <v>0.13751156395933606</v>
      </c>
      <c r="G77" s="6">
        <v>0.30764513846306407</v>
      </c>
      <c r="H77" s="6">
        <v>0.54388527149360488</v>
      </c>
      <c r="I77" s="6">
        <v>8.3827191585550409E-2</v>
      </c>
      <c r="J77" s="6">
        <v>0.54252626444579732</v>
      </c>
      <c r="K77" s="6">
        <v>0.47556495422356182</v>
      </c>
      <c r="L77" s="6">
        <v>0.73904952166905513</v>
      </c>
      <c r="M77" s="6">
        <v>1.5281998069570646</v>
      </c>
      <c r="N77" s="6">
        <v>1.9595743587941028</v>
      </c>
      <c r="P77" s="121">
        <f t="shared" si="9"/>
        <v>-6.2494865123921679</v>
      </c>
      <c r="Q77" s="92">
        <f t="shared" si="11"/>
        <v>110.85094285119625</v>
      </c>
      <c r="R77" s="93">
        <f t="shared" si="12"/>
        <v>110.85094285119625</v>
      </c>
      <c r="S77" s="6">
        <v>109.73783648634452</v>
      </c>
      <c r="T77" s="6">
        <v>112.63737385865308</v>
      </c>
      <c r="U77" s="6">
        <v>110.85094285119625</v>
      </c>
      <c r="V77" s="6">
        <v>120.06419644764043</v>
      </c>
      <c r="W77" s="6">
        <v>125.68310183474799</v>
      </c>
      <c r="X77" s="6">
        <v>123.49356873551734</v>
      </c>
      <c r="Y77" s="6">
        <v>120.08897718435189</v>
      </c>
      <c r="Z77" s="6">
        <v>144.75552555810921</v>
      </c>
      <c r="AA77" s="6">
        <v>163.40242497686214</v>
      </c>
      <c r="AB77" s="6">
        <v>150.85489999999999</v>
      </c>
    </row>
    <row r="78" spans="2:28">
      <c r="B78" s="5">
        <v>38717</v>
      </c>
      <c r="C78" s="92">
        <f t="shared" si="13"/>
        <v>0.32817737785633128</v>
      </c>
      <c r="D78" s="93">
        <f t="shared" si="14"/>
        <v>0.32817737785633128</v>
      </c>
      <c r="E78" s="6">
        <v>0.41148884774484529</v>
      </c>
      <c r="F78" s="6">
        <v>0.26402868678498947</v>
      </c>
      <c r="G78" s="6">
        <v>0.32817737785633128</v>
      </c>
      <c r="H78" s="6">
        <v>0.83710455873673428</v>
      </c>
      <c r="I78" s="6">
        <v>0.56824812845501782</v>
      </c>
      <c r="J78" s="6">
        <v>0.83700994941142692</v>
      </c>
      <c r="K78" s="6">
        <v>0.84513458128947505</v>
      </c>
      <c r="L78" s="6">
        <v>0.96026724585676071</v>
      </c>
      <c r="M78" s="6">
        <v>1.8477011340359617</v>
      </c>
      <c r="N78" s="6">
        <v>1.2799186503057003</v>
      </c>
      <c r="P78" s="121">
        <f t="shared" si="9"/>
        <v>-6.1645898945638784</v>
      </c>
      <c r="Q78" s="92">
        <f t="shared" si="11"/>
        <v>111.21473056877433</v>
      </c>
      <c r="R78" s="93">
        <f t="shared" si="12"/>
        <v>111.21473056877433</v>
      </c>
      <c r="S78" s="6">
        <v>110.1893954452423</v>
      </c>
      <c r="T78" s="6">
        <v>112.93476883768118</v>
      </c>
      <c r="U78" s="6">
        <v>111.21473056877433</v>
      </c>
      <c r="V78" s="6">
        <v>121.06925930951425</v>
      </c>
      <c r="W78" s="6">
        <v>126.39729370870816</v>
      </c>
      <c r="X78" s="6">
        <v>124.52722219271686</v>
      </c>
      <c r="Y78" s="6">
        <v>121.10389065885367</v>
      </c>
      <c r="Z78" s="6">
        <v>146.14556545661154</v>
      </c>
      <c r="AA78" s="6">
        <v>166.42161343620188</v>
      </c>
      <c r="AB78" s="6">
        <v>152.78572</v>
      </c>
    </row>
    <row r="79" spans="2:28">
      <c r="B79" s="7">
        <v>38748</v>
      </c>
      <c r="C79" s="92">
        <f t="shared" si="13"/>
        <v>0.23450870378254329</v>
      </c>
      <c r="D79" s="93">
        <f t="shared" si="14"/>
        <v>0.23450870378254329</v>
      </c>
      <c r="E79" s="6">
        <v>0.13601913059309023</v>
      </c>
      <c r="F79" s="6">
        <v>0.25048813900760969</v>
      </c>
      <c r="G79" s="6">
        <v>0.23450870378254329</v>
      </c>
      <c r="H79" s="6">
        <v>-0.22599288398833517</v>
      </c>
      <c r="I79" s="6">
        <v>-0.23715986393326727</v>
      </c>
      <c r="J79" s="6">
        <v>-9.1122824409461955E-2</v>
      </c>
      <c r="K79" s="6">
        <v>-8.0367503761891168E-2</v>
      </c>
      <c r="L79" s="6">
        <v>1.179125331026154</v>
      </c>
      <c r="M79" s="6">
        <v>1.1972271004650592</v>
      </c>
      <c r="N79" s="6">
        <v>4.537413575038296</v>
      </c>
      <c r="P79" s="121">
        <f t="shared" si="9"/>
        <v>-6.0796932767355889</v>
      </c>
      <c r="Q79" s="92">
        <f t="shared" si="11"/>
        <v>111.4755387918464</v>
      </c>
      <c r="R79" s="93">
        <f t="shared" si="12"/>
        <v>111.4755387918464</v>
      </c>
      <c r="S79" s="6">
        <v>110.33927410293269</v>
      </c>
      <c r="T79" s="6">
        <v>113.21765703843523</v>
      </c>
      <c r="U79" s="6">
        <v>111.4755387918464</v>
      </c>
      <c r="V79" s="6">
        <v>120.79565139877737</v>
      </c>
      <c r="W79" s="6">
        <v>126.09753005893326</v>
      </c>
      <c r="X79" s="6">
        <v>124.41374947069622</v>
      </c>
      <c r="Y79" s="6">
        <v>121.00656248497262</v>
      </c>
      <c r="Z79" s="6">
        <v>147.86880483908186</v>
      </c>
      <c r="AA79" s="6">
        <v>168.41405809329129</v>
      </c>
      <c r="AB79" s="6">
        <v>159.71824000000001</v>
      </c>
    </row>
    <row r="80" spans="2:28">
      <c r="B80" s="5">
        <v>38776</v>
      </c>
      <c r="C80" s="92">
        <f t="shared" si="13"/>
        <v>0.1815524182652517</v>
      </c>
      <c r="D80" s="93">
        <f t="shared" si="14"/>
        <v>0.1815524182652517</v>
      </c>
      <c r="E80" s="6">
        <v>7.0336389537639654E-2</v>
      </c>
      <c r="F80" s="6">
        <v>0.31153365741587447</v>
      </c>
      <c r="G80" s="6">
        <v>0.1815524182652517</v>
      </c>
      <c r="H80" s="6">
        <v>0.21631289358667871</v>
      </c>
      <c r="I80" s="6">
        <v>0.24856282145919728</v>
      </c>
      <c r="J80" s="6">
        <v>0.28714752496461493</v>
      </c>
      <c r="K80" s="6">
        <v>0.28870966951675126</v>
      </c>
      <c r="L80" s="6">
        <v>0.94178280061938402</v>
      </c>
      <c r="M80" s="6">
        <v>2.221103738740493</v>
      </c>
      <c r="N80" s="6">
        <v>1.3816267947856176</v>
      </c>
      <c r="P80" s="121">
        <f t="shared" si="9"/>
        <v>-6.0030124606326174</v>
      </c>
      <c r="Q80" s="92">
        <f t="shared" si="11"/>
        <v>111.67792532829722</v>
      </c>
      <c r="R80" s="93">
        <f t="shared" si="12"/>
        <v>111.67792532829722</v>
      </c>
      <c r="S80" s="6">
        <v>110.41688276457873</v>
      </c>
      <c r="T80" s="6">
        <v>113.57036814624763</v>
      </c>
      <c r="U80" s="6">
        <v>111.67792532829722</v>
      </c>
      <c r="V80" s="6">
        <v>121.05694796764494</v>
      </c>
      <c r="W80" s="6">
        <v>126.41096163743811</v>
      </c>
      <c r="X80" s="6">
        <v>124.771000473017</v>
      </c>
      <c r="Y80" s="6">
        <v>121.35592013161657</v>
      </c>
      <c r="Z80" s="6">
        <v>149.26140781053778</v>
      </c>
      <c r="AA80" s="6">
        <v>172.15470903416596</v>
      </c>
      <c r="AB80" s="6">
        <v>161.92495</v>
      </c>
    </row>
    <row r="81" spans="2:28">
      <c r="B81" s="7">
        <v>38807</v>
      </c>
      <c r="C81" s="92">
        <f t="shared" si="13"/>
        <v>0.11076882352740736</v>
      </c>
      <c r="D81" s="93">
        <f t="shared" si="14"/>
        <v>0.11076882352740736</v>
      </c>
      <c r="E81" s="6">
        <v>0.1445674421084675</v>
      </c>
      <c r="F81" s="6">
        <v>-4.3232173054352785E-3</v>
      </c>
      <c r="G81" s="6">
        <v>0.11076882352740736</v>
      </c>
      <c r="H81" s="6">
        <v>-0.93675953729576156</v>
      </c>
      <c r="I81" s="6">
        <v>-0.90732531742323541</v>
      </c>
      <c r="J81" s="6">
        <v>-1.0844813954352772</v>
      </c>
      <c r="K81" s="6">
        <v>-0.87464311615427226</v>
      </c>
      <c r="L81" s="6">
        <v>0.43043742058088696</v>
      </c>
      <c r="M81" s="6">
        <v>-1.8975202167637706</v>
      </c>
      <c r="N81" s="6">
        <v>-1.5398182923632153</v>
      </c>
      <c r="P81" s="121">
        <f t="shared" si="9"/>
        <v>-5.918115842804327</v>
      </c>
      <c r="Q81" s="92">
        <f t="shared" si="11"/>
        <v>111.80162965232319</v>
      </c>
      <c r="R81" s="93">
        <f t="shared" si="12"/>
        <v>111.80162965232319</v>
      </c>
      <c r="S81" s="6">
        <v>110.57650962764738</v>
      </c>
      <c r="T81" s="6">
        <v>113.56545825243809</v>
      </c>
      <c r="U81" s="6">
        <v>111.80162965232319</v>
      </c>
      <c r="V81" s="6">
        <v>119.92293546199886</v>
      </c>
      <c r="W81" s="6">
        <v>125.26400297850346</v>
      </c>
      <c r="X81" s="6">
        <v>123.41788218598866</v>
      </c>
      <c r="Y81" s="6">
        <v>120.29448893013971</v>
      </c>
      <c r="Z81" s="6">
        <v>149.90388476424016</v>
      </c>
      <c r="AA81" s="6">
        <v>168.88803862613182</v>
      </c>
      <c r="AB81" s="6">
        <v>159.4316</v>
      </c>
    </row>
    <row r="82" spans="2:28">
      <c r="B82" s="5">
        <v>38837</v>
      </c>
      <c r="C82" s="92">
        <f t="shared" si="13"/>
        <v>0.3504278799200789</v>
      </c>
      <c r="D82" s="93">
        <f t="shared" si="14"/>
        <v>0.3504278799200789</v>
      </c>
      <c r="E82" s="6">
        <v>0.29081124553256288</v>
      </c>
      <c r="F82" s="6">
        <v>0.22915103300713557</v>
      </c>
      <c r="G82" s="6">
        <v>0.35042787992007884</v>
      </c>
      <c r="H82" s="6">
        <v>-0.55168995666274867</v>
      </c>
      <c r="I82" s="6">
        <v>-0.18799519485908078</v>
      </c>
      <c r="J82" s="6">
        <v>-0.30686627049414383</v>
      </c>
      <c r="K82" s="6">
        <v>-0.35473659492591958</v>
      </c>
      <c r="L82" s="6">
        <v>0.66397656419199258</v>
      </c>
      <c r="M82" s="6">
        <v>-8.5050414237086702E-2</v>
      </c>
      <c r="N82" s="6">
        <v>2.7372490773472702</v>
      </c>
      <c r="P82" s="121">
        <f t="shared" si="9"/>
        <v>-5.8359578255511435</v>
      </c>
      <c r="Q82" s="92">
        <f t="shared" si="11"/>
        <v>112.19341373282992</v>
      </c>
      <c r="R82" s="93">
        <f t="shared" si="12"/>
        <v>112.19341373282992</v>
      </c>
      <c r="S82" s="6">
        <v>110.89807855256198</v>
      </c>
      <c r="T82" s="6">
        <v>113.82569467316284</v>
      </c>
      <c r="U82" s="6">
        <v>112.19341373282992</v>
      </c>
      <c r="V82" s="6">
        <v>119.26133267131986</v>
      </c>
      <c r="W82" s="6">
        <v>125.02851267201574</v>
      </c>
      <c r="X82" s="6">
        <v>123.03915433380166</v>
      </c>
      <c r="Y82" s="6">
        <v>119.86776035622539</v>
      </c>
      <c r="Z82" s="6">
        <v>150.89921142788808</v>
      </c>
      <c r="AA82" s="6">
        <v>168.7443986496834</v>
      </c>
      <c r="AB82" s="6">
        <v>163.79563999999999</v>
      </c>
    </row>
    <row r="83" spans="2:28">
      <c r="B83" s="5">
        <v>38868</v>
      </c>
      <c r="C83" s="92">
        <f t="shared" si="13"/>
        <v>0.2926787959147914</v>
      </c>
      <c r="D83" s="93">
        <f t="shared" si="14"/>
        <v>0.2926787959147914</v>
      </c>
      <c r="E83" s="6">
        <v>0.12932981471998062</v>
      </c>
      <c r="F83" s="6">
        <v>0.53746455967191853</v>
      </c>
      <c r="G83" s="6">
        <v>0.2926787959147914</v>
      </c>
      <c r="H83" s="6">
        <v>0.4417714821300267</v>
      </c>
      <c r="I83" s="6">
        <v>0.5270672171183266</v>
      </c>
      <c r="J83" s="6">
        <v>0.20676511086878957</v>
      </c>
      <c r="K83" s="6">
        <v>0.31848790755903966</v>
      </c>
      <c r="L83" s="6">
        <v>-0.15286797302728194</v>
      </c>
      <c r="M83" s="6">
        <v>-2.0465071786894828</v>
      </c>
      <c r="N83" s="6">
        <v>-4.537965723629755</v>
      </c>
      <c r="P83" s="121">
        <f t="shared" si="9"/>
        <v>-5.751061207722854</v>
      </c>
      <c r="Q83" s="92">
        <f t="shared" si="11"/>
        <v>112.52178006523887</v>
      </c>
      <c r="R83" s="93">
        <f t="shared" si="12"/>
        <v>112.52178006523887</v>
      </c>
      <c r="S83" s="6">
        <v>111.04150283208203</v>
      </c>
      <c r="T83" s="6">
        <v>114.43746744183146</v>
      </c>
      <c r="U83" s="6">
        <v>112.52178006523887</v>
      </c>
      <c r="V83" s="6">
        <v>119.78819522826997</v>
      </c>
      <c r="W83" s="6">
        <v>125.68749697436057</v>
      </c>
      <c r="X83" s="6">
        <v>123.29355637767196</v>
      </c>
      <c r="Y83" s="6">
        <v>120.24952467802181</v>
      </c>
      <c r="Z83" s="6">
        <v>150.66853486206412</v>
      </c>
      <c r="AA83" s="6">
        <v>165.29103241768124</v>
      </c>
      <c r="AB83" s="6">
        <v>156.36265</v>
      </c>
    </row>
    <row r="84" spans="2:28">
      <c r="B84" s="7">
        <v>38898</v>
      </c>
      <c r="C84" s="92">
        <f t="shared" si="13"/>
        <v>0.2821533520416919</v>
      </c>
      <c r="D84" s="93">
        <f t="shared" si="14"/>
        <v>0.2821533520416919</v>
      </c>
      <c r="E84" s="6">
        <v>0.21189689748735141</v>
      </c>
      <c r="F84" s="6">
        <v>0.20022497803704464</v>
      </c>
      <c r="G84" s="6">
        <v>0.2821533520416919</v>
      </c>
      <c r="H84" s="6">
        <v>6.1284586393184348E-2</v>
      </c>
      <c r="I84" s="6">
        <v>-0.2847511055237173</v>
      </c>
      <c r="J84" s="6">
        <v>-0.10677580723360558</v>
      </c>
      <c r="K84" s="6">
        <v>-1.123822989104184E-2</v>
      </c>
      <c r="L84" s="6">
        <v>-0.57044677436732805</v>
      </c>
      <c r="M84" s="6">
        <v>-6.6523970065346383E-3</v>
      </c>
      <c r="N84" s="6">
        <v>-2.601235013604597</v>
      </c>
      <c r="P84" s="121">
        <f t="shared" si="9"/>
        <v>-5.6689031904696705</v>
      </c>
      <c r="Q84" s="92">
        <f t="shared" si="11"/>
        <v>112.83926403946992</v>
      </c>
      <c r="R84" s="93">
        <f t="shared" si="12"/>
        <v>112.83926403946992</v>
      </c>
      <c r="S84" s="6">
        <v>111.27679633150655</v>
      </c>
      <c r="T84" s="6">
        <v>114.66659983588302</v>
      </c>
      <c r="U84" s="6">
        <v>112.83926403946992</v>
      </c>
      <c r="V84" s="6">
        <v>119.86160692826347</v>
      </c>
      <c r="W84" s="6">
        <v>125.32960043722099</v>
      </c>
      <c r="X84" s="6">
        <v>123.16190868758268</v>
      </c>
      <c r="Y84" s="6">
        <v>120.23601075999561</v>
      </c>
      <c r="Z84" s="6">
        <v>149.80905106495698</v>
      </c>
      <c r="AA84" s="6">
        <v>165.2800366019886</v>
      </c>
      <c r="AB84" s="6">
        <v>152.29528999999999</v>
      </c>
    </row>
    <row r="85" spans="2:28">
      <c r="B85" s="5">
        <v>38929</v>
      </c>
      <c r="C85" s="92">
        <f t="shared" si="13"/>
        <v>0.61286093540926512</v>
      </c>
      <c r="D85" s="93">
        <f t="shared" si="14"/>
        <v>0.61286093540926512</v>
      </c>
      <c r="E85" s="6">
        <v>0.72632991008929615</v>
      </c>
      <c r="F85" s="6">
        <v>0.58666049934890108</v>
      </c>
      <c r="G85" s="6">
        <v>0.61286093540926512</v>
      </c>
      <c r="H85" s="6">
        <v>1.0639760944441745</v>
      </c>
      <c r="I85" s="6">
        <v>1.2375242967916478</v>
      </c>
      <c r="J85" s="6">
        <v>1.2781660614426427</v>
      </c>
      <c r="K85" s="6">
        <v>1.1776430332136822</v>
      </c>
      <c r="L85" s="6">
        <v>0.94840516233525296</v>
      </c>
      <c r="M85" s="6">
        <v>3.2707857066849311</v>
      </c>
      <c r="N85" s="6">
        <v>4.2223170526153542</v>
      </c>
      <c r="P85" s="121">
        <f t="shared" si="9"/>
        <v>-5.584006572641381</v>
      </c>
      <c r="Q85" s="92">
        <f t="shared" si="11"/>
        <v>113.53081180857114</v>
      </c>
      <c r="R85" s="93">
        <f t="shared" si="12"/>
        <v>113.53081180857114</v>
      </c>
      <c r="S85" s="6">
        <v>112.08503298625142</v>
      </c>
      <c r="T85" s="6">
        <v>115.33930348306662</v>
      </c>
      <c r="U85" s="6">
        <v>113.53081180857114</v>
      </c>
      <c r="V85" s="6">
        <v>121.13690577239683</v>
      </c>
      <c r="W85" s="6">
        <v>126.8805846937035</v>
      </c>
      <c r="X85" s="6">
        <v>124.73612240505234</v>
      </c>
      <c r="Y85" s="6">
        <v>121.65196176412475</v>
      </c>
      <c r="Z85" s="6">
        <v>151.22984783890249</v>
      </c>
      <c r="AA85" s="6">
        <v>170.68599241517006</v>
      </c>
      <c r="AB85" s="6">
        <v>158.72568000000001</v>
      </c>
    </row>
    <row r="86" spans="2:28">
      <c r="B86" s="7">
        <v>38960</v>
      </c>
      <c r="C86" s="92">
        <f t="shared" si="13"/>
        <v>0.71609470583919854</v>
      </c>
      <c r="D86" s="93">
        <f t="shared" si="14"/>
        <v>0.71609470583919854</v>
      </c>
      <c r="E86" s="6">
        <v>0.73950929854618153</v>
      </c>
      <c r="F86" s="6">
        <v>0.5597657789009336</v>
      </c>
      <c r="G86" s="6">
        <v>0.71609470583919865</v>
      </c>
      <c r="H86" s="6">
        <v>1.6773531271129238</v>
      </c>
      <c r="I86" s="6">
        <v>1.1637172322202183</v>
      </c>
      <c r="J86" s="6">
        <v>1.5099229383763291</v>
      </c>
      <c r="K86" s="6">
        <v>1.4961916284233823</v>
      </c>
      <c r="L86" s="6">
        <v>1.4637591096548164</v>
      </c>
      <c r="M86" s="6">
        <v>2.6025820240463071</v>
      </c>
      <c r="N86" s="6">
        <v>1.1585963909557684</v>
      </c>
      <c r="P86" s="121">
        <f t="shared" si="9"/>
        <v>-5.4991099548130906</v>
      </c>
      <c r="Q86" s="92">
        <f t="shared" si="11"/>
        <v>114.34379994142859</v>
      </c>
      <c r="R86" s="93">
        <f t="shared" si="12"/>
        <v>114.34379994142859</v>
      </c>
      <c r="S86" s="6">
        <v>112.9139122274633</v>
      </c>
      <c r="T86" s="6">
        <v>115.98493343358751</v>
      </c>
      <c r="U86" s="6">
        <v>114.34379994142859</v>
      </c>
      <c r="V86" s="6">
        <v>123.16879944945796</v>
      </c>
      <c r="W86" s="6">
        <v>128.3571159221259</v>
      </c>
      <c r="X86" s="6">
        <v>126.6195417296874</v>
      </c>
      <c r="Y86" s="6">
        <v>123.4721082318524</v>
      </c>
      <c r="Z86" s="6">
        <v>153.44348851316153</v>
      </c>
      <c r="AA86" s="6">
        <v>175.12823537133232</v>
      </c>
      <c r="AB86" s="6">
        <v>160.56467000000001</v>
      </c>
    </row>
    <row r="87" spans="2:28">
      <c r="B87" s="5">
        <v>38990</v>
      </c>
      <c r="C87" s="92">
        <f t="shared" si="13"/>
        <v>0.42163728642534709</v>
      </c>
      <c r="D87" s="93">
        <f t="shared" si="14"/>
        <v>0.42163728642534709</v>
      </c>
      <c r="E87" s="6">
        <v>0.53386215939661419</v>
      </c>
      <c r="F87" s="6">
        <v>0.33824182191837249</v>
      </c>
      <c r="G87" s="6">
        <v>0.42163728642534704</v>
      </c>
      <c r="H87" s="6">
        <v>0.70532934073064268</v>
      </c>
      <c r="I87" s="6">
        <v>0.54388955797655125</v>
      </c>
      <c r="J87" s="6">
        <v>0.82462942791077243</v>
      </c>
      <c r="K87" s="6">
        <v>0.71946647271547981</v>
      </c>
      <c r="L87" s="6">
        <v>1.3179213924198407</v>
      </c>
      <c r="M87" s="6">
        <v>0.5611064977226965</v>
      </c>
      <c r="N87" s="6">
        <v>-0.74308999607447523</v>
      </c>
      <c r="P87" s="121">
        <f t="shared" si="9"/>
        <v>-5.4169519375599071</v>
      </c>
      <c r="Q87" s="92">
        <f t="shared" si="11"/>
        <v>114.82591603669725</v>
      </c>
      <c r="R87" s="93">
        <f t="shared" si="12"/>
        <v>114.82591603669725</v>
      </c>
      <c r="S87" s="6">
        <v>113.51671687754003</v>
      </c>
      <c r="T87" s="6">
        <v>116.37724298558409</v>
      </c>
      <c r="U87" s="6">
        <v>114.82591603669725</v>
      </c>
      <c r="V87" s="6">
        <v>124.03754513060068</v>
      </c>
      <c r="W87" s="6">
        <v>129.0552368725462</v>
      </c>
      <c r="X87" s="6">
        <v>127.66368373227616</v>
      </c>
      <c r="Y87" s="6">
        <v>124.36044865373555</v>
      </c>
      <c r="Z87" s="6">
        <v>155.46575307355175</v>
      </c>
      <c r="AA87" s="6">
        <v>176.11089127934795</v>
      </c>
      <c r="AB87" s="6">
        <v>159.37153000000001</v>
      </c>
    </row>
    <row r="88" spans="2:28">
      <c r="B88" s="5">
        <v>39021</v>
      </c>
      <c r="C88" s="92">
        <f t="shared" si="13"/>
        <v>0.34473724311796516</v>
      </c>
      <c r="D88" s="93">
        <f t="shared" si="14"/>
        <v>0.34473724311796516</v>
      </c>
      <c r="E88" s="6">
        <v>0.36744275634463808</v>
      </c>
      <c r="F88" s="6">
        <v>0.31683512946576453</v>
      </c>
      <c r="G88" s="6">
        <v>0.34473724311796516</v>
      </c>
      <c r="H88" s="6">
        <v>0.44107548065992486</v>
      </c>
      <c r="I88" s="6">
        <v>0.49588454382540892</v>
      </c>
      <c r="J88" s="6">
        <v>0.70187089521385193</v>
      </c>
      <c r="K88" s="6">
        <v>0.53583696883965359</v>
      </c>
      <c r="L88" s="6">
        <v>1.4628945748703215</v>
      </c>
      <c r="M88" s="6">
        <v>1.8532061813705702</v>
      </c>
      <c r="N88" s="6">
        <v>4.6666490558257223</v>
      </c>
      <c r="P88" s="121">
        <f t="shared" si="9"/>
        <v>-5.3320553197316176</v>
      </c>
      <c r="Q88" s="92">
        <f t="shared" si="11"/>
        <v>115.22176373402711</v>
      </c>
      <c r="R88" s="93">
        <f t="shared" si="12"/>
        <v>115.22176373402711</v>
      </c>
      <c r="S88" s="6">
        <v>113.9338258309468</v>
      </c>
      <c r="T88" s="6">
        <v>116.74596697406615</v>
      </c>
      <c r="U88" s="6">
        <v>115.22176373402711</v>
      </c>
      <c r="V88" s="6">
        <v>124.58464432898424</v>
      </c>
      <c r="W88" s="6">
        <v>129.69520184519442</v>
      </c>
      <c r="X88" s="6">
        <v>128.55971797215085</v>
      </c>
      <c r="Y88" s="6">
        <v>125.02681791223712</v>
      </c>
      <c r="Z88" s="6">
        <v>157.74005314104602</v>
      </c>
      <c r="AA88" s="6">
        <v>179.37458920260363</v>
      </c>
      <c r="AB88" s="6">
        <v>166.80884</v>
      </c>
    </row>
    <row r="89" spans="2:28">
      <c r="B89" s="7">
        <v>39051</v>
      </c>
      <c r="C89" s="92">
        <f t="shared" si="13"/>
        <v>0.45250004995438514</v>
      </c>
      <c r="D89" s="93">
        <f t="shared" si="14"/>
        <v>0.45250004995438514</v>
      </c>
      <c r="E89" s="6">
        <v>0.51377586693244215</v>
      </c>
      <c r="F89" s="6">
        <v>0.53871176799540343</v>
      </c>
      <c r="G89" s="6">
        <v>0.4525000499543852</v>
      </c>
      <c r="H89" s="6">
        <v>0.76174545128946392</v>
      </c>
      <c r="I89" s="6">
        <v>0.76163591652391727</v>
      </c>
      <c r="J89" s="6">
        <v>1.0187877903632181</v>
      </c>
      <c r="K89" s="6">
        <v>0.86532618469064015</v>
      </c>
      <c r="L89" s="6">
        <v>1.4840491794399613</v>
      </c>
      <c r="M89" s="6">
        <v>1.2685458949320161</v>
      </c>
      <c r="N89" s="6">
        <v>3.2193257863312175</v>
      </c>
      <c r="P89" s="121">
        <f t="shared" si="9"/>
        <v>-5.2498973024784341</v>
      </c>
      <c r="Q89" s="92">
        <f t="shared" si="11"/>
        <v>115.7431422724819</v>
      </c>
      <c r="R89" s="93">
        <f t="shared" si="12"/>
        <v>115.7431422724819</v>
      </c>
      <c r="S89" s="6">
        <v>114.51919033233905</v>
      </c>
      <c r="T89" s="6">
        <v>117.37489123681547</v>
      </c>
      <c r="U89" s="6">
        <v>115.7431422724819</v>
      </c>
      <c r="V89" s="6">
        <v>125.53366219016543</v>
      </c>
      <c r="W89" s="6">
        <v>130.6830070844556</v>
      </c>
      <c r="X89" s="6">
        <v>129.86946868217652</v>
      </c>
      <c r="Y89" s="6">
        <v>126.10870770551719</v>
      </c>
      <c r="Z89" s="6">
        <v>160.08099310533387</v>
      </c>
      <c r="AA89" s="6">
        <v>181.65003819048442</v>
      </c>
      <c r="AB89" s="6">
        <v>172.17895999999999</v>
      </c>
    </row>
    <row r="90" spans="2:28">
      <c r="B90" s="5">
        <v>39082</v>
      </c>
      <c r="C90" s="92">
        <f t="shared" si="13"/>
        <v>0.17130766375028639</v>
      </c>
      <c r="D90" s="93">
        <f t="shared" si="14"/>
        <v>0.17130766375028639</v>
      </c>
      <c r="E90" s="6">
        <v>6.4640200804877423E-3</v>
      </c>
      <c r="F90" s="6">
        <v>2.9574168416424129E-2</v>
      </c>
      <c r="G90" s="6">
        <v>0.17130766375028639</v>
      </c>
      <c r="H90" s="6">
        <v>-0.57246521754866775</v>
      </c>
      <c r="I90" s="6">
        <v>-0.69067165582942236</v>
      </c>
      <c r="J90" s="6">
        <v>-0.68640844033202031</v>
      </c>
      <c r="K90" s="6">
        <v>-0.47761806404809093</v>
      </c>
      <c r="L90" s="6">
        <v>1.1143726316912961</v>
      </c>
      <c r="M90" s="6">
        <v>0.66538088222296565</v>
      </c>
      <c r="N90" s="6">
        <v>2.2403434194282479</v>
      </c>
      <c r="P90" s="121">
        <f t="shared" si="9"/>
        <v>-5.1650006846501437</v>
      </c>
      <c r="Q90" s="92">
        <f t="shared" si="11"/>
        <v>115.94141914546006</v>
      </c>
      <c r="R90" s="93">
        <f t="shared" si="12"/>
        <v>115.94141914546006</v>
      </c>
      <c r="S90" s="6">
        <v>114.52659287579814</v>
      </c>
      <c r="T90" s="6">
        <v>117.40960388482844</v>
      </c>
      <c r="U90" s="6">
        <v>115.94141914546006</v>
      </c>
      <c r="V90" s="6">
        <v>124.81502563781169</v>
      </c>
      <c r="W90" s="6">
        <v>129.7804165955377</v>
      </c>
      <c r="X90" s="6">
        <v>128.9780336877277</v>
      </c>
      <c r="Y90" s="6">
        <v>125.50638973717804</v>
      </c>
      <c r="Z90" s="6">
        <v>161.86489188103934</v>
      </c>
      <c r="AA90" s="6">
        <v>182.85870281715464</v>
      </c>
      <c r="AB90" s="6">
        <v>176.03635999999997</v>
      </c>
    </row>
    <row r="91" spans="2:28">
      <c r="B91" s="7">
        <v>39113</v>
      </c>
      <c r="C91" s="92">
        <f t="shared" si="13"/>
        <v>0.3575382858536314</v>
      </c>
      <c r="D91" s="93">
        <f t="shared" si="14"/>
        <v>0.3575382858536314</v>
      </c>
      <c r="E91" s="6">
        <v>0.19158063935666991</v>
      </c>
      <c r="F91" s="6">
        <v>0.32191010910216367</v>
      </c>
      <c r="G91" s="6">
        <v>0.35753828585363134</v>
      </c>
      <c r="H91" s="6">
        <v>-8.1155901840224143E-2</v>
      </c>
      <c r="I91" s="6">
        <v>0.12763728015481313</v>
      </c>
      <c r="J91" s="6">
        <v>6.1677415457594975E-3</v>
      </c>
      <c r="K91" s="6">
        <v>-3.9930095113172026E-2</v>
      </c>
      <c r="L91" s="6">
        <v>1.0947017280874993</v>
      </c>
      <c r="M91" s="6">
        <v>-0.30499217128501233</v>
      </c>
      <c r="N91" s="6">
        <v>-0.80272620951717943</v>
      </c>
      <c r="P91" s="121">
        <f t="shared" si="9"/>
        <v>-5.0801040668218542</v>
      </c>
      <c r="Q91" s="92">
        <f t="shared" si="11"/>
        <v>116.35595410806711</v>
      </c>
      <c r="R91" s="93">
        <f t="shared" si="12"/>
        <v>116.35595410806711</v>
      </c>
      <c r="S91" s="6">
        <v>114.74600365466301</v>
      </c>
      <c r="T91" s="6">
        <v>117.78755726879051</v>
      </c>
      <c r="U91" s="6">
        <v>116.35595410806711</v>
      </c>
      <c r="V91" s="6">
        <v>124.71373087812322</v>
      </c>
      <c r="W91" s="6">
        <v>129.94606478945383</v>
      </c>
      <c r="X91" s="6">
        <v>128.98598871949636</v>
      </c>
      <c r="Y91" s="6">
        <v>125.45627491638288</v>
      </c>
      <c r="Z91" s="6">
        <v>163.63682964962805</v>
      </c>
      <c r="AA91" s="6">
        <v>182.30099808904899</v>
      </c>
      <c r="AB91" s="6">
        <v>174.62326999999996</v>
      </c>
    </row>
    <row r="92" spans="2:28">
      <c r="B92" s="5">
        <v>39141</v>
      </c>
      <c r="C92" s="92">
        <f t="shared" si="13"/>
        <v>0.57000671701881167</v>
      </c>
      <c r="D92" s="93">
        <f t="shared" si="14"/>
        <v>0.57000671701881167</v>
      </c>
      <c r="E92" s="6">
        <v>0.84799663685819482</v>
      </c>
      <c r="F92" s="6">
        <v>0.57365802841469193</v>
      </c>
      <c r="G92" s="6">
        <v>0.57000671701881167</v>
      </c>
      <c r="H92" s="6">
        <v>1.2383796326563834</v>
      </c>
      <c r="I92" s="6">
        <v>1.1431303337351206</v>
      </c>
      <c r="J92" s="6">
        <v>1.6134134119882626</v>
      </c>
      <c r="K92" s="6">
        <v>1.2553120799398521</v>
      </c>
      <c r="L92" s="6">
        <v>1.4483219514232815</v>
      </c>
      <c r="M92" s="6">
        <v>1.7179857022014744</v>
      </c>
      <c r="N92" s="6">
        <v>1.3802570527971625</v>
      </c>
      <c r="P92" s="121">
        <f t="shared" si="9"/>
        <v>-5.0034232507188827</v>
      </c>
      <c r="Q92" s="92">
        <f t="shared" si="11"/>
        <v>117.01919086213442</v>
      </c>
      <c r="R92" s="93">
        <f t="shared" si="12"/>
        <v>117.01919086213442</v>
      </c>
      <c r="S92" s="6">
        <v>115.71904590658373</v>
      </c>
      <c r="T92" s="6">
        <v>118.46325504753648</v>
      </c>
      <c r="U92" s="6">
        <v>117.01919086213442</v>
      </c>
      <c r="V92" s="6">
        <v>126.25816032044379</v>
      </c>
      <c r="W92" s="6">
        <v>131.43151767355718</v>
      </c>
      <c r="X92" s="6">
        <v>131.06706596108239</v>
      </c>
      <c r="Y92" s="6">
        <v>127.03114269045079</v>
      </c>
      <c r="Z92" s="6">
        <v>166.00681777405674</v>
      </c>
      <c r="AA92" s="6">
        <v>185.43290317118942</v>
      </c>
      <c r="AB92" s="6">
        <v>177.03351999999998</v>
      </c>
    </row>
    <row r="93" spans="2:28">
      <c r="B93" s="5">
        <v>39172</v>
      </c>
      <c r="C93" s="92">
        <f t="shared" si="13"/>
        <v>0.34609990307195027</v>
      </c>
      <c r="D93" s="93">
        <f t="shared" si="14"/>
        <v>0.34609990307195027</v>
      </c>
      <c r="E93" s="6">
        <v>0.39510009802476986</v>
      </c>
      <c r="F93" s="6">
        <v>0.21505930824021746</v>
      </c>
      <c r="G93" s="6">
        <v>0.34609990307195027</v>
      </c>
      <c r="H93" s="6">
        <v>-0.11189470604547891</v>
      </c>
      <c r="I93" s="6">
        <v>-0.11887805519377181</v>
      </c>
      <c r="J93" s="6">
        <v>-0.37720914280554574</v>
      </c>
      <c r="K93" s="6">
        <v>-3.8481791906963547E-2</v>
      </c>
      <c r="L93" s="6">
        <v>0.2902638106903499</v>
      </c>
      <c r="M93" s="6">
        <v>0.9732015753181944</v>
      </c>
      <c r="N93" s="6">
        <v>3.0813147702197785</v>
      </c>
      <c r="P93" s="121">
        <f t="shared" si="9"/>
        <v>-4.9185266328905932</v>
      </c>
      <c r="Q93" s="92">
        <f t="shared" si="11"/>
        <v>117.42419416828385</v>
      </c>
      <c r="R93" s="93">
        <f t="shared" si="12"/>
        <v>117.42419416828385</v>
      </c>
      <c r="S93" s="6">
        <v>116.17625197039398</v>
      </c>
      <c r="T93" s="6">
        <v>118.71802130436055</v>
      </c>
      <c r="U93" s="6">
        <v>117.42419416828385</v>
      </c>
      <c r="V93" s="6">
        <v>126.11688412309481</v>
      </c>
      <c r="W93" s="6">
        <v>131.27527444143519</v>
      </c>
      <c r="X93" s="6">
        <v>130.57266900507022</v>
      </c>
      <c r="Y93" s="6">
        <v>126.98225883046362</v>
      </c>
      <c r="Z93" s="6">
        <v>166.4886754893335</v>
      </c>
      <c r="AA93" s="6">
        <v>187.23753910600971</v>
      </c>
      <c r="AB93" s="6">
        <v>182.48847999999995</v>
      </c>
    </row>
    <row r="94" spans="2:28">
      <c r="B94" s="7">
        <v>39202</v>
      </c>
      <c r="C94" s="92">
        <f t="shared" si="13"/>
        <v>0.33850124005907473</v>
      </c>
      <c r="D94" s="93">
        <f t="shared" si="14"/>
        <v>0.33850124005907473</v>
      </c>
      <c r="E94" s="6">
        <v>0.34390464634601603</v>
      </c>
      <c r="F94" s="6">
        <v>0.27597959562610797</v>
      </c>
      <c r="G94" s="6">
        <v>0.33850124005907478</v>
      </c>
      <c r="H94" s="6">
        <v>0.27530589912896364</v>
      </c>
      <c r="I94" s="6">
        <v>6.74028202920951E-2</v>
      </c>
      <c r="J94" s="6">
        <v>0.39877099284499895</v>
      </c>
      <c r="K94" s="6">
        <v>0.31035603569200543</v>
      </c>
      <c r="L94" s="6">
        <v>1.331143839482718</v>
      </c>
      <c r="M94" s="6">
        <v>0.86687965033922509</v>
      </c>
      <c r="N94" s="6">
        <v>3.014639609031744</v>
      </c>
      <c r="P94" s="121">
        <f t="shared" si="9"/>
        <v>-4.8363686156374097</v>
      </c>
      <c r="Q94" s="92">
        <f t="shared" si="11"/>
        <v>117.82167652167287</v>
      </c>
      <c r="R94" s="93">
        <f t="shared" si="12"/>
        <v>117.82167652167287</v>
      </c>
      <c r="S94" s="6">
        <v>116.57578749887082</v>
      </c>
      <c r="T94" s="6">
        <v>119.04565881949163</v>
      </c>
      <c r="U94" s="6">
        <v>117.82167652167287</v>
      </c>
      <c r="V94" s="6">
        <v>126.46409134488333</v>
      </c>
      <c r="W94" s="6">
        <v>131.36375767875489</v>
      </c>
      <c r="X94" s="6">
        <v>131.09335493364597</v>
      </c>
      <c r="Y94" s="6">
        <v>127.37635593500201</v>
      </c>
      <c r="Z94" s="6">
        <v>168.70487923654613</v>
      </c>
      <c r="AA94" s="6">
        <v>188.86066323031565</v>
      </c>
      <c r="AB94" s="6">
        <v>187.98984999999993</v>
      </c>
    </row>
    <row r="95" spans="2:28">
      <c r="B95" s="5">
        <v>39233</v>
      </c>
      <c r="C95" s="92">
        <f t="shared" si="13"/>
        <v>3.3929381616659704E-2</v>
      </c>
      <c r="D95" s="93">
        <f t="shared" si="14"/>
        <v>3.3929381616659704E-2</v>
      </c>
      <c r="E95" s="6">
        <v>-0.12675468928653455</v>
      </c>
      <c r="F95" s="6">
        <v>1.5728305565532175E-2</v>
      </c>
      <c r="G95" s="6">
        <v>3.3929381616659704E-2</v>
      </c>
      <c r="H95" s="6">
        <v>-0.76083741954150463</v>
      </c>
      <c r="I95" s="6">
        <v>-0.61930228262303544</v>
      </c>
      <c r="J95" s="6">
        <v>-0.75506220098628951</v>
      </c>
      <c r="K95" s="6">
        <v>-0.67393717142286702</v>
      </c>
      <c r="L95" s="6">
        <v>0.66543775067859912</v>
      </c>
      <c r="M95" s="6">
        <v>-0.38458649258806821</v>
      </c>
      <c r="N95" s="6">
        <v>1.9997409434605151</v>
      </c>
      <c r="P95" s="121">
        <f t="shared" si="9"/>
        <v>-4.7514719978091202</v>
      </c>
      <c r="Q95" s="92">
        <f t="shared" si="11"/>
        <v>117.86165268792705</v>
      </c>
      <c r="R95" s="93">
        <f t="shared" si="12"/>
        <v>117.86165268792705</v>
      </c>
      <c r="S95" s="6">
        <v>116.4280222216433</v>
      </c>
      <c r="T95" s="6">
        <v>119.06438268447326</v>
      </c>
      <c r="U95" s="6">
        <v>117.86165268792705</v>
      </c>
      <c r="V95" s="6">
        <v>125.50190521564831</v>
      </c>
      <c r="W95" s="6">
        <v>130.55021892891097</v>
      </c>
      <c r="X95" s="6">
        <v>130.1035185625372</v>
      </c>
      <c r="Y95" s="6">
        <v>126.51791932475213</v>
      </c>
      <c r="Z95" s="6">
        <v>169.82750519022287</v>
      </c>
      <c r="AA95" s="6">
        <v>188.13433062971961</v>
      </c>
      <c r="AB95" s="6">
        <v>191.74915999999993</v>
      </c>
    </row>
    <row r="96" spans="2:28">
      <c r="B96" s="7">
        <v>39263</v>
      </c>
      <c r="C96" s="92">
        <f t="shared" si="13"/>
        <v>0.39139363749787215</v>
      </c>
      <c r="D96" s="93">
        <f t="shared" si="14"/>
        <v>0.39139363749787215</v>
      </c>
      <c r="E96" s="6">
        <v>0.44842516938508048</v>
      </c>
      <c r="F96" s="6">
        <v>0.30128528825126288</v>
      </c>
      <c r="G96" s="6">
        <v>0.39139363749787215</v>
      </c>
      <c r="H96" s="6">
        <v>-0.34123806227365217</v>
      </c>
      <c r="I96" s="6">
        <v>-0.28197030314932592</v>
      </c>
      <c r="J96" s="6">
        <v>-0.47562018535964867</v>
      </c>
      <c r="K96" s="6">
        <v>-0.37152453190623103</v>
      </c>
      <c r="L96" s="6">
        <v>-1.6998863053255375</v>
      </c>
      <c r="M96" s="6">
        <v>-1.8900049277680075</v>
      </c>
      <c r="N96" s="6">
        <v>-0.16027188854437213</v>
      </c>
      <c r="P96" s="121">
        <f t="shared" si="9"/>
        <v>-4.6693139805559358</v>
      </c>
      <c r="Q96" s="92">
        <f t="shared" si="11"/>
        <v>118.32295569759744</v>
      </c>
      <c r="R96" s="93">
        <f t="shared" si="12"/>
        <v>118.32295569759744</v>
      </c>
      <c r="S96" s="6">
        <v>116.95011477750241</v>
      </c>
      <c r="T96" s="6">
        <v>119.42310615304876</v>
      </c>
      <c r="U96" s="6">
        <v>118.32295569759744</v>
      </c>
      <c r="V96" s="6">
        <v>125.07364494617391</v>
      </c>
      <c r="W96" s="6">
        <v>130.18210608083501</v>
      </c>
      <c r="X96" s="6">
        <v>129.48471996639063</v>
      </c>
      <c r="Y96" s="6">
        <v>126.04787421720334</v>
      </c>
      <c r="Z96" s="6">
        <v>166.94063068681825</v>
      </c>
      <c r="AA96" s="6">
        <v>184.57858250999456</v>
      </c>
      <c r="AB96" s="6">
        <v>191.44183999999996</v>
      </c>
    </row>
    <row r="97" spans="2:28">
      <c r="B97" s="5">
        <v>39294</v>
      </c>
      <c r="C97" s="92">
        <f t="shared" ref="C97:C128" si="15">SUMPRODUCT(WtPF,$E97:$N97)/100</f>
        <v>0.71445696817771254</v>
      </c>
      <c r="D97" s="93">
        <f t="shared" ref="D97:D128" si="16">SUMPRODUCT(WtBM,$E97:$N97)/100</f>
        <v>0.71445696817771254</v>
      </c>
      <c r="E97" s="6">
        <v>0.89859342539233555</v>
      </c>
      <c r="F97" s="6">
        <v>0.68444532556668491</v>
      </c>
      <c r="G97" s="6">
        <v>0.71445696817771243</v>
      </c>
      <c r="H97" s="6">
        <v>1.4779262750922006</v>
      </c>
      <c r="I97" s="6">
        <v>0.48855480878753355</v>
      </c>
      <c r="J97" s="6">
        <v>0.37590659121420344</v>
      </c>
      <c r="K97" s="6">
        <v>1.0118547459501137</v>
      </c>
      <c r="L97" s="6">
        <v>-3.1228409561973147</v>
      </c>
      <c r="M97" s="6">
        <v>-0.90152429185135219</v>
      </c>
      <c r="N97" s="6">
        <v>0.90597750209671091</v>
      </c>
      <c r="P97" s="121">
        <f t="shared" ref="P97:P160" si="17">(B97-B$152)/365.15</f>
        <v>-4.5844173627276463</v>
      </c>
      <c r="Q97" s="92">
        <f t="shared" si="11"/>
        <v>119.16832229953275</v>
      </c>
      <c r="R97" s="93">
        <f t="shared" si="12"/>
        <v>119.16832229953275</v>
      </c>
      <c r="S97" s="6">
        <v>118.00102081988183</v>
      </c>
      <c r="T97" s="6">
        <v>120.24049202075985</v>
      </c>
      <c r="U97" s="6">
        <v>119.16832229953275</v>
      </c>
      <c r="V97" s="6">
        <v>126.92214120804894</v>
      </c>
      <c r="W97" s="6">
        <v>130.81811702027383</v>
      </c>
      <c r="X97" s="6">
        <v>129.97146156335955</v>
      </c>
      <c r="Y97" s="6">
        <v>127.32329561463935</v>
      </c>
      <c r="Z97" s="6">
        <v>161.72734029919619</v>
      </c>
      <c r="AA97" s="6">
        <v>182.91456175111207</v>
      </c>
      <c r="AB97" s="6">
        <v>193.17625999999993</v>
      </c>
    </row>
    <row r="98" spans="2:28">
      <c r="B98" s="5">
        <v>39325</v>
      </c>
      <c r="C98" s="92">
        <f t="shared" si="15"/>
        <v>0.93823736003220137</v>
      </c>
      <c r="D98" s="93">
        <f t="shared" si="16"/>
        <v>0.93823736003220137</v>
      </c>
      <c r="E98" s="6">
        <v>1.0694083773431728</v>
      </c>
      <c r="F98" s="6">
        <v>0.94045839436713852</v>
      </c>
      <c r="G98" s="6">
        <v>0.93823736003220137</v>
      </c>
      <c r="H98" s="6">
        <v>1.3793097662380127</v>
      </c>
      <c r="I98" s="6">
        <v>0.46399557820167026</v>
      </c>
      <c r="J98" s="6">
        <v>0.65004316614367674</v>
      </c>
      <c r="K98" s="6">
        <v>1.144941926133991</v>
      </c>
      <c r="L98" s="6">
        <v>1.2525290944917389</v>
      </c>
      <c r="M98" s="6">
        <v>1.2109559699058359</v>
      </c>
      <c r="N98" s="6">
        <v>-1.6691854371753689</v>
      </c>
      <c r="P98" s="121">
        <f t="shared" si="17"/>
        <v>-4.4995207448993568</v>
      </c>
      <c r="Q98" s="92">
        <f t="shared" ref="Q98:Q161" si="18">Q97*(1+C98/100)</f>
        <v>120.28640402067055</v>
      </c>
      <c r="R98" s="93">
        <f t="shared" si="12"/>
        <v>120.28640402067055</v>
      </c>
      <c r="S98" s="6">
        <v>119.26293362188011</v>
      </c>
      <c r="T98" s="6">
        <v>121.37130382139743</v>
      </c>
      <c r="U98" s="6">
        <v>120.28640402067055</v>
      </c>
      <c r="V98" s="6">
        <v>128.67279069724995</v>
      </c>
      <c r="W98" s="6">
        <v>131.42510729873459</v>
      </c>
      <c r="X98" s="6">
        <v>130.81633216718922</v>
      </c>
      <c r="Y98" s="6">
        <v>128.78107340786687</v>
      </c>
      <c r="Z98" s="6">
        <v>163.75302229019127</v>
      </c>
      <c r="AA98" s="6">
        <v>185.12957655646426</v>
      </c>
      <c r="AB98" s="6">
        <v>189.9517899999999</v>
      </c>
    </row>
    <row r="99" spans="2:28">
      <c r="B99" s="7">
        <v>39355</v>
      </c>
      <c r="C99" s="92">
        <f t="shared" si="15"/>
        <v>0.56961256469145738</v>
      </c>
      <c r="D99" s="93">
        <f t="shared" si="16"/>
        <v>0.56961256469145738</v>
      </c>
      <c r="E99" s="6">
        <v>0.68869566439007102</v>
      </c>
      <c r="F99" s="6">
        <v>0.4277250109187225</v>
      </c>
      <c r="G99" s="6">
        <v>0.56961256469145738</v>
      </c>
      <c r="H99" s="6">
        <v>0.28083573714159371</v>
      </c>
      <c r="I99" s="6">
        <v>-2.4394602524857589E-2</v>
      </c>
      <c r="J99" s="6">
        <v>0.40075622325188576</v>
      </c>
      <c r="K99" s="6">
        <v>0.44322446733497944</v>
      </c>
      <c r="L99" s="6">
        <v>2.3347663668426666</v>
      </c>
      <c r="M99" s="6">
        <v>2.2720631866707475</v>
      </c>
      <c r="N99" s="6">
        <v>6.0753204800018112</v>
      </c>
      <c r="P99" s="121">
        <f t="shared" si="17"/>
        <v>-4.4173627276461733</v>
      </c>
      <c r="Q99" s="92">
        <f t="shared" si="18"/>
        <v>120.97157049158781</v>
      </c>
      <c r="R99" s="93">
        <f t="shared" si="12"/>
        <v>120.97157049158781</v>
      </c>
      <c r="S99" s="6">
        <v>120.0842922749584</v>
      </c>
      <c r="T99" s="6">
        <v>121.8904392439197</v>
      </c>
      <c r="U99" s="6">
        <v>120.97157049158781</v>
      </c>
      <c r="V99" s="6">
        <v>129.03414987750523</v>
      </c>
      <c r="W99" s="6">
        <v>131.3930466661912</v>
      </c>
      <c r="X99" s="6">
        <v>131.34058675937908</v>
      </c>
      <c r="Y99" s="6">
        <v>129.35186263450717</v>
      </c>
      <c r="Z99" s="6">
        <v>167.57627277931104</v>
      </c>
      <c r="AA99" s="6">
        <v>189.33583751304312</v>
      </c>
      <c r="AB99" s="6">
        <v>201.49196999999992</v>
      </c>
    </row>
    <row r="100" spans="2:28">
      <c r="B100" s="5">
        <v>39386</v>
      </c>
      <c r="C100" s="92">
        <f t="shared" si="15"/>
        <v>0.44948539023397238</v>
      </c>
      <c r="D100" s="93">
        <f t="shared" si="16"/>
        <v>0.44948539023397238</v>
      </c>
      <c r="E100" s="6">
        <v>0.40320109042379926</v>
      </c>
      <c r="F100" s="6">
        <v>0.39134055900724718</v>
      </c>
      <c r="G100" s="6">
        <v>0.44948539023397238</v>
      </c>
      <c r="H100" s="6">
        <v>0.84567284088055139</v>
      </c>
      <c r="I100" s="6">
        <v>0.90539899515842404</v>
      </c>
      <c r="J100" s="6">
        <v>1.0300560463386343</v>
      </c>
      <c r="K100" s="6">
        <v>0.84142102020285936</v>
      </c>
      <c r="L100" s="6">
        <v>0.68113570201333573</v>
      </c>
      <c r="M100" s="6">
        <v>2.384324940302851</v>
      </c>
      <c r="N100" s="6">
        <v>4.3232988391547433</v>
      </c>
      <c r="P100" s="121">
        <f t="shared" si="17"/>
        <v>-4.3324661098178829</v>
      </c>
      <c r="Q100" s="92">
        <f t="shared" si="18"/>
        <v>121.51532002728409</v>
      </c>
      <c r="R100" s="93">
        <f t="shared" si="12"/>
        <v>121.51532002728409</v>
      </c>
      <c r="S100" s="6">
        <v>120.56847345083874</v>
      </c>
      <c r="T100" s="6">
        <v>122.36744597023325</v>
      </c>
      <c r="U100" s="6">
        <v>121.51532002728409</v>
      </c>
      <c r="V100" s="6">
        <v>130.12535663848038</v>
      </c>
      <c r="W100" s="6">
        <v>132.58267799041494</v>
      </c>
      <c r="X100" s="6">
        <v>132.69346841459071</v>
      </c>
      <c r="Y100" s="6">
        <v>130.44025639673785</v>
      </c>
      <c r="Z100" s="6">
        <v>168.71769460131418</v>
      </c>
      <c r="AA100" s="6">
        <v>193.8502191077979</v>
      </c>
      <c r="AB100" s="6">
        <v>210.20306999999994</v>
      </c>
    </row>
    <row r="101" spans="2:28">
      <c r="B101" s="7">
        <v>39416</v>
      </c>
      <c r="C101" s="92">
        <f t="shared" si="15"/>
        <v>0.98303833825521547</v>
      </c>
      <c r="D101" s="93">
        <f t="shared" si="16"/>
        <v>0.98303833825521547</v>
      </c>
      <c r="E101" s="6">
        <v>1.8179293852930822</v>
      </c>
      <c r="F101" s="6">
        <v>0.7643878428155837</v>
      </c>
      <c r="G101" s="6">
        <v>0.98303833825521547</v>
      </c>
      <c r="H101" s="6">
        <v>1.4942444083611894</v>
      </c>
      <c r="I101" s="6">
        <v>-0.38480452449990432</v>
      </c>
      <c r="J101" s="6">
        <v>0.10927408376368852</v>
      </c>
      <c r="K101" s="6">
        <v>1.1231101941651778</v>
      </c>
      <c r="L101" s="6">
        <v>-1.9753999159404345</v>
      </c>
      <c r="M101" s="6">
        <v>-0.37224637049668718</v>
      </c>
      <c r="N101" s="6">
        <v>-1.3101378585955059</v>
      </c>
      <c r="P101" s="121">
        <f t="shared" si="17"/>
        <v>-4.2503080925646994</v>
      </c>
      <c r="Q101" s="92">
        <f t="shared" si="18"/>
        <v>122.70986221000581</v>
      </c>
      <c r="R101" s="93">
        <f t="shared" si="12"/>
        <v>122.70986221000581</v>
      </c>
      <c r="S101" s="6">
        <v>122.76032315910082</v>
      </c>
      <c r="T101" s="6">
        <v>123.30280785079364</v>
      </c>
      <c r="U101" s="6">
        <v>122.70986221000581</v>
      </c>
      <c r="V101" s="6">
        <v>132.06974750391095</v>
      </c>
      <c r="W101" s="6">
        <v>132.07249384680469</v>
      </c>
      <c r="X101" s="6">
        <v>132.83846798641503</v>
      </c>
      <c r="Y101" s="6">
        <v>131.9052442136248</v>
      </c>
      <c r="Z101" s="6">
        <v>165.38484540398318</v>
      </c>
      <c r="AA101" s="6">
        <v>193.12861870296925</v>
      </c>
      <c r="AB101" s="6">
        <v>207.44911999999994</v>
      </c>
    </row>
    <row r="102" spans="2:28">
      <c r="B102" s="5">
        <v>39447</v>
      </c>
      <c r="C102" s="92">
        <f t="shared" si="15"/>
        <v>0.27771177927102819</v>
      </c>
      <c r="D102" s="93">
        <f t="shared" si="16"/>
        <v>0.27771177927102819</v>
      </c>
      <c r="E102" s="6">
        <v>0.23095137387141307</v>
      </c>
      <c r="F102" s="6">
        <v>8.4124835431831357E-2</v>
      </c>
      <c r="G102" s="6">
        <v>0.27771177927102819</v>
      </c>
      <c r="H102" s="6">
        <v>0.1712064222775922</v>
      </c>
      <c r="I102" s="6">
        <v>-0.40721829775830498</v>
      </c>
      <c r="J102" s="6">
        <v>0.15537499451754311</v>
      </c>
      <c r="K102" s="6">
        <v>0.21824398984611193</v>
      </c>
      <c r="L102" s="6">
        <v>0.34818006178389815</v>
      </c>
      <c r="M102" s="6">
        <v>0.62376052977903829</v>
      </c>
      <c r="N102" s="6">
        <v>0.22167845301055422</v>
      </c>
      <c r="P102" s="121">
        <f t="shared" si="17"/>
        <v>-4.1654114747364099</v>
      </c>
      <c r="Q102" s="92">
        <f t="shared" si="18"/>
        <v>123.05064195169024</v>
      </c>
      <c r="R102" s="93">
        <f t="shared" si="12"/>
        <v>123.05064195169024</v>
      </c>
      <c r="S102" s="6">
        <v>123.04383981200576</v>
      </c>
      <c r="T102" s="6">
        <v>123.40653613498095</v>
      </c>
      <c r="U102" s="6">
        <v>123.05064195169024</v>
      </c>
      <c r="V102" s="6">
        <v>132.29585939352344</v>
      </c>
      <c r="W102" s="6">
        <v>131.53467048555478</v>
      </c>
      <c r="X102" s="6">
        <v>133.04486574876611</v>
      </c>
      <c r="Y102" s="6">
        <v>132.19311948141288</v>
      </c>
      <c r="Z102" s="6">
        <v>165.96068246089197</v>
      </c>
      <c r="AA102" s="6">
        <v>194.33327879814584</v>
      </c>
      <c r="AB102" s="6">
        <v>207.90898999999993</v>
      </c>
    </row>
    <row r="103" spans="2:28">
      <c r="B103" s="5">
        <v>39478</v>
      </c>
      <c r="C103" s="92">
        <f t="shared" si="15"/>
        <v>1.2231798609982469</v>
      </c>
      <c r="D103" s="93">
        <f t="shared" si="16"/>
        <v>1.2231798609982469</v>
      </c>
      <c r="E103" s="6">
        <v>1.7585020296728482</v>
      </c>
      <c r="F103" s="6">
        <v>1.4453911802237984</v>
      </c>
      <c r="G103" s="6">
        <v>1.2231798609982469</v>
      </c>
      <c r="H103" s="6">
        <v>1.8541271566067774</v>
      </c>
      <c r="I103" s="6">
        <v>1.469027841725179</v>
      </c>
      <c r="J103" s="6">
        <v>0.89337718691557821</v>
      </c>
      <c r="K103" s="6">
        <v>1.6508435216991968</v>
      </c>
      <c r="L103" s="6">
        <v>-1.5006280501616454</v>
      </c>
      <c r="M103" s="6">
        <v>0.84354797677435034</v>
      </c>
      <c r="N103" s="6">
        <v>1.5457244056642283</v>
      </c>
      <c r="P103" s="121">
        <f t="shared" si="17"/>
        <v>-4.0805148569081204</v>
      </c>
      <c r="Q103" s="92">
        <f t="shared" si="18"/>
        <v>124.55577262287237</v>
      </c>
      <c r="R103" s="93">
        <f t="shared" si="12"/>
        <v>124.55577262287237</v>
      </c>
      <c r="S103" s="6">
        <v>125.20756823248729</v>
      </c>
      <c r="T103" s="6">
        <v>125.19024332409566</v>
      </c>
      <c r="U103" s="6">
        <v>124.55577262287237</v>
      </c>
      <c r="V103" s="6">
        <v>134.74879284960508</v>
      </c>
      <c r="W103" s="6">
        <v>133.46695141650906</v>
      </c>
      <c r="X103" s="6">
        <v>134.23345822772805</v>
      </c>
      <c r="Y103" s="6">
        <v>134.37542103050387</v>
      </c>
      <c r="Z103" s="6">
        <v>163.47022990764412</v>
      </c>
      <c r="AA103" s="6">
        <v>195.97257323964686</v>
      </c>
      <c r="AB103" s="6">
        <v>211.12268999999992</v>
      </c>
    </row>
    <row r="104" spans="2:28">
      <c r="B104" s="7">
        <v>39507</v>
      </c>
      <c r="C104" s="92">
        <f t="shared" si="15"/>
        <v>0.59281466494096602</v>
      </c>
      <c r="D104" s="93">
        <f t="shared" si="16"/>
        <v>0.59281466494096602</v>
      </c>
      <c r="E104" s="6">
        <v>1.054652578923454</v>
      </c>
      <c r="F104" s="6">
        <v>0.54458266162988878</v>
      </c>
      <c r="G104" s="6">
        <v>0.59281466494096602</v>
      </c>
      <c r="H104" s="6">
        <v>0.69139099582278263</v>
      </c>
      <c r="I104" s="6">
        <v>-0.12293295050856967</v>
      </c>
      <c r="J104" s="6">
        <v>-0.23121966174830533</v>
      </c>
      <c r="K104" s="6">
        <v>0.2909958123595624</v>
      </c>
      <c r="L104" s="6">
        <v>-1.1027663232934581</v>
      </c>
      <c r="M104" s="6">
        <v>-0.16659165249259811</v>
      </c>
      <c r="N104" s="6">
        <v>1.5732131870809241</v>
      </c>
      <c r="P104" s="121">
        <f t="shared" si="17"/>
        <v>-4.0010954402300429</v>
      </c>
      <c r="Q104" s="92">
        <f t="shared" si="18"/>
        <v>125.29415750901128</v>
      </c>
      <c r="R104" s="93">
        <f t="shared" si="12"/>
        <v>125.29415750901128</v>
      </c>
      <c r="S104" s="6">
        <v>126.52807307985856</v>
      </c>
      <c r="T104" s="6">
        <v>125.87200768329096</v>
      </c>
      <c r="U104" s="6">
        <v>125.29415750901128</v>
      </c>
      <c r="V104" s="6">
        <v>135.68043387034714</v>
      </c>
      <c r="W104" s="6">
        <v>133.3028765551789</v>
      </c>
      <c r="X104" s="6">
        <v>133.92308407966084</v>
      </c>
      <c r="Y104" s="6">
        <v>134.76644787854318</v>
      </c>
      <c r="Z104" s="6">
        <v>161.66753526361222</v>
      </c>
      <c r="AA104" s="6">
        <v>195.64609929145468</v>
      </c>
      <c r="AB104" s="6">
        <v>214.44409999999991</v>
      </c>
    </row>
    <row r="105" spans="2:28">
      <c r="B105" s="5">
        <v>39538</v>
      </c>
      <c r="C105" s="92">
        <f t="shared" si="15"/>
        <v>-1.6087678182974408E-2</v>
      </c>
      <c r="D105" s="93">
        <f t="shared" si="16"/>
        <v>-1.6087678182974408E-2</v>
      </c>
      <c r="E105" s="6">
        <v>0.25440108275449624</v>
      </c>
      <c r="F105" s="6">
        <v>-0.46014900113034995</v>
      </c>
      <c r="G105" s="6">
        <v>-1.6087678182974408E-2</v>
      </c>
      <c r="H105" s="6">
        <v>0.129514358899252</v>
      </c>
      <c r="I105" s="6">
        <v>-1.8420212871914976</v>
      </c>
      <c r="J105" s="6">
        <v>-1.3934496032987687</v>
      </c>
      <c r="K105" s="6">
        <v>-6.0618205094375988E-2</v>
      </c>
      <c r="L105" s="6">
        <v>-0.39265009750193425</v>
      </c>
      <c r="M105" s="6">
        <v>-4.2020666554343222E-2</v>
      </c>
      <c r="N105" s="6">
        <v>-0.87716565762359089</v>
      </c>
      <c r="P105" s="121">
        <f t="shared" si="17"/>
        <v>-3.916198822401753</v>
      </c>
      <c r="Q105" s="92">
        <f t="shared" si="18"/>
        <v>125.27400058816917</v>
      </c>
      <c r="R105" s="93">
        <f t="shared" si="12"/>
        <v>125.27400058816917</v>
      </c>
      <c r="S105" s="6">
        <v>126.84996186776212</v>
      </c>
      <c r="T105" s="6">
        <v>125.29280889723358</v>
      </c>
      <c r="U105" s="6">
        <v>125.27400058816917</v>
      </c>
      <c r="V105" s="6">
        <v>135.85615951442605</v>
      </c>
      <c r="W105" s="6">
        <v>130.84740919259389</v>
      </c>
      <c r="X105" s="6">
        <v>132.05693339582731</v>
      </c>
      <c r="Y105" s="6">
        <v>134.68475487676974</v>
      </c>
      <c r="Z105" s="6">
        <v>161.03274752877067</v>
      </c>
      <c r="AA105" s="6">
        <v>195.56388749644483</v>
      </c>
      <c r="AB105" s="6">
        <v>212.56306999999993</v>
      </c>
    </row>
    <row r="106" spans="2:28">
      <c r="B106" s="7">
        <v>39568</v>
      </c>
      <c r="C106" s="92">
        <f t="shared" si="15"/>
        <v>-0.3979132458641344</v>
      </c>
      <c r="D106" s="93">
        <f t="shared" si="16"/>
        <v>-0.3979132458641344</v>
      </c>
      <c r="E106" s="6">
        <v>-0.8834764062775835</v>
      </c>
      <c r="F106" s="6">
        <v>-0.21245797276358003</v>
      </c>
      <c r="G106" s="6">
        <v>-0.39791324586413435</v>
      </c>
      <c r="H106" s="6">
        <v>-1.2209832248096686</v>
      </c>
      <c r="I106" s="6">
        <v>0.66393910513082854</v>
      </c>
      <c r="J106" s="6">
        <v>0.79250281624603236</v>
      </c>
      <c r="K106" s="6">
        <v>-0.54303157980841732</v>
      </c>
      <c r="L106" s="6">
        <v>3.998217355319289</v>
      </c>
      <c r="M106" s="6">
        <v>1.0114783419056694</v>
      </c>
      <c r="N106" s="6">
        <v>1.3929042330824259</v>
      </c>
      <c r="P106" s="121">
        <f t="shared" si="17"/>
        <v>-3.8340408051485695</v>
      </c>
      <c r="Q106" s="92">
        <f t="shared" si="18"/>
        <v>124.77551874620494</v>
      </c>
      <c r="R106" s="93">
        <f t="shared" si="12"/>
        <v>124.77551874620494</v>
      </c>
      <c r="S106" s="6">
        <v>125.72927238328833</v>
      </c>
      <c r="T106" s="6">
        <v>125.02661433543197</v>
      </c>
      <c r="U106" s="6">
        <v>124.77551874620494</v>
      </c>
      <c r="V106" s="6">
        <v>134.19737859688425</v>
      </c>
      <c r="W106" s="6">
        <v>131.71615631027407</v>
      </c>
      <c r="X106" s="6">
        <v>133.1034883120374</v>
      </c>
      <c r="Y106" s="6">
        <v>133.95337412460134</v>
      </c>
      <c r="Z106" s="6">
        <v>167.47118678821349</v>
      </c>
      <c r="AA106" s="6">
        <v>197.54197386306015</v>
      </c>
      <c r="AB106" s="6">
        <v>215.52386999999987</v>
      </c>
    </row>
    <row r="107" spans="2:28">
      <c r="B107" s="5">
        <v>39599</v>
      </c>
      <c r="C107" s="92">
        <f t="shared" si="15"/>
        <v>-0.34384000152043454</v>
      </c>
      <c r="D107" s="93">
        <f t="shared" si="16"/>
        <v>-0.34384000152043454</v>
      </c>
      <c r="E107" s="6">
        <v>-0.37535203071069612</v>
      </c>
      <c r="F107" s="6">
        <v>-0.62194329307683205</v>
      </c>
      <c r="G107" s="6">
        <v>-0.34384000152043459</v>
      </c>
      <c r="H107" s="6">
        <v>-1.142774448971029</v>
      </c>
      <c r="I107" s="6">
        <v>-0.74554738737636628</v>
      </c>
      <c r="J107" s="6">
        <v>-0.73845897994547771</v>
      </c>
      <c r="K107" s="6">
        <v>-0.91993652303593576</v>
      </c>
      <c r="L107" s="6">
        <v>0.44842363024180099</v>
      </c>
      <c r="M107" s="6">
        <v>0.12374224853417548</v>
      </c>
      <c r="N107" s="6">
        <v>0.6073712392042685</v>
      </c>
      <c r="P107" s="121">
        <f t="shared" si="17"/>
        <v>-3.7491441873202795</v>
      </c>
      <c r="Q107" s="92">
        <f t="shared" si="18"/>
        <v>124.34649060065085</v>
      </c>
      <c r="R107" s="93">
        <f t="shared" si="12"/>
        <v>124.34649060065085</v>
      </c>
      <c r="S107" s="6">
        <v>125.25734500619988</v>
      </c>
      <c r="T107" s="6">
        <v>124.24901969301172</v>
      </c>
      <c r="U107" s="6">
        <v>124.34649060065085</v>
      </c>
      <c r="V107" s="6">
        <v>132.66380524309014</v>
      </c>
      <c r="W107" s="6">
        <v>130.73414994815025</v>
      </c>
      <c r="X107" s="6">
        <v>132.12057364997648</v>
      </c>
      <c r="Y107" s="6">
        <v>132.72108811219016</v>
      </c>
      <c r="Z107" s="6">
        <v>168.22216716361822</v>
      </c>
      <c r="AA107" s="6">
        <v>197.78641674331709</v>
      </c>
      <c r="AB107" s="6">
        <v>216.83289999999988</v>
      </c>
    </row>
    <row r="108" spans="2:28">
      <c r="B108" s="5">
        <v>39629</v>
      </c>
      <c r="C108" s="92">
        <f t="shared" si="15"/>
        <v>5.3660889102524756E-2</v>
      </c>
      <c r="D108" s="93">
        <f t="shared" si="16"/>
        <v>5.3660889102524756E-2</v>
      </c>
      <c r="E108" s="6">
        <v>0.28826413655418381</v>
      </c>
      <c r="F108" s="6">
        <v>-0.4335136306675591</v>
      </c>
      <c r="G108" s="6">
        <v>5.3660889102524756E-2</v>
      </c>
      <c r="H108" s="6">
        <v>2.9560272034023782E-2</v>
      </c>
      <c r="I108" s="6">
        <v>-1.3946037398467226</v>
      </c>
      <c r="J108" s="6">
        <v>-0.85204726126589803</v>
      </c>
      <c r="K108" s="6">
        <v>-0.31745057430913048</v>
      </c>
      <c r="L108" s="6">
        <v>-2.3936129690856678</v>
      </c>
      <c r="M108" s="6">
        <v>-1.9260908139211552</v>
      </c>
      <c r="N108" s="6">
        <v>-1.2944806807454023</v>
      </c>
      <c r="P108" s="121">
        <f t="shared" si="17"/>
        <v>-3.666986170067096</v>
      </c>
      <c r="Q108" s="92">
        <f t="shared" si="18"/>
        <v>124.41321603307495</v>
      </c>
      <c r="R108" s="93">
        <f t="shared" si="12"/>
        <v>124.41321603307495</v>
      </c>
      <c r="S108" s="6">
        <v>125.6184170102527</v>
      </c>
      <c r="T108" s="6">
        <v>123.71038325667169</v>
      </c>
      <c r="U108" s="6">
        <v>124.41321603307495</v>
      </c>
      <c r="V108" s="6">
        <v>132.70302102481068</v>
      </c>
      <c r="W108" s="6">
        <v>128.91092660371652</v>
      </c>
      <c r="X108" s="6">
        <v>130.99484392062305</v>
      </c>
      <c r="Y108" s="6">
        <v>132.2997642557487</v>
      </c>
      <c r="Z108" s="6">
        <v>164.19557955351289</v>
      </c>
      <c r="AA108" s="6">
        <v>193.97687073924024</v>
      </c>
      <c r="AB108" s="6">
        <v>214.02603999999988</v>
      </c>
    </row>
    <row r="109" spans="2:28">
      <c r="B109" s="7">
        <v>39660</v>
      </c>
      <c r="C109" s="92">
        <f t="shared" si="15"/>
        <v>0.56018706129750129</v>
      </c>
      <c r="D109" s="93">
        <f t="shared" si="16"/>
        <v>0.56018706129750129</v>
      </c>
      <c r="E109" s="6">
        <v>0.41114968192841328</v>
      </c>
      <c r="F109" s="6">
        <v>0.85644135999785043</v>
      </c>
      <c r="G109" s="6">
        <v>0.56018706129750129</v>
      </c>
      <c r="H109" s="6">
        <v>1.1197334721932073</v>
      </c>
      <c r="I109" s="6">
        <v>0.97596801837362968</v>
      </c>
      <c r="J109" s="6">
        <v>0.12054685701534673</v>
      </c>
      <c r="K109" s="6">
        <v>0.74131287130212442</v>
      </c>
      <c r="L109" s="6">
        <v>-1.5396542932367585</v>
      </c>
      <c r="M109" s="6">
        <v>1.1133889665763785</v>
      </c>
      <c r="N109" s="6">
        <v>6.1749168465669024</v>
      </c>
      <c r="P109" s="121">
        <f t="shared" si="17"/>
        <v>-3.5820895522388061</v>
      </c>
      <c r="Q109" s="92">
        <f t="shared" si="18"/>
        <v>125.11016277183634</v>
      </c>
      <c r="R109" s="93">
        <f t="shared" si="12"/>
        <v>125.11016277183634</v>
      </c>
      <c r="S109" s="6">
        <v>126.13489673223386</v>
      </c>
      <c r="T109" s="6">
        <v>124.76989014549368</v>
      </c>
      <c r="U109" s="6">
        <v>125.11016277183634</v>
      </c>
      <c r="V109" s="6">
        <v>134.18894116983708</v>
      </c>
      <c r="W109" s="6">
        <v>130.1690560195579</v>
      </c>
      <c r="X109" s="6">
        <v>131.15275408782153</v>
      </c>
      <c r="Y109" s="6">
        <v>133.28051943687893</v>
      </c>
      <c r="Z109" s="6">
        <v>161.66753526361225</v>
      </c>
      <c r="AA109" s="6">
        <v>196.13658781576106</v>
      </c>
      <c r="AB109" s="6">
        <v>227.2419699999999</v>
      </c>
    </row>
    <row r="110" spans="2:28">
      <c r="B110" s="5">
        <v>39691</v>
      </c>
      <c r="C110" s="92">
        <f t="shared" si="15"/>
        <v>0.47669378297123816</v>
      </c>
      <c r="D110" s="93">
        <f t="shared" si="16"/>
        <v>0.47669378297123816</v>
      </c>
      <c r="E110" s="6">
        <v>0.53696961650218089</v>
      </c>
      <c r="F110" s="6">
        <v>0.51485884728805775</v>
      </c>
      <c r="G110" s="6">
        <v>0.4766937829712381</v>
      </c>
      <c r="H110" s="6">
        <v>1.1837013791724305</v>
      </c>
      <c r="I110" s="6">
        <v>0.68083531834912669</v>
      </c>
      <c r="J110" s="6">
        <v>0.74260252743918453</v>
      </c>
      <c r="K110" s="6">
        <v>0.99483735464520606</v>
      </c>
      <c r="L110" s="6">
        <v>0.28748540113197052</v>
      </c>
      <c r="M110" s="6">
        <v>0.80828501781957662</v>
      </c>
      <c r="N110" s="6">
        <v>-3.4779754813778485</v>
      </c>
      <c r="P110" s="121">
        <f t="shared" si="17"/>
        <v>-3.4971929344105166</v>
      </c>
      <c r="Q110" s="92">
        <f t="shared" si="18"/>
        <v>125.70655513963489</v>
      </c>
      <c r="R110" s="93">
        <f t="shared" si="12"/>
        <v>125.70655513963489</v>
      </c>
      <c r="S110" s="6">
        <v>126.81220280349235</v>
      </c>
      <c r="T110" s="6">
        <v>125.41227896365935</v>
      </c>
      <c r="U110" s="6">
        <v>125.70655513963489</v>
      </c>
      <c r="V110" s="6">
        <v>135.77733751716133</v>
      </c>
      <c r="W110" s="6">
        <v>131.0552929265007</v>
      </c>
      <c r="X110" s="6">
        <v>132.12669775448379</v>
      </c>
      <c r="Y110" s="6">
        <v>134.60644383070218</v>
      </c>
      <c r="Z110" s="6">
        <v>162.13230582586502</v>
      </c>
      <c r="AA110" s="6">
        <v>197.72193046953839</v>
      </c>
      <c r="AB110" s="6">
        <v>219.33854999999988</v>
      </c>
    </row>
    <row r="111" spans="2:28">
      <c r="B111" s="7">
        <v>39721</v>
      </c>
      <c r="C111" s="92">
        <f t="shared" si="15"/>
        <v>0.64776662806649288</v>
      </c>
      <c r="D111" s="93">
        <f t="shared" si="16"/>
        <v>0.64776662806649288</v>
      </c>
      <c r="E111" s="6">
        <v>0.81237537332823351</v>
      </c>
      <c r="F111" s="6">
        <v>0.5644040482374324</v>
      </c>
      <c r="G111" s="6">
        <v>0.64776662806649288</v>
      </c>
      <c r="H111" s="6">
        <v>0.24122833715753966</v>
      </c>
      <c r="I111" s="6">
        <v>-4.2958221729446073</v>
      </c>
      <c r="J111" s="6">
        <v>-5.9930898377995367</v>
      </c>
      <c r="K111" s="6">
        <v>-0.90550571505694233</v>
      </c>
      <c r="L111" s="6">
        <v>-8.1066127068941007</v>
      </c>
      <c r="M111" s="6">
        <v>-6.8441169634339776</v>
      </c>
      <c r="N111" s="6">
        <v>-5.3801668698913225</v>
      </c>
      <c r="P111" s="121">
        <f t="shared" si="17"/>
        <v>-3.4150349171573327</v>
      </c>
      <c r="Q111" s="92">
        <f t="shared" si="18"/>
        <v>126.52084025312145</v>
      </c>
      <c r="R111" s="93">
        <f t="shared" si="12"/>
        <v>126.52084025312145</v>
      </c>
      <c r="S111" s="6">
        <v>127.84239390944298</v>
      </c>
      <c r="T111" s="6">
        <v>126.12011094311706</v>
      </c>
      <c r="U111" s="6">
        <v>126.52084025312145</v>
      </c>
      <c r="V111" s="6">
        <v>136.10487093069077</v>
      </c>
      <c r="W111" s="6">
        <v>125.42539059414658</v>
      </c>
      <c r="X111" s="6">
        <v>124.2082260583397</v>
      </c>
      <c r="Y111" s="6">
        <v>133.38757478898026</v>
      </c>
      <c r="Z111" s="6">
        <v>148.98886771980503</v>
      </c>
      <c r="AA111" s="6">
        <v>184.18961028584357</v>
      </c>
      <c r="AB111" s="6">
        <v>207.53776999999988</v>
      </c>
    </row>
    <row r="112" spans="2:28">
      <c r="B112" s="5">
        <v>39752</v>
      </c>
      <c r="C112" s="92">
        <f t="shared" si="15"/>
        <v>1.236097332163566</v>
      </c>
      <c r="D112" s="93">
        <f t="shared" si="16"/>
        <v>1.236097332163566</v>
      </c>
      <c r="E112" s="6">
        <v>0.97560828860023818</v>
      </c>
      <c r="F112" s="6">
        <v>1.9787483550156804</v>
      </c>
      <c r="G112" s="6">
        <v>1.236097332163566</v>
      </c>
      <c r="H112" s="6">
        <v>0.73811954334919161</v>
      </c>
      <c r="I112" s="6">
        <v>-1.4659675374447234</v>
      </c>
      <c r="J112" s="6">
        <v>-4.2010263193478785</v>
      </c>
      <c r="K112" s="6">
        <v>-0.65635720320321722</v>
      </c>
      <c r="L112" s="6">
        <v>-16.455928480907399</v>
      </c>
      <c r="M112" s="6">
        <v>-14.88984763726352</v>
      </c>
      <c r="N112" s="6">
        <v>-14.074522435121073</v>
      </c>
      <c r="P112" s="121">
        <f t="shared" si="17"/>
        <v>-3.3301382993290432</v>
      </c>
      <c r="Q112" s="92">
        <f t="shared" si="18"/>
        <v>128.0847609841212</v>
      </c>
      <c r="R112" s="93">
        <f t="shared" si="12"/>
        <v>128.0847609841212</v>
      </c>
      <c r="S112" s="6">
        <v>129.08963490076846</v>
      </c>
      <c r="T112" s="6">
        <v>128.61571056374794</v>
      </c>
      <c r="U112" s="6">
        <v>128.0847609841212</v>
      </c>
      <c r="V112" s="6">
        <v>137.1094875824804</v>
      </c>
      <c r="W112" s="6">
        <v>123.58669508432314</v>
      </c>
      <c r="X112" s="6">
        <v>118.99020579083374</v>
      </c>
      <c r="Y112" s="6">
        <v>132.51207583367471</v>
      </c>
      <c r="Z112" s="6">
        <v>124.47136620332019</v>
      </c>
      <c r="AA112" s="6">
        <v>156.764057950612</v>
      </c>
      <c r="AB112" s="6">
        <v>178.32781999999992</v>
      </c>
    </row>
    <row r="113" spans="2:28">
      <c r="B113" s="5">
        <v>39782</v>
      </c>
      <c r="C113" s="92">
        <f t="shared" si="15"/>
        <v>0.64306709808830131</v>
      </c>
      <c r="D113" s="93">
        <f t="shared" si="16"/>
        <v>0.64306709808830131</v>
      </c>
      <c r="E113" s="6">
        <v>1.2013258548299266</v>
      </c>
      <c r="F113" s="6">
        <v>0.71831137783899823</v>
      </c>
      <c r="G113" s="6">
        <v>0.64306709808830131</v>
      </c>
      <c r="H113" s="6">
        <v>3.0296125894666126</v>
      </c>
      <c r="I113" s="6">
        <v>1.4097185646090304</v>
      </c>
      <c r="J113" s="6">
        <v>2.4805472152501729</v>
      </c>
      <c r="K113" s="6">
        <v>2.7125606671940972</v>
      </c>
      <c r="L113" s="6">
        <v>-8.0197680005491101</v>
      </c>
      <c r="M113" s="6">
        <v>2.477730605224715</v>
      </c>
      <c r="N113" s="6">
        <v>0.60168402215650119</v>
      </c>
      <c r="P113" s="121">
        <f t="shared" si="17"/>
        <v>-3.2479802820758596</v>
      </c>
      <c r="Q113" s="92">
        <f t="shared" si="18"/>
        <v>128.90843193967513</v>
      </c>
      <c r="R113" s="93">
        <f t="shared" ref="R113:R164" si="19">R112*(1+D113/100)</f>
        <v>128.90843193967513</v>
      </c>
      <c r="S113" s="6">
        <v>130.64042206073694</v>
      </c>
      <c r="T113" s="6">
        <v>129.53957184641581</v>
      </c>
      <c r="U113" s="6">
        <v>128.90843193967513</v>
      </c>
      <c r="V113" s="6">
        <v>141.26337387963238</v>
      </c>
      <c r="W113" s="6">
        <v>125.3289196683136</v>
      </c>
      <c r="X113" s="6">
        <v>121.94181402699871</v>
      </c>
      <c r="Y113" s="6">
        <v>136.10654628202138</v>
      </c>
      <c r="Z113" s="6">
        <v>114.48905140670001</v>
      </c>
      <c r="AA113" s="6">
        <v>160.64824899244653</v>
      </c>
      <c r="AB113" s="6">
        <v>179.40078999999992</v>
      </c>
    </row>
    <row r="114" spans="2:28">
      <c r="B114" s="7">
        <v>39813</v>
      </c>
      <c r="C114" s="92">
        <f t="shared" si="15"/>
        <v>0.7677452113932226</v>
      </c>
      <c r="D114" s="93">
        <f t="shared" si="16"/>
        <v>0.7677452113932226</v>
      </c>
      <c r="E114" s="6">
        <v>0.58421991500474668</v>
      </c>
      <c r="F114" s="6">
        <v>0.82415720886890309</v>
      </c>
      <c r="G114" s="6">
        <v>0.7677452113932226</v>
      </c>
      <c r="H114" s="6">
        <v>2.4778144567066729</v>
      </c>
      <c r="I114" s="6">
        <v>0.56189871991181306</v>
      </c>
      <c r="J114" s="6">
        <v>3.5481687224340197</v>
      </c>
      <c r="K114" s="6">
        <v>2.5429089194104915</v>
      </c>
      <c r="L114" s="6">
        <v>7.1138605734071492</v>
      </c>
      <c r="M114" s="6">
        <v>7.7663308780014484</v>
      </c>
      <c r="N114" s="6">
        <v>9.8370581311264083</v>
      </c>
      <c r="P114" s="121">
        <f t="shared" si="17"/>
        <v>-3.1630836642475697</v>
      </c>
      <c r="Q114" s="92">
        <f t="shared" si="18"/>
        <v>129.89812025297408</v>
      </c>
      <c r="R114" s="93">
        <f t="shared" si="19"/>
        <v>129.89812025297408</v>
      </c>
      <c r="S114" s="6">
        <v>131.40364942346201</v>
      </c>
      <c r="T114" s="6">
        <v>130.60718156612594</v>
      </c>
      <c r="U114" s="6">
        <v>129.89812025297408</v>
      </c>
      <c r="V114" s="6">
        <v>144.76361817965352</v>
      </c>
      <c r="W114" s="6">
        <v>126.03314126360917</v>
      </c>
      <c r="X114" s="6">
        <v>126.26851533187335</v>
      </c>
      <c r="Y114" s="6">
        <v>139.56761178732847</v>
      </c>
      <c r="Z114" s="6">
        <v>122.63364289558909</v>
      </c>
      <c r="AA114" s="6">
        <v>173.12472355891555</v>
      </c>
      <c r="AB114" s="6">
        <v>197.04854999999992</v>
      </c>
    </row>
    <row r="115" spans="2:28">
      <c r="B115" s="5">
        <v>39844</v>
      </c>
      <c r="C115" s="92">
        <f t="shared" si="15"/>
        <v>0.15407890361778254</v>
      </c>
      <c r="D115" s="93">
        <f t="shared" si="16"/>
        <v>0.15407890361778254</v>
      </c>
      <c r="E115" s="6">
        <v>-0.36067914575631521</v>
      </c>
      <c r="F115" s="6">
        <v>0.85669681704030332</v>
      </c>
      <c r="G115" s="6">
        <v>0.15407890361778254</v>
      </c>
      <c r="H115" s="6">
        <v>-1.6346467434754319</v>
      </c>
      <c r="I115" s="6">
        <v>8.0908258807088629E-2</v>
      </c>
      <c r="J115" s="6">
        <v>-0.1057607841073227</v>
      </c>
      <c r="K115" s="6">
        <v>-0.85953863716673462</v>
      </c>
      <c r="L115" s="6">
        <v>5.8869018176244792</v>
      </c>
      <c r="M115" s="6">
        <v>0.85236559927890365</v>
      </c>
      <c r="N115" s="6">
        <v>-5.9628756466363235</v>
      </c>
      <c r="P115" s="121">
        <f t="shared" si="17"/>
        <v>-3.0781870464192798</v>
      </c>
      <c r="Q115" s="92">
        <f t="shared" si="18"/>
        <v>130.09826585247998</v>
      </c>
      <c r="R115" s="93">
        <f t="shared" si="19"/>
        <v>130.09826585247998</v>
      </c>
      <c r="S115" s="6">
        <v>130.92970386322884</v>
      </c>
      <c r="T115" s="6">
        <v>131.72608913342899</v>
      </c>
      <c r="U115" s="6">
        <v>130.09826585247998</v>
      </c>
      <c r="V115" s="6">
        <v>142.39724440934262</v>
      </c>
      <c r="W115" s="6">
        <v>126.13511248372544</v>
      </c>
      <c r="X115" s="6">
        <v>126.13497275997769</v>
      </c>
      <c r="Y115" s="6">
        <v>138.36797423904551</v>
      </c>
      <c r="Z115" s="6">
        <v>129.85296504822864</v>
      </c>
      <c r="AA115" s="6">
        <v>174.60037914637843</v>
      </c>
      <c r="AB115" s="6">
        <v>185.29878999999994</v>
      </c>
    </row>
    <row r="116" spans="2:28">
      <c r="B116" s="7">
        <v>39872</v>
      </c>
      <c r="C116" s="92">
        <f t="shared" si="15"/>
        <v>0.20353173543350422</v>
      </c>
      <c r="D116" s="93">
        <f t="shared" si="16"/>
        <v>0.20353173543350422</v>
      </c>
      <c r="E116" s="6">
        <v>-0.10749839553656493</v>
      </c>
      <c r="F116" s="6">
        <v>0.4634675231555363</v>
      </c>
      <c r="G116" s="6">
        <v>0.20353173543350422</v>
      </c>
      <c r="H116" s="6">
        <v>0.33565395886470117</v>
      </c>
      <c r="I116" s="6">
        <v>-0.47661168158954492</v>
      </c>
      <c r="J116" s="6">
        <v>-1.2751537069371599</v>
      </c>
      <c r="K116" s="6">
        <v>-1.2469034015594183E-2</v>
      </c>
      <c r="L116" s="6">
        <v>-3.2574725802525184</v>
      </c>
      <c r="M116" s="6">
        <v>-1.1926740701011962</v>
      </c>
      <c r="N116" s="6">
        <v>-5.2985721061643121</v>
      </c>
      <c r="P116" s="121">
        <f t="shared" si="17"/>
        <v>-3.0015062303163087</v>
      </c>
      <c r="Q116" s="92">
        <f t="shared" si="18"/>
        <v>130.36305711073842</v>
      </c>
      <c r="R116" s="93">
        <f t="shared" si="19"/>
        <v>130.36305711073842</v>
      </c>
      <c r="S116" s="6">
        <v>130.78895653229509</v>
      </c>
      <c r="T116" s="6">
        <v>132.33659677608534</v>
      </c>
      <c r="U116" s="6">
        <v>130.36305711073842</v>
      </c>
      <c r="V116" s="6">
        <v>142.87520639751682</v>
      </c>
      <c r="W116" s="6">
        <v>125.53393780304189</v>
      </c>
      <c r="X116" s="6">
        <v>124.52655797908466</v>
      </c>
      <c r="Y116" s="6">
        <v>138.35072108927096</v>
      </c>
      <c r="Z116" s="6">
        <v>125.62304031713771</v>
      </c>
      <c r="AA116" s="6">
        <v>172.51796569800121</v>
      </c>
      <c r="AB116" s="6">
        <v>175.48059999999995</v>
      </c>
    </row>
    <row r="117" spans="2:28">
      <c r="B117" s="5">
        <v>39903</v>
      </c>
      <c r="C117" s="92">
        <f t="shared" si="15"/>
        <v>0.36894560231284229</v>
      </c>
      <c r="D117" s="93">
        <f t="shared" si="16"/>
        <v>0.36894560231284229</v>
      </c>
      <c r="E117" s="6">
        <v>0.52086937804727285</v>
      </c>
      <c r="F117" s="6">
        <v>0.52887245454298348</v>
      </c>
      <c r="G117" s="6">
        <v>0.36894560231284235</v>
      </c>
      <c r="H117" s="6">
        <v>1.0323255724074221</v>
      </c>
      <c r="I117" s="6">
        <v>-0.37054033056372893</v>
      </c>
      <c r="J117" s="6">
        <v>-0.4145432330984189</v>
      </c>
      <c r="K117" s="6">
        <v>0.87448508114815748</v>
      </c>
      <c r="L117" s="6">
        <v>3.0026251717243158</v>
      </c>
      <c r="M117" s="6">
        <v>3.7397070039652203</v>
      </c>
      <c r="N117" s="6">
        <v>5.7137940034396983</v>
      </c>
      <c r="P117" s="121">
        <f t="shared" si="17"/>
        <v>-2.9166096124880188</v>
      </c>
      <c r="Q117" s="92">
        <f t="shared" si="18"/>
        <v>130.84402587698906</v>
      </c>
      <c r="R117" s="93">
        <f t="shared" si="19"/>
        <v>130.84402587698906</v>
      </c>
      <c r="S117" s="6">
        <v>131.47019615673938</v>
      </c>
      <c r="T117" s="6">
        <v>133.03648858371369</v>
      </c>
      <c r="U117" s="6">
        <v>130.84402587698906</v>
      </c>
      <c r="V117" s="6">
        <v>144.35014368978827</v>
      </c>
      <c r="W117" s="6">
        <v>125.06878393493683</v>
      </c>
      <c r="X117" s="6">
        <v>124.01034155957198</v>
      </c>
      <c r="Y117" s="6">
        <v>139.56057750485755</v>
      </c>
      <c r="Z117" s="6">
        <v>129.39502934718547</v>
      </c>
      <c r="AA117" s="6">
        <v>178.96963214430767</v>
      </c>
      <c r="AB117" s="6">
        <v>185.50719999999995</v>
      </c>
    </row>
    <row r="118" spans="2:28">
      <c r="B118" s="5">
        <v>39933</v>
      </c>
      <c r="C118" s="92">
        <f t="shared" si="15"/>
        <v>7.2026324565865885E-2</v>
      </c>
      <c r="D118" s="93">
        <f t="shared" si="16"/>
        <v>7.2026324565865885E-2</v>
      </c>
      <c r="E118" s="6">
        <v>-0.14599555363222771</v>
      </c>
      <c r="F118" s="6">
        <v>0.20370957467605866</v>
      </c>
      <c r="G118" s="6">
        <v>7.2026324565865885E-2</v>
      </c>
      <c r="H118" s="6">
        <v>-0.51386399710862118</v>
      </c>
      <c r="I118" s="6">
        <v>2.9228856687418148</v>
      </c>
      <c r="J118" s="6">
        <v>2.9907734917226758</v>
      </c>
      <c r="K118" s="6">
        <v>0.41888272165542251</v>
      </c>
      <c r="L118" s="6">
        <v>11.309119000614043</v>
      </c>
      <c r="M118" s="6">
        <v>5.3856213409146925</v>
      </c>
      <c r="N118" s="6">
        <v>8.4258508564627022</v>
      </c>
      <c r="P118" s="121">
        <f t="shared" si="17"/>
        <v>-2.8344515952348353</v>
      </c>
      <c r="Q118" s="92">
        <f t="shared" si="18"/>
        <v>130.93826801974228</v>
      </c>
      <c r="R118" s="93">
        <f t="shared" si="19"/>
        <v>130.93826801974228</v>
      </c>
      <c r="S118" s="6">
        <v>131.27825551599898</v>
      </c>
      <c r="T118" s="6">
        <v>133.30749664877155</v>
      </c>
      <c r="U118" s="6">
        <v>130.93826801974228</v>
      </c>
      <c r="V118" s="6">
        <v>143.6083802715919</v>
      </c>
      <c r="W118" s="6">
        <v>128.72440149664075</v>
      </c>
      <c r="X118" s="6">
        <v>127.7192099819304</v>
      </c>
      <c r="Y118" s="6">
        <v>140.14517265026791</v>
      </c>
      <c r="Z118" s="6">
        <v>144.02846719693815</v>
      </c>
      <c r="AA118" s="6">
        <v>188.60825884682802</v>
      </c>
      <c r="AB118" s="6">
        <v>201.13775999999993</v>
      </c>
    </row>
    <row r="119" spans="2:28">
      <c r="B119" s="7">
        <v>39964</v>
      </c>
      <c r="C119" s="92">
        <f t="shared" si="15"/>
        <v>0.16248181149693952</v>
      </c>
      <c r="D119" s="93">
        <f t="shared" si="16"/>
        <v>0.16248181149693952</v>
      </c>
      <c r="E119" s="6">
        <v>0.17436249943909576</v>
      </c>
      <c r="F119" s="6">
        <v>0.25952763511971622</v>
      </c>
      <c r="G119" s="6">
        <v>0.16248181149693952</v>
      </c>
      <c r="H119" s="6">
        <v>-1.0275812625156755</v>
      </c>
      <c r="I119" s="6">
        <v>2.4467963278941962</v>
      </c>
      <c r="J119" s="6">
        <v>3.3024853730900139</v>
      </c>
      <c r="K119" s="6">
        <v>0.1612749123694579</v>
      </c>
      <c r="L119" s="6">
        <v>7.1134944032839043</v>
      </c>
      <c r="M119" s="6">
        <v>3.7847007114385933</v>
      </c>
      <c r="N119" s="6">
        <v>5.6494414574369323</v>
      </c>
      <c r="P119" s="121">
        <f t="shared" si="17"/>
        <v>-2.7495549774065453</v>
      </c>
      <c r="Q119" s="92">
        <f t="shared" si="18"/>
        <v>131.15101888956349</v>
      </c>
      <c r="R119" s="93">
        <f t="shared" si="19"/>
        <v>131.15101888956349</v>
      </c>
      <c r="S119" s="6">
        <v>131.50715556353671</v>
      </c>
      <c r="T119" s="6">
        <v>133.65346644226139</v>
      </c>
      <c r="U119" s="6">
        <v>131.15101888956349</v>
      </c>
      <c r="V119" s="6">
        <v>142.13268746451877</v>
      </c>
      <c r="W119" s="6">
        <v>131.87402542556433</v>
      </c>
      <c r="X119" s="6">
        <v>131.93711821020977</v>
      </c>
      <c r="Y119" s="6">
        <v>140.37119165464966</v>
      </c>
      <c r="Z119" s="6">
        <v>154.27392415012795</v>
      </c>
      <c r="AA119" s="6">
        <v>195.74651696123587</v>
      </c>
      <c r="AB119" s="6">
        <v>212.50091999999992</v>
      </c>
    </row>
    <row r="120" spans="2:28">
      <c r="B120" s="5">
        <v>39994</v>
      </c>
      <c r="C120" s="92">
        <f t="shared" si="15"/>
        <v>6.4268194575745063E-2</v>
      </c>
      <c r="D120" s="93">
        <f t="shared" si="16"/>
        <v>6.4268194575745063E-2</v>
      </c>
      <c r="E120" s="6">
        <v>-0.16236666042670489</v>
      </c>
      <c r="F120" s="6">
        <v>0.29071924220889223</v>
      </c>
      <c r="G120" s="6">
        <v>6.4268194575745063E-2</v>
      </c>
      <c r="H120" s="6">
        <v>0.73401816294680344</v>
      </c>
      <c r="I120" s="6">
        <v>2.1908449111708084</v>
      </c>
      <c r="J120" s="6">
        <v>2.4961749730644911</v>
      </c>
      <c r="K120" s="6">
        <v>0.91694273443800878</v>
      </c>
      <c r="L120" s="6">
        <v>3.2457787155333095</v>
      </c>
      <c r="M120" s="6">
        <v>1.3194440985552891</v>
      </c>
      <c r="N120" s="6">
        <v>1.2407146284354909</v>
      </c>
      <c r="P120" s="121">
        <f t="shared" si="17"/>
        <v>-2.6673969601533618</v>
      </c>
      <c r="Q120" s="92">
        <f t="shared" si="18"/>
        <v>131.23530728157149</v>
      </c>
      <c r="R120" s="93">
        <f t="shared" si="19"/>
        <v>131.23530728157149</v>
      </c>
      <c r="S120" s="6">
        <v>131.29363178682604</v>
      </c>
      <c r="T120" s="6">
        <v>134.04202278708826</v>
      </c>
      <c r="U120" s="6">
        <v>131.23530728157149</v>
      </c>
      <c r="V120" s="6">
        <v>143.17596720599275</v>
      </c>
      <c r="W120" s="6">
        <v>134.7631808007564</v>
      </c>
      <c r="X120" s="6">
        <v>135.23049953515553</v>
      </c>
      <c r="Y120" s="6">
        <v>141.65831509777104</v>
      </c>
      <c r="Z120" s="6">
        <v>159.28131434381081</v>
      </c>
      <c r="AA120" s="6">
        <v>198.32928282740843</v>
      </c>
      <c r="AB120" s="6">
        <v>215.13744999999992</v>
      </c>
    </row>
    <row r="121" spans="2:28">
      <c r="B121" s="7">
        <v>40025</v>
      </c>
      <c r="C121" s="92">
        <f t="shared" si="15"/>
        <v>0.23723843086560503</v>
      </c>
      <c r="D121" s="93">
        <f t="shared" si="16"/>
        <v>0.23723843086560503</v>
      </c>
      <c r="E121" s="6">
        <v>0.14188786264794917</v>
      </c>
      <c r="F121" s="6">
        <v>0.47973423963583173</v>
      </c>
      <c r="G121" s="6">
        <v>0.23723843086560503</v>
      </c>
      <c r="H121" s="6">
        <v>0.59619644897168644</v>
      </c>
      <c r="I121" s="6">
        <v>3.4873406073572477</v>
      </c>
      <c r="J121" s="6">
        <v>3.6601266926473031</v>
      </c>
      <c r="K121" s="6">
        <v>1.3315258212381442</v>
      </c>
      <c r="L121" s="6">
        <v>6.1185191542315387</v>
      </c>
      <c r="M121" s="6">
        <v>3.0851509045139114</v>
      </c>
      <c r="N121" s="6">
        <v>4.6093602020475855</v>
      </c>
      <c r="P121" s="121">
        <f t="shared" si="17"/>
        <v>-2.5825003423250719</v>
      </c>
      <c r="Q121" s="92">
        <f t="shared" si="18"/>
        <v>131.54664786530796</v>
      </c>
      <c r="R121" s="93">
        <f t="shared" si="19"/>
        <v>131.54664786530796</v>
      </c>
      <c r="S121" s="6">
        <v>131.47992151476123</v>
      </c>
      <c r="T121" s="6">
        <v>134.68506826589839</v>
      </c>
      <c r="U121" s="6">
        <v>131.54664786530796</v>
      </c>
      <c r="V121" s="6">
        <v>144.02957723825574</v>
      </c>
      <c r="W121" s="6">
        <v>139.46283192858743</v>
      </c>
      <c r="X121" s="6">
        <v>140.18010714524203</v>
      </c>
      <c r="Y121" s="6">
        <v>143.54453214122876</v>
      </c>
      <c r="Z121" s="6">
        <v>169.02697207104862</v>
      </c>
      <c r="AA121" s="6">
        <v>204.44804049047417</v>
      </c>
      <c r="AB121" s="6">
        <v>225.05390999999995</v>
      </c>
    </row>
    <row r="122" spans="2:28">
      <c r="B122" s="5">
        <v>40056</v>
      </c>
      <c r="C122" s="92">
        <f t="shared" si="15"/>
        <v>0.25076898785010293</v>
      </c>
      <c r="D122" s="93">
        <f t="shared" si="16"/>
        <v>0.25076898785010293</v>
      </c>
      <c r="E122" s="6">
        <v>0.43170141515660454</v>
      </c>
      <c r="F122" s="6">
        <v>8.5898728869682195E-2</v>
      </c>
      <c r="G122" s="6">
        <v>0.25076898785010293</v>
      </c>
      <c r="H122" s="6">
        <v>0.85097658117516684</v>
      </c>
      <c r="I122" s="6">
        <v>1.168474184533097</v>
      </c>
      <c r="J122" s="6">
        <v>1.84341343250638</v>
      </c>
      <c r="K122" s="6">
        <v>1.025908160489597</v>
      </c>
      <c r="L122" s="6">
        <v>2.0637784887864496</v>
      </c>
      <c r="M122" s="6">
        <v>1.9025410878245275</v>
      </c>
      <c r="N122" s="6">
        <v>0.5241588559825594</v>
      </c>
      <c r="P122" s="121">
        <f t="shared" si="17"/>
        <v>-2.4976037244967824</v>
      </c>
      <c r="Q122" s="92">
        <f t="shared" si="18"/>
        <v>131.87652606271052</v>
      </c>
      <c r="R122" s="93">
        <f t="shared" si="19"/>
        <v>131.87652606271052</v>
      </c>
      <c r="S122" s="6">
        <v>132.04752219658724</v>
      </c>
      <c r="T122" s="6">
        <v>134.80076102751607</v>
      </c>
      <c r="U122" s="6">
        <v>131.87652606271052</v>
      </c>
      <c r="V122" s="6">
        <v>145.25523521051889</v>
      </c>
      <c r="W122" s="6">
        <v>141.09241911669176</v>
      </c>
      <c r="X122" s="6">
        <v>142.76420607005926</v>
      </c>
      <c r="Y122" s="6">
        <v>145.01716721040225</v>
      </c>
      <c r="Z122" s="6">
        <v>172.515314360898</v>
      </c>
      <c r="AA122" s="6">
        <v>208.33774846405757</v>
      </c>
      <c r="AB122" s="6">
        <v>226.23354999999995</v>
      </c>
    </row>
    <row r="123" spans="2:28">
      <c r="B123" s="5">
        <v>40086</v>
      </c>
      <c r="C123" s="92">
        <f t="shared" si="15"/>
        <v>0.24205563366017646</v>
      </c>
      <c r="D123" s="93">
        <f t="shared" si="16"/>
        <v>0.24205563366017646</v>
      </c>
      <c r="E123" s="6">
        <v>0.24331175285106088</v>
      </c>
      <c r="F123" s="6">
        <v>0.46988788717505781</v>
      </c>
      <c r="G123" s="6">
        <v>0.24205563366017646</v>
      </c>
      <c r="H123" s="6">
        <v>0.5541225435418129</v>
      </c>
      <c r="I123" s="6">
        <v>1.5504005282721778</v>
      </c>
      <c r="J123" s="6">
        <v>1.6291238313314027</v>
      </c>
      <c r="K123" s="6">
        <v>0.84483217829707247</v>
      </c>
      <c r="L123" s="6">
        <v>5.9918583229333633</v>
      </c>
      <c r="M123" s="6">
        <v>4.9166120121528101</v>
      </c>
      <c r="N123" s="6">
        <v>3.3224780321044367</v>
      </c>
      <c r="P123" s="121">
        <f t="shared" si="17"/>
        <v>-2.4154457072435989</v>
      </c>
      <c r="Q123" s="92">
        <f t="shared" si="18"/>
        <v>132.19574062352063</v>
      </c>
      <c r="R123" s="93">
        <f t="shared" si="19"/>
        <v>132.19574062352063</v>
      </c>
      <c r="S123" s="6">
        <v>132.36880933744015</v>
      </c>
      <c r="T123" s="6">
        <v>135.43417347540418</v>
      </c>
      <c r="U123" s="6">
        <v>132.19574062352063</v>
      </c>
      <c r="V123" s="6">
        <v>146.06012721449505</v>
      </c>
      <c r="W123" s="6">
        <v>143.27991672802895</v>
      </c>
      <c r="X123" s="6">
        <v>145.09001177375768</v>
      </c>
      <c r="Y123" s="6">
        <v>146.2423189030506</v>
      </c>
      <c r="Z123" s="6">
        <v>182.85218758276613</v>
      </c>
      <c r="AA123" s="6">
        <v>218.58090723089012</v>
      </c>
      <c r="AB123" s="6">
        <v>233.75010999999995</v>
      </c>
    </row>
    <row r="124" spans="2:28">
      <c r="B124" s="7">
        <v>40117</v>
      </c>
      <c r="C124" s="92">
        <f t="shared" si="15"/>
        <v>0.10089139014854975</v>
      </c>
      <c r="D124" s="93">
        <f t="shared" si="16"/>
        <v>0.10089139014854975</v>
      </c>
      <c r="E124" s="6">
        <v>0.2219483192074323</v>
      </c>
      <c r="F124" s="6">
        <v>6.9392227287656816E-2</v>
      </c>
      <c r="G124" s="6">
        <v>0.10089139014854975</v>
      </c>
      <c r="H124" s="6">
        <v>-0.14736090055119666</v>
      </c>
      <c r="I124" s="6">
        <v>0.86080714433329764</v>
      </c>
      <c r="J124" s="6">
        <v>0.75738174699284677</v>
      </c>
      <c r="K124" s="6">
        <v>0.21080383751044263</v>
      </c>
      <c r="L124" s="6">
        <v>1.7965358863299752</v>
      </c>
      <c r="M124" s="6">
        <v>0.14851646182381106</v>
      </c>
      <c r="N124" s="6">
        <v>0.95937067152609412</v>
      </c>
      <c r="P124" s="121">
        <f t="shared" si="17"/>
        <v>-2.3305490894153089</v>
      </c>
      <c r="Q124" s="92">
        <f t="shared" si="18"/>
        <v>132.32911474395289</v>
      </c>
      <c r="R124" s="93">
        <f t="shared" si="19"/>
        <v>132.32911474395289</v>
      </c>
      <c r="S124" s="6">
        <v>132.66259968491948</v>
      </c>
      <c r="T124" s="6">
        <v>135.52815426488741</v>
      </c>
      <c r="U124" s="6">
        <v>132.32911474395289</v>
      </c>
      <c r="V124" s="6">
        <v>145.84489169568556</v>
      </c>
      <c r="W124" s="6">
        <v>144.51328048761863</v>
      </c>
      <c r="X124" s="6">
        <v>146.18889703964189</v>
      </c>
      <c r="Y124" s="6">
        <v>146.55060332336248</v>
      </c>
      <c r="Z124" s="6">
        <v>186.13719275162993</v>
      </c>
      <c r="AA124" s="6">
        <v>218.90553586053181</v>
      </c>
      <c r="AB124" s="6">
        <v>235.99263999999994</v>
      </c>
    </row>
    <row r="125" spans="2:28">
      <c r="B125" s="5">
        <v>40147</v>
      </c>
      <c r="C125" s="92">
        <f t="shared" si="15"/>
        <v>0.35796901820019933</v>
      </c>
      <c r="D125" s="93">
        <f t="shared" si="16"/>
        <v>0.35796901820019933</v>
      </c>
      <c r="E125" s="6">
        <v>0.63170571450279489</v>
      </c>
      <c r="F125" s="6">
        <v>0.16191849186879548</v>
      </c>
      <c r="G125" s="6">
        <v>0.35796901820019933</v>
      </c>
      <c r="H125" s="6">
        <v>1.0457802382517256</v>
      </c>
      <c r="I125" s="6">
        <v>0.88695600248838158</v>
      </c>
      <c r="J125" s="6">
        <v>1.1492068424761026</v>
      </c>
      <c r="K125" s="6">
        <v>1.0074081444298999</v>
      </c>
      <c r="L125" s="6">
        <v>0.99280298162189862</v>
      </c>
      <c r="M125" s="6">
        <v>1.0452561896078238</v>
      </c>
      <c r="N125" s="6">
        <v>2.2215608079980687</v>
      </c>
      <c r="P125" s="121">
        <f t="shared" si="17"/>
        <v>-2.2483910721621254</v>
      </c>
      <c r="Q125" s="92">
        <f t="shared" si="18"/>
        <v>132.80281197679483</v>
      </c>
      <c r="R125" s="93">
        <f t="shared" si="19"/>
        <v>132.80281197679483</v>
      </c>
      <c r="S125" s="6">
        <v>133.5006369081371</v>
      </c>
      <c r="T125" s="6">
        <v>135.74759940833073</v>
      </c>
      <c r="U125" s="6">
        <v>132.80281197679483</v>
      </c>
      <c r="V125" s="6">
        <v>147.37010875153868</v>
      </c>
      <c r="W125" s="6">
        <v>145.79504970329643</v>
      </c>
      <c r="X125" s="6">
        <v>147.86890984736181</v>
      </c>
      <c r="Y125" s="6">
        <v>148.02696603695318</v>
      </c>
      <c r="Z125" s="6">
        <v>187.98516835117542</v>
      </c>
      <c r="AA125" s="6">
        <v>221.19365952350819</v>
      </c>
      <c r="AB125" s="6">
        <v>241.2353599999999</v>
      </c>
    </row>
    <row r="126" spans="2:28">
      <c r="B126" s="7">
        <v>40178</v>
      </c>
      <c r="C126" s="92">
        <f t="shared" si="15"/>
        <v>-0.22205422536965003</v>
      </c>
      <c r="D126" s="93">
        <f t="shared" si="16"/>
        <v>-0.22205422536965003</v>
      </c>
      <c r="E126" s="6">
        <v>-0.81214690877027262</v>
      </c>
      <c r="F126" s="6">
        <v>-7.9332780956564708E-2</v>
      </c>
      <c r="G126" s="6">
        <v>-0.22205422536965003</v>
      </c>
      <c r="H126" s="6">
        <v>-1.0652797877223397</v>
      </c>
      <c r="I126" s="6">
        <v>-3.5498569880210162E-2</v>
      </c>
      <c r="J126" s="6">
        <v>-0.4287554591286824</v>
      </c>
      <c r="K126" s="6">
        <v>-0.91763085314485737</v>
      </c>
      <c r="L126" s="6">
        <v>3.1359217564797648</v>
      </c>
      <c r="M126" s="6">
        <v>0.32231689221537962</v>
      </c>
      <c r="N126" s="6">
        <v>-0.3592549616275087</v>
      </c>
      <c r="P126" s="121">
        <f t="shared" si="17"/>
        <v>-2.1634944543338355</v>
      </c>
      <c r="Q126" s="92">
        <f t="shared" si="18"/>
        <v>132.50791772139064</v>
      </c>
      <c r="R126" s="93">
        <f t="shared" si="19"/>
        <v>132.50791772139064</v>
      </c>
      <c r="S126" s="6">
        <v>132.41641561229903</v>
      </c>
      <c r="T126" s="6">
        <v>135.63990706263831</v>
      </c>
      <c r="U126" s="6">
        <v>132.50791772139064</v>
      </c>
      <c r="V126" s="6">
        <v>145.80020476986411</v>
      </c>
      <c r="W126" s="6">
        <v>145.74329454569562</v>
      </c>
      <c r="X126" s="6">
        <v>147.23491382403716</v>
      </c>
      <c r="Y126" s="6">
        <v>146.66862492562385</v>
      </c>
      <c r="Z126" s="6">
        <v>193.88023614445504</v>
      </c>
      <c r="AA126" s="6">
        <v>221.90660405266183</v>
      </c>
      <c r="AB126" s="6">
        <v>240.36870999999991</v>
      </c>
    </row>
    <row r="127" spans="2:28">
      <c r="B127" s="5">
        <v>40209</v>
      </c>
      <c r="C127" s="92">
        <f t="shared" si="15"/>
        <v>0.38362385922985354</v>
      </c>
      <c r="D127" s="93">
        <f t="shared" si="16"/>
        <v>0.38362385922985354</v>
      </c>
      <c r="E127" s="6">
        <v>0.77778069820617635</v>
      </c>
      <c r="F127" s="6">
        <v>-1.3066812986561871E-2</v>
      </c>
      <c r="G127" s="6">
        <v>0.38362385922985354</v>
      </c>
      <c r="H127" s="6">
        <v>0.78657006353402004</v>
      </c>
      <c r="I127" s="6">
        <v>1.5862352364830912</v>
      </c>
      <c r="J127" s="6">
        <v>1.6744304963090206</v>
      </c>
      <c r="K127" s="6">
        <v>1.0243303579834606</v>
      </c>
      <c r="L127" s="6">
        <v>1.5286584909069312</v>
      </c>
      <c r="M127" s="6">
        <v>0.36792452870626491</v>
      </c>
      <c r="N127" s="6">
        <v>0.25457972462388234</v>
      </c>
      <c r="P127" s="121">
        <f t="shared" si="17"/>
        <v>-2.078597836505546</v>
      </c>
      <c r="Q127" s="92">
        <f t="shared" si="18"/>
        <v>133.01624970913855</v>
      </c>
      <c r="R127" s="93">
        <f t="shared" si="19"/>
        <v>133.01624970913855</v>
      </c>
      <c r="S127" s="6">
        <v>133.44632493418797</v>
      </c>
      <c r="T127" s="6">
        <v>135.62218324964729</v>
      </c>
      <c r="U127" s="6">
        <v>133.01624970913855</v>
      </c>
      <c r="V127" s="6">
        <v>146.94702553315517</v>
      </c>
      <c r="W127" s="6">
        <v>148.05512603859077</v>
      </c>
      <c r="X127" s="6">
        <v>149.70026012232114</v>
      </c>
      <c r="Y127" s="6">
        <v>148.1709961763739</v>
      </c>
      <c r="Z127" s="6">
        <v>196.84400283646767</v>
      </c>
      <c r="AA127" s="6">
        <v>222.72305287979066</v>
      </c>
      <c r="AB127" s="6">
        <v>240.98063999999988</v>
      </c>
    </row>
    <row r="128" spans="2:28">
      <c r="B128" s="5">
        <v>40237</v>
      </c>
      <c r="C128" s="92">
        <f t="shared" si="15"/>
        <v>0.31202890707060504</v>
      </c>
      <c r="D128" s="93">
        <f t="shared" si="16"/>
        <v>0.31202890707060504</v>
      </c>
      <c r="E128" s="6">
        <v>0.20924725632276431</v>
      </c>
      <c r="F128" s="6">
        <v>0.76191429751240047</v>
      </c>
      <c r="G128" s="6">
        <v>0.31202890707060504</v>
      </c>
      <c r="H128" s="6">
        <v>0.47126364556768774</v>
      </c>
      <c r="I128" s="6">
        <v>0.56053949783585466</v>
      </c>
      <c r="J128" s="6">
        <v>0.34084130760920761</v>
      </c>
      <c r="K128" s="6">
        <v>0.47231866051051785</v>
      </c>
      <c r="L128" s="6">
        <v>0.14149305555555269</v>
      </c>
      <c r="M128" s="6">
        <v>1.4152421036447649</v>
      </c>
      <c r="N128" s="6">
        <v>1.1223349726351639</v>
      </c>
      <c r="P128" s="121">
        <f t="shared" si="17"/>
        <v>-2.0019170204025745</v>
      </c>
      <c r="Q128" s="92">
        <f t="shared" si="18"/>
        <v>133.43129885933229</v>
      </c>
      <c r="R128" s="93">
        <f t="shared" si="19"/>
        <v>133.43129885933229</v>
      </c>
      <c r="S128" s="6">
        <v>133.72555770777632</v>
      </c>
      <c r="T128" s="6">
        <v>136.65550805442481</v>
      </c>
      <c r="U128" s="6">
        <v>133.43129885933229</v>
      </c>
      <c r="V128" s="6">
        <v>147.639533442736</v>
      </c>
      <c r="W128" s="6">
        <v>148.88503349860773</v>
      </c>
      <c r="X128" s="6">
        <v>150.21050044641643</v>
      </c>
      <c r="Y128" s="6">
        <v>148.87083544077925</v>
      </c>
      <c r="Z128" s="6">
        <v>197.12252343075883</v>
      </c>
      <c r="AA128" s="6">
        <v>225.87512329866846</v>
      </c>
      <c r="AB128" s="6">
        <v>243.68524999999991</v>
      </c>
    </row>
    <row r="129" spans="2:28">
      <c r="B129" s="7">
        <v>40268</v>
      </c>
      <c r="C129" s="92">
        <f t="shared" ref="C129:C164" si="20">SUMPRODUCT(WtPF,$E129:$N129)/100</f>
        <v>-5.0105109148079752E-2</v>
      </c>
      <c r="D129" s="93">
        <f t="shared" ref="D129:D164" si="21">SUMPRODUCT(WtBM,$E129:$N129)/100</f>
        <v>-5.0105109148079752E-2</v>
      </c>
      <c r="E129" s="6">
        <v>-0.26378214359903396</v>
      </c>
      <c r="F129" s="6">
        <v>0.32467459470228999</v>
      </c>
      <c r="G129" s="6">
        <v>-5.0105109148079752E-2</v>
      </c>
      <c r="H129" s="6">
        <v>-9.4398607271950485E-2</v>
      </c>
      <c r="I129" s="6">
        <v>1.0218803776554486</v>
      </c>
      <c r="J129" s="6">
        <v>0.68320746226446794</v>
      </c>
      <c r="K129" s="6">
        <v>0.19286320872664575</v>
      </c>
      <c r="L129" s="6">
        <v>3.0230663210908171</v>
      </c>
      <c r="M129" s="6">
        <v>2.3324534125198859</v>
      </c>
      <c r="N129" s="6">
        <v>4.0119129081468863</v>
      </c>
      <c r="P129" s="121">
        <f t="shared" si="17"/>
        <v>-1.9170204025742847</v>
      </c>
      <c r="Q129" s="92">
        <f t="shared" si="18"/>
        <v>133.36444296140112</v>
      </c>
      <c r="R129" s="93">
        <f t="shared" si="19"/>
        <v>133.36444296140112</v>
      </c>
      <c r="S129" s="6">
        <v>133.372813565115</v>
      </c>
      <c r="T129" s="6">
        <v>137.09919377133886</v>
      </c>
      <c r="U129" s="6">
        <v>133.36444296140112</v>
      </c>
      <c r="V129" s="6">
        <v>147.50016377938326</v>
      </c>
      <c r="W129" s="6">
        <v>150.40646044119575</v>
      </c>
      <c r="X129" s="6">
        <v>151.23674979457115</v>
      </c>
      <c r="Y129" s="6">
        <v>149.15795251086848</v>
      </c>
      <c r="Z129" s="6">
        <v>203.08166804787845</v>
      </c>
      <c r="AA129" s="6">
        <v>231.14355532008176</v>
      </c>
      <c r="AB129" s="6">
        <v>253.46168999999992</v>
      </c>
    </row>
    <row r="130" spans="2:28">
      <c r="B130" s="5">
        <v>40298</v>
      </c>
      <c r="C130" s="92">
        <f t="shared" si="20"/>
        <v>0.15876058444657115</v>
      </c>
      <c r="D130" s="93">
        <f t="shared" si="21"/>
        <v>0.15876058444657115</v>
      </c>
      <c r="E130" s="6">
        <v>0.29830956769609784</v>
      </c>
      <c r="F130" s="6">
        <v>-0.50346959256958312</v>
      </c>
      <c r="G130" s="6">
        <v>0.15876058444657115</v>
      </c>
      <c r="H130" s="6">
        <v>0.75996230800912112</v>
      </c>
      <c r="I130" s="6">
        <v>0.57450432068151258</v>
      </c>
      <c r="J130" s="6">
        <v>1.1513521413966332</v>
      </c>
      <c r="K130" s="6">
        <v>0.55724464979400867</v>
      </c>
      <c r="L130" s="6">
        <v>2.2734443691865058</v>
      </c>
      <c r="M130" s="6">
        <v>0.76257194861137911</v>
      </c>
      <c r="N130" s="6">
        <v>1.5713814580814889</v>
      </c>
      <c r="P130" s="121">
        <f t="shared" si="17"/>
        <v>-1.834862385321101</v>
      </c>
      <c r="Q130" s="92">
        <f t="shared" si="18"/>
        <v>133.57617313049056</v>
      </c>
      <c r="R130" s="93">
        <f t="shared" si="19"/>
        <v>133.57617313049056</v>
      </c>
      <c r="S130" s="6">
        <v>133.77067742868522</v>
      </c>
      <c r="T130" s="6">
        <v>136.40894101904212</v>
      </c>
      <c r="U130" s="6">
        <v>133.57617313049056</v>
      </c>
      <c r="V130" s="6">
        <v>148.6211094283583</v>
      </c>
      <c r="W130" s="6">
        <v>151.27055205501455</v>
      </c>
      <c r="X130" s="6">
        <v>152.97801735190961</v>
      </c>
      <c r="Y130" s="6">
        <v>149.98912722097759</v>
      </c>
      <c r="Z130" s="6">
        <v>207.69861679496299</v>
      </c>
      <c r="AA130" s="6">
        <v>232.90619123397573</v>
      </c>
      <c r="AB130" s="6">
        <v>257.4445399999999</v>
      </c>
    </row>
    <row r="131" spans="2:28">
      <c r="B131" s="7">
        <v>40329</v>
      </c>
      <c r="C131" s="92">
        <f t="shared" si="20"/>
        <v>0.29240471653277922</v>
      </c>
      <c r="D131" s="93">
        <f t="shared" si="21"/>
        <v>0.29240471653277922</v>
      </c>
      <c r="E131" s="6">
        <v>0.47015295598806794</v>
      </c>
      <c r="F131" s="6">
        <v>0.60921161060822904</v>
      </c>
      <c r="G131" s="6">
        <v>0.29240471653277922</v>
      </c>
      <c r="H131" s="6">
        <v>1.1294845560323674</v>
      </c>
      <c r="I131" s="6">
        <v>-0.470987155829794</v>
      </c>
      <c r="J131" s="6">
        <v>-0.52771574625967155</v>
      </c>
      <c r="K131" s="6">
        <v>0.77416321977592517</v>
      </c>
      <c r="L131" s="6">
        <v>-3.5056959266068999</v>
      </c>
      <c r="M131" s="6">
        <v>-1.5788990586828699</v>
      </c>
      <c r="N131" s="6">
        <v>-4.3448658883967877</v>
      </c>
      <c r="P131" s="121">
        <f t="shared" si="17"/>
        <v>-1.7499657674928113</v>
      </c>
      <c r="Q131" s="92">
        <f t="shared" si="18"/>
        <v>133.96675616088811</v>
      </c>
      <c r="R131" s="93">
        <f t="shared" si="19"/>
        <v>133.96675616088811</v>
      </c>
      <c r="S131" s="6">
        <v>134.39960422286146</v>
      </c>
      <c r="T131" s="6">
        <v>137.23996012563785</v>
      </c>
      <c r="U131" s="6">
        <v>133.96675616088811</v>
      </c>
      <c r="V131" s="6">
        <v>150.29976190635557</v>
      </c>
      <c r="W131" s="6">
        <v>150.55808718428261</v>
      </c>
      <c r="X131" s="6">
        <v>152.17072826602774</v>
      </c>
      <c r="Y131" s="6">
        <v>151.15028787758533</v>
      </c>
      <c r="Z131" s="6">
        <v>200.4173348463631</v>
      </c>
      <c r="AA131" s="6">
        <v>229.22883757296836</v>
      </c>
      <c r="AB131" s="6">
        <v>246.25891999999988</v>
      </c>
    </row>
    <row r="132" spans="2:28">
      <c r="B132" s="5">
        <v>40359</v>
      </c>
      <c r="C132" s="92">
        <f t="shared" si="20"/>
        <v>0.22907877775615315</v>
      </c>
      <c r="D132" s="93">
        <f t="shared" si="21"/>
        <v>0.22907877775615315</v>
      </c>
      <c r="E132" s="6">
        <v>0.47219992130331789</v>
      </c>
      <c r="F132" s="6">
        <v>-0.33567963757309416</v>
      </c>
      <c r="G132" s="6">
        <v>0.22907877775615315</v>
      </c>
      <c r="H132" s="6">
        <v>1.1245379634754027</v>
      </c>
      <c r="I132" s="6">
        <v>0.26505990454113171</v>
      </c>
      <c r="J132" s="6">
        <v>1.3046805245932269</v>
      </c>
      <c r="K132" s="6">
        <v>0.91266444964781535</v>
      </c>
      <c r="L132" s="6">
        <v>1.2945047389873787</v>
      </c>
      <c r="M132" s="6">
        <v>2.0063957750339645</v>
      </c>
      <c r="N132" s="6">
        <v>0.88786225489823067</v>
      </c>
      <c r="P132" s="121">
        <f t="shared" si="17"/>
        <v>-1.6678077502396276</v>
      </c>
      <c r="Q132" s="92">
        <f t="shared" si="18"/>
        <v>134.27364556850105</v>
      </c>
      <c r="R132" s="93">
        <f t="shared" si="19"/>
        <v>134.27364556850105</v>
      </c>
      <c r="S132" s="6">
        <v>135.03423904823379</v>
      </c>
      <c r="T132" s="6">
        <v>136.77927352488265</v>
      </c>
      <c r="U132" s="6">
        <v>134.27364556850105</v>
      </c>
      <c r="V132" s="6">
        <v>151.98993978800567</v>
      </c>
      <c r="W132" s="6">
        <v>150.95715630645222</v>
      </c>
      <c r="X132" s="6">
        <v>154.15607012184628</v>
      </c>
      <c r="Y132" s="6">
        <v>152.52978282058439</v>
      </c>
      <c r="Z132" s="6">
        <v>203.01174674370148</v>
      </c>
      <c r="AA132" s="6">
        <v>233.82807528519186</v>
      </c>
      <c r="AB132" s="6">
        <v>248.44535999999991</v>
      </c>
    </row>
    <row r="133" spans="2:28">
      <c r="B133" s="5">
        <v>40390</v>
      </c>
      <c r="C133" s="92">
        <f t="shared" si="20"/>
        <v>0.20666475177582022</v>
      </c>
      <c r="D133" s="93">
        <f t="shared" si="21"/>
        <v>0.20666475177582022</v>
      </c>
      <c r="E133" s="6">
        <v>0.2842110852587787</v>
      </c>
      <c r="F133" s="6">
        <v>0.36282747770794987</v>
      </c>
      <c r="G133" s="6">
        <v>0.20666475177582022</v>
      </c>
      <c r="H133" s="6">
        <v>0.56684374911069035</v>
      </c>
      <c r="I133" s="6">
        <v>1.2905478248865787</v>
      </c>
      <c r="J133" s="6">
        <v>1.6387715004426262</v>
      </c>
      <c r="K133" s="6">
        <v>0.8134067832589853</v>
      </c>
      <c r="L133" s="6">
        <v>3.4411875927200963</v>
      </c>
      <c r="M133" s="6">
        <v>4.1170983196377353</v>
      </c>
      <c r="N133" s="6">
        <v>5.5232224904502081</v>
      </c>
      <c r="P133" s="121">
        <f t="shared" si="17"/>
        <v>-1.5829111324113379</v>
      </c>
      <c r="Q133" s="92">
        <f t="shared" si="18"/>
        <v>134.55114186481555</v>
      </c>
      <c r="R133" s="93">
        <f t="shared" si="19"/>
        <v>134.55114186481555</v>
      </c>
      <c r="S133" s="6">
        <v>135.41802132450371</v>
      </c>
      <c r="T133" s="6">
        <v>137.27554631304025</v>
      </c>
      <c r="U133" s="6">
        <v>134.55114186481555</v>
      </c>
      <c r="V133" s="6">
        <v>152.85148526097109</v>
      </c>
      <c r="W133" s="6">
        <v>152.90533060367576</v>
      </c>
      <c r="X133" s="6">
        <v>156.68233586520546</v>
      </c>
      <c r="Y133" s="6">
        <v>153.77047042053721</v>
      </c>
      <c r="Z133" s="6">
        <v>209.99776178441007</v>
      </c>
      <c r="AA133" s="6">
        <v>243.45500704359975</v>
      </c>
      <c r="AB133" s="6">
        <v>262.16754999999989</v>
      </c>
    </row>
    <row r="134" spans="2:28">
      <c r="B134" s="7">
        <v>40421</v>
      </c>
      <c r="C134" s="92">
        <f t="shared" si="20"/>
        <v>0.23603199316646339</v>
      </c>
      <c r="D134" s="93">
        <f t="shared" si="21"/>
        <v>0.23603199316646339</v>
      </c>
      <c r="E134" s="6">
        <v>0.19714892027848929</v>
      </c>
      <c r="F134" s="6">
        <v>0.28221465323676753</v>
      </c>
      <c r="G134" s="6">
        <v>0.23603199316646339</v>
      </c>
      <c r="H134" s="6">
        <v>2.0166703168217337</v>
      </c>
      <c r="I134" s="6">
        <v>1.8509564889015673</v>
      </c>
      <c r="J134" s="6">
        <v>1.9681998293750613</v>
      </c>
      <c r="K134" s="6">
        <v>1.6599125684776839</v>
      </c>
      <c r="L134" s="6">
        <v>0.15619442093364189</v>
      </c>
      <c r="M134" s="6">
        <v>2.3270552229599284</v>
      </c>
      <c r="N134" s="6">
        <v>0.68151073616853353</v>
      </c>
      <c r="P134" s="121">
        <f t="shared" si="17"/>
        <v>-1.4980145145830481</v>
      </c>
      <c r="Q134" s="92">
        <f t="shared" si="18"/>
        <v>134.86872560678731</v>
      </c>
      <c r="R134" s="93">
        <f t="shared" si="19"/>
        <v>134.86872560678731</v>
      </c>
      <c r="S134" s="6">
        <v>135.68499649140747</v>
      </c>
      <c r="T134" s="6">
        <v>137.66295802004649</v>
      </c>
      <c r="U134" s="6">
        <v>134.86872560678731</v>
      </c>
      <c r="V134" s="6">
        <v>155.93399579305023</v>
      </c>
      <c r="W134" s="6">
        <v>155.73554174236091</v>
      </c>
      <c r="X134" s="6">
        <v>159.76615733236528</v>
      </c>
      <c r="Y134" s="6">
        <v>156.32292578565497</v>
      </c>
      <c r="Z134" s="6">
        <v>210.32576657240284</v>
      </c>
      <c r="AA134" s="6">
        <v>249.12033950056531</v>
      </c>
      <c r="AB134" s="6">
        <v>263.95424999999989</v>
      </c>
    </row>
    <row r="135" spans="2:28">
      <c r="B135" s="7">
        <v>40451</v>
      </c>
      <c r="C135" s="92">
        <f t="shared" si="20"/>
        <v>-2.9899706670466486E-2</v>
      </c>
      <c r="D135" s="93">
        <f t="shared" si="21"/>
        <v>-2.9899706670466486E-2</v>
      </c>
      <c r="E135" s="6">
        <v>0.1794425818537837</v>
      </c>
      <c r="F135" s="6">
        <v>-9.6390232613985383E-2</v>
      </c>
      <c r="G135" s="6">
        <v>-2.9899706670466486E-2</v>
      </c>
      <c r="H135" s="6">
        <v>-0.30054538194295155</v>
      </c>
      <c r="I135" s="6">
        <v>-0.3177888821643382</v>
      </c>
      <c r="J135" s="6">
        <v>0.33436223640410656</v>
      </c>
      <c r="K135" s="6">
        <v>-0.22333955140868555</v>
      </c>
      <c r="L135" s="6">
        <v>2.9125030465513069</v>
      </c>
      <c r="M135" s="6">
        <v>1.6755608495537144</v>
      </c>
      <c r="N135" s="6">
        <v>5.7588464667645889</v>
      </c>
      <c r="P135" s="121">
        <f t="shared" si="17"/>
        <v>-1.4158564973298646</v>
      </c>
      <c r="Q135" s="92">
        <f t="shared" si="18"/>
        <v>134.82840025344069</v>
      </c>
      <c r="R135" s="93">
        <f t="shared" si="19"/>
        <v>134.82840025344069</v>
      </c>
      <c r="S135" s="6">
        <v>135.92847315229986</v>
      </c>
      <c r="T135" s="6">
        <v>137.53026437458766</v>
      </c>
      <c r="U135" s="6">
        <v>134.82840025344069</v>
      </c>
      <c r="V135" s="6">
        <v>155.46534336981509</v>
      </c>
      <c r="W135" s="6">
        <v>155.24063150512529</v>
      </c>
      <c r="X135" s="6">
        <v>160.30035502903868</v>
      </c>
      <c r="Y135" s="6">
        <v>155.97379486445635</v>
      </c>
      <c r="Z135" s="6">
        <v>216.45151093150648</v>
      </c>
      <c r="AA135" s="6">
        <v>253.29450237751209</v>
      </c>
      <c r="AB135" s="6">
        <v>279.15496999999988</v>
      </c>
    </row>
    <row r="136" spans="2:28">
      <c r="B136" s="5">
        <v>40482</v>
      </c>
      <c r="C136" s="92">
        <f t="shared" si="20"/>
        <v>8.4543375695234069E-2</v>
      </c>
      <c r="D136" s="93">
        <f t="shared" si="21"/>
        <v>8.4543375695234069E-2</v>
      </c>
      <c r="E136" s="6">
        <v>0.23244010310476959</v>
      </c>
      <c r="F136" s="6">
        <v>-5.1158979320753417E-2</v>
      </c>
      <c r="G136" s="6">
        <v>8.4543375695234069E-2</v>
      </c>
      <c r="H136" s="6">
        <v>-0.46298582396394616</v>
      </c>
      <c r="I136" s="6">
        <v>-7.7100380274996994E-2</v>
      </c>
      <c r="J136" s="6">
        <v>0.12505904283519609</v>
      </c>
      <c r="K136" s="6">
        <v>-8.9542029774258847E-2</v>
      </c>
      <c r="L136" s="6">
        <v>2.4037892243931491</v>
      </c>
      <c r="M136" s="6">
        <v>1.7193121849989668</v>
      </c>
      <c r="N136" s="6">
        <v>1.2843367968695008</v>
      </c>
      <c r="P136" s="121">
        <f t="shared" si="17"/>
        <v>-1.3309598795015747</v>
      </c>
      <c r="Q136" s="92">
        <f t="shared" si="18"/>
        <v>134.94238873441083</v>
      </c>
      <c r="R136" s="93">
        <f t="shared" si="19"/>
        <v>134.94238873441083</v>
      </c>
      <c r="S136" s="6">
        <v>136.24442543544382</v>
      </c>
      <c r="T136" s="6">
        <v>137.45990529507648</v>
      </c>
      <c r="U136" s="6">
        <v>134.94238873441083</v>
      </c>
      <c r="V136" s="6">
        <v>154.74556086883598</v>
      </c>
      <c r="W136" s="6">
        <v>155.12094038789354</v>
      </c>
      <c r="X136" s="6">
        <v>160.50082511869942</v>
      </c>
      <c r="Y136" s="6">
        <v>155.83413276261876</v>
      </c>
      <c r="Z136" s="6">
        <v>221.65454902731418</v>
      </c>
      <c r="AA136" s="6">
        <v>257.64942562082115</v>
      </c>
      <c r="AB136" s="6">
        <v>282.74025999999986</v>
      </c>
    </row>
    <row r="137" spans="2:28">
      <c r="B137" s="7">
        <v>40512</v>
      </c>
      <c r="C137" s="92">
        <f t="shared" si="20"/>
        <v>-0.24263579587040507</v>
      </c>
      <c r="D137" s="93">
        <f t="shared" si="21"/>
        <v>-0.24263579587040507</v>
      </c>
      <c r="E137" s="6">
        <v>-0.19784244494769343</v>
      </c>
      <c r="F137" s="6">
        <v>-0.78627233067325442</v>
      </c>
      <c r="G137" s="6">
        <v>-0.24263579587040507</v>
      </c>
      <c r="H137" s="6">
        <v>-1.2612825038130215</v>
      </c>
      <c r="I137" s="6">
        <v>-1.2877979566903619</v>
      </c>
      <c r="J137" s="6">
        <v>-1.1115612794727725</v>
      </c>
      <c r="K137" s="6">
        <v>-1.0756807566716931</v>
      </c>
      <c r="L137" s="6">
        <v>-1.088112858464374</v>
      </c>
      <c r="M137" s="6">
        <v>-3.183188148846483</v>
      </c>
      <c r="N137" s="6">
        <v>-4.6461795005776629</v>
      </c>
      <c r="P137" s="121">
        <f t="shared" si="17"/>
        <v>-1.2488018622483912</v>
      </c>
      <c r="Q137" s="92">
        <f t="shared" si="18"/>
        <v>134.61497019553855</v>
      </c>
      <c r="R137" s="93">
        <f t="shared" si="19"/>
        <v>134.61497019553855</v>
      </c>
      <c r="S137" s="6">
        <v>135.97487613305739</v>
      </c>
      <c r="T137" s="6">
        <v>136.37909609397164</v>
      </c>
      <c r="U137" s="6">
        <v>134.61497019553855</v>
      </c>
      <c r="V137" s="6">
        <v>152.79378218417003</v>
      </c>
      <c r="W137" s="6">
        <v>153.12329608717937</v>
      </c>
      <c r="X137" s="6">
        <v>158.71676009344566</v>
      </c>
      <c r="Y137" s="6">
        <v>154.15785498416506</v>
      </c>
      <c r="Z137" s="6">
        <v>219.24269737797675</v>
      </c>
      <c r="AA137" s="6">
        <v>249.44795963888814</v>
      </c>
      <c r="AB137" s="6">
        <v>269.60363999999987</v>
      </c>
    </row>
    <row r="138" spans="2:28">
      <c r="B138" s="5">
        <v>40543</v>
      </c>
      <c r="C138" s="92">
        <f t="shared" si="20"/>
        <v>3.5038538401521713E-2</v>
      </c>
      <c r="D138" s="93">
        <f t="shared" si="21"/>
        <v>3.5038538401521713E-2</v>
      </c>
      <c r="E138" s="6">
        <v>-0.17395203532227788</v>
      </c>
      <c r="F138" s="6">
        <v>0.37813823659971213</v>
      </c>
      <c r="G138" s="6">
        <v>3.5038538401521713E-2</v>
      </c>
      <c r="H138" s="6">
        <v>-0.53147235873162169</v>
      </c>
      <c r="I138" s="6">
        <v>-0.26641836256463547</v>
      </c>
      <c r="J138" s="6">
        <v>-0.51223741067499828</v>
      </c>
      <c r="K138" s="6">
        <v>-0.46885246957240057</v>
      </c>
      <c r="L138" s="6">
        <v>1.7543654551335219</v>
      </c>
      <c r="M138" s="6">
        <v>-0.33156351885744728</v>
      </c>
      <c r="N138" s="6">
        <v>3.1358181959264542</v>
      </c>
      <c r="P138" s="121">
        <f t="shared" si="17"/>
        <v>-1.1639052444201015</v>
      </c>
      <c r="Q138" s="92">
        <f t="shared" si="18"/>
        <v>134.6621373135647</v>
      </c>
      <c r="R138" s="93">
        <f t="shared" si="19"/>
        <v>134.6621373135647</v>
      </c>
      <c r="S138" s="6">
        <v>135.73834506849698</v>
      </c>
      <c r="T138" s="6">
        <v>136.894797603032</v>
      </c>
      <c r="U138" s="6">
        <v>134.6621373135647</v>
      </c>
      <c r="V138" s="6">
        <v>151.98172546600057</v>
      </c>
      <c r="W138" s="6">
        <v>152.71534750903891</v>
      </c>
      <c r="X138" s="6">
        <v>157.90375347123575</v>
      </c>
      <c r="Y138" s="6">
        <v>153.43508207403195</v>
      </c>
      <c r="Z138" s="6">
        <v>223.08901552367891</v>
      </c>
      <c r="AA138" s="6">
        <v>248.62088120619134</v>
      </c>
      <c r="AB138" s="6">
        <v>278.05791999999991</v>
      </c>
    </row>
    <row r="139" spans="2:28">
      <c r="B139" s="5">
        <v>40574</v>
      </c>
      <c r="C139" s="92">
        <f t="shared" si="20"/>
        <v>-6.0409765135993609E-3</v>
      </c>
      <c r="D139" s="93">
        <f t="shared" si="21"/>
        <v>-6.0409765135993609E-3</v>
      </c>
      <c r="E139" s="6">
        <v>0.15274958510744785</v>
      </c>
      <c r="F139" s="6">
        <v>-0.13094457222535549</v>
      </c>
      <c r="G139" s="6">
        <v>-6.0409765135993609E-3</v>
      </c>
      <c r="H139" s="6">
        <v>-0.4912637767998107</v>
      </c>
      <c r="I139" s="6">
        <v>-0.4585432840028103</v>
      </c>
      <c r="J139" s="6">
        <v>-1.8792457188265832E-2</v>
      </c>
      <c r="K139" s="6">
        <v>-0.30979810253435325</v>
      </c>
      <c r="L139" s="6">
        <v>2.0990429650848963</v>
      </c>
      <c r="M139" s="6">
        <v>-0.54341353270176418</v>
      </c>
      <c r="N139" s="6">
        <v>-1.5463037341284847</v>
      </c>
      <c r="P139" s="121">
        <f t="shared" si="17"/>
        <v>-1.0790086265918117</v>
      </c>
      <c r="Q139" s="92">
        <f t="shared" si="18"/>
        <v>134.65400240547689</v>
      </c>
      <c r="R139" s="93">
        <f t="shared" si="19"/>
        <v>134.65400240547689</v>
      </c>
      <c r="S139" s="6">
        <v>135.94568482742082</v>
      </c>
      <c r="T139" s="6">
        <v>136.71554129591195</v>
      </c>
      <c r="U139" s="6">
        <v>134.65400240547689</v>
      </c>
      <c r="V139" s="6">
        <v>151.23509430143076</v>
      </c>
      <c r="W139" s="6">
        <v>152.01508153939466</v>
      </c>
      <c r="X139" s="6">
        <v>157.874079475966</v>
      </c>
      <c r="Y139" s="6">
        <v>152.95974310114457</v>
      </c>
      <c r="Z139" s="6">
        <v>227.77174980990586</v>
      </c>
      <c r="AA139" s="6">
        <v>247.26984169259453</v>
      </c>
      <c r="AB139" s="6">
        <v>273.75829999999991</v>
      </c>
    </row>
    <row r="140" spans="2:28">
      <c r="B140" s="5">
        <v>40602</v>
      </c>
      <c r="C140" s="92">
        <f t="shared" si="20"/>
        <v>-2.9004138432875415E-2</v>
      </c>
      <c r="D140" s="93">
        <f t="shared" si="21"/>
        <v>-2.9004138432875415E-2</v>
      </c>
      <c r="E140" s="6">
        <v>-9.3529519654156346E-2</v>
      </c>
      <c r="F140" s="6">
        <v>2.789773328162326E-2</v>
      </c>
      <c r="G140" s="6">
        <v>-2.9004138432875415E-2</v>
      </c>
      <c r="H140" s="6">
        <v>-1.9925528880615495E-2</v>
      </c>
      <c r="I140" s="6">
        <v>0.76991064464153602</v>
      </c>
      <c r="J140" s="6">
        <v>0.71937093581000422</v>
      </c>
      <c r="K140" s="6">
        <v>0.18220331026728154</v>
      </c>
      <c r="L140" s="6">
        <v>1.3398349587397052</v>
      </c>
      <c r="M140" s="6">
        <v>0.29273686445310254</v>
      </c>
      <c r="N140" s="6">
        <v>1.4889813386479878</v>
      </c>
      <c r="P140" s="121">
        <f t="shared" si="17"/>
        <v>-1.0023278104888402</v>
      </c>
      <c r="Q140" s="92">
        <f t="shared" si="18"/>
        <v>134.61494717221379</v>
      </c>
      <c r="R140" s="93">
        <f t="shared" si="19"/>
        <v>134.61494717221379</v>
      </c>
      <c r="S140" s="6">
        <v>135.81853548141117</v>
      </c>
      <c r="T140" s="6">
        <v>136.75368183297721</v>
      </c>
      <c r="U140" s="6">
        <v>134.61494717221379</v>
      </c>
      <c r="V140" s="6">
        <v>151.20495990903811</v>
      </c>
      <c r="W140" s="6">
        <v>153.18546183362696</v>
      </c>
      <c r="X140" s="6">
        <v>159.0097797188937</v>
      </c>
      <c r="Y140" s="6">
        <v>153.23844081645117</v>
      </c>
      <c r="Z140" s="6">
        <v>230.8235153399921</v>
      </c>
      <c r="AA140" s="6">
        <v>247.99369167390358</v>
      </c>
      <c r="AB140" s="6">
        <v>277.83450999999985</v>
      </c>
    </row>
    <row r="141" spans="2:28">
      <c r="B141" s="7">
        <v>40633</v>
      </c>
      <c r="C141" s="92">
        <f t="shared" si="20"/>
        <v>-5.3646713756849707E-3</v>
      </c>
      <c r="D141" s="93">
        <f t="shared" si="21"/>
        <v>-5.3646713756849707E-3</v>
      </c>
      <c r="E141" s="6">
        <v>-6.3993586118438195E-2</v>
      </c>
      <c r="F141" s="6">
        <v>-0.27677176639877565</v>
      </c>
      <c r="G141" s="6">
        <v>-5.3646713756849707E-3</v>
      </c>
      <c r="H141" s="6">
        <v>-6.8909859371435456E-2</v>
      </c>
      <c r="I141" s="6">
        <v>-0.38983392155146346</v>
      </c>
      <c r="J141" s="6">
        <v>-0.16981501713887459</v>
      </c>
      <c r="K141" s="6">
        <v>-7.5797322077331142E-2</v>
      </c>
      <c r="L141" s="6">
        <v>0.42158328768338027</v>
      </c>
      <c r="M141" s="6">
        <v>1.2705298445063296</v>
      </c>
      <c r="N141" s="6">
        <v>2.9470565049676489</v>
      </c>
      <c r="P141" s="121">
        <f t="shared" si="17"/>
        <v>-0.91743119266055051</v>
      </c>
      <c r="Q141" s="92">
        <f t="shared" si="18"/>
        <v>134.60772552267545</v>
      </c>
      <c r="R141" s="93">
        <f t="shared" si="19"/>
        <v>134.60772552267545</v>
      </c>
      <c r="S141" s="6">
        <v>135.73162032994307</v>
      </c>
      <c r="T141" s="6">
        <v>136.3751862521527</v>
      </c>
      <c r="U141" s="6">
        <v>134.60772552267545</v>
      </c>
      <c r="V141" s="6">
        <v>151.10076478380216</v>
      </c>
      <c r="W141" s="6">
        <v>152.58829294051421</v>
      </c>
      <c r="X141" s="6">
        <v>158.73975723421157</v>
      </c>
      <c r="Y141" s="6">
        <v>153.12229018191925</v>
      </c>
      <c r="Z141" s="6">
        <v>231.79662870470878</v>
      </c>
      <c r="AA141" s="6">
        <v>251.14452553911354</v>
      </c>
      <c r="AB141" s="6">
        <v>286.02244999999982</v>
      </c>
    </row>
    <row r="142" spans="2:28">
      <c r="B142" s="7">
        <v>40663</v>
      </c>
      <c r="C142" s="92">
        <f t="shared" si="20"/>
        <v>0.23066758906715723</v>
      </c>
      <c r="D142" s="93">
        <f t="shared" si="21"/>
        <v>0.23066758906715723</v>
      </c>
      <c r="E142" s="6">
        <v>0.49053421855611568</v>
      </c>
      <c r="F142" s="6">
        <v>-0.60909734743455068</v>
      </c>
      <c r="G142" s="6">
        <v>0.23066758906715723</v>
      </c>
      <c r="H142" s="6">
        <v>0.7737830553041336</v>
      </c>
      <c r="I142" s="6">
        <v>0.96288395861248155</v>
      </c>
      <c r="J142" s="6">
        <v>1.3844455238423592</v>
      </c>
      <c r="K142" s="6">
        <v>0.90663884712907095</v>
      </c>
      <c r="L142" s="6">
        <v>1.5167096063189556</v>
      </c>
      <c r="M142" s="6">
        <v>1.3909927072819128</v>
      </c>
      <c r="N142" s="6">
        <v>4.7276428825779426</v>
      </c>
      <c r="P142" s="121">
        <f t="shared" si="17"/>
        <v>-0.8352731754073669</v>
      </c>
      <c r="Q142" s="92">
        <f t="shared" si="18"/>
        <v>134.91822191783675</v>
      </c>
      <c r="R142" s="93">
        <f t="shared" si="19"/>
        <v>134.91822191783675</v>
      </c>
      <c r="S142" s="6">
        <v>136.39743037306212</v>
      </c>
      <c r="T142" s="6">
        <v>135.54452861013192</v>
      </c>
      <c r="U142" s="6">
        <v>134.91822191783675</v>
      </c>
      <c r="V142" s="6">
        <v>152.26995689813418</v>
      </c>
      <c r="W142" s="6">
        <v>154.05754113595904</v>
      </c>
      <c r="X142" s="6">
        <v>160.93742269779884</v>
      </c>
      <c r="Y142" s="6">
        <v>154.51055634832224</v>
      </c>
      <c r="Z142" s="6">
        <v>235.31231043939658</v>
      </c>
      <c r="AA142" s="6">
        <v>254.63792757410039</v>
      </c>
      <c r="AB142" s="6">
        <v>299.54456999999985</v>
      </c>
    </row>
    <row r="143" spans="2:28">
      <c r="B143" s="5">
        <v>40694</v>
      </c>
      <c r="C143" s="92">
        <f t="shared" si="20"/>
        <v>0.28717249271417167</v>
      </c>
      <c r="D143" s="93">
        <f t="shared" si="21"/>
        <v>0.28717249271417167</v>
      </c>
      <c r="E143" s="6">
        <v>0.38521022336839295</v>
      </c>
      <c r="F143" s="6">
        <v>0.44611320338099336</v>
      </c>
      <c r="G143" s="6">
        <v>0.28717249271417167</v>
      </c>
      <c r="H143" s="6">
        <v>1.0931113866193831</v>
      </c>
      <c r="I143" s="6">
        <v>0.8077316468698692</v>
      </c>
      <c r="J143" s="6">
        <v>0.89611086579677313</v>
      </c>
      <c r="K143" s="6">
        <v>0.97094550619016839</v>
      </c>
      <c r="L143" s="6">
        <v>0.48978673037403109</v>
      </c>
      <c r="M143" s="6">
        <v>1.4670410390584143</v>
      </c>
      <c r="N143" s="6">
        <v>-1.1987865445199142</v>
      </c>
      <c r="P143" s="121">
        <f t="shared" si="17"/>
        <v>-0.75037655757907717</v>
      </c>
      <c r="Q143" s="92">
        <f t="shared" si="18"/>
        <v>135.30566993884383</v>
      </c>
      <c r="R143" s="93">
        <f t="shared" si="19"/>
        <v>135.30566993884383</v>
      </c>
      <c r="S143" s="6">
        <v>136.92284721927095</v>
      </c>
      <c r="T143" s="6">
        <v>136.14921064872226</v>
      </c>
      <c r="U143" s="6">
        <v>135.30566993884383</v>
      </c>
      <c r="V143" s="6">
        <v>153.93443713538812</v>
      </c>
      <c r="W143" s="6">
        <v>155.30191265010376</v>
      </c>
      <c r="X143" s="6">
        <v>162.37960042972711</v>
      </c>
      <c r="Y143" s="6">
        <v>156.01076965177569</v>
      </c>
      <c r="Z143" s="6">
        <v>236.4648389108653</v>
      </c>
      <c r="AA143" s="6">
        <v>258.37357047262026</v>
      </c>
      <c r="AB143" s="6">
        <v>295.95366999999982</v>
      </c>
    </row>
    <row r="144" spans="2:28">
      <c r="B144" s="7">
        <v>40724</v>
      </c>
      <c r="C144" s="92">
        <f t="shared" si="20"/>
        <v>6.1219966143122306E-2</v>
      </c>
      <c r="D144" s="93">
        <f t="shared" si="21"/>
        <v>6.1219966143122306E-2</v>
      </c>
      <c r="E144" s="6">
        <v>2.6489500438064972E-2</v>
      </c>
      <c r="F144" s="6">
        <v>1.2929435811992462E-2</v>
      </c>
      <c r="G144" s="6">
        <v>6.1219966143122306E-2</v>
      </c>
      <c r="H144" s="6">
        <v>-0.10507465903850655</v>
      </c>
      <c r="I144" s="6">
        <v>-0.52227656749185281</v>
      </c>
      <c r="J144" s="6">
        <v>-0.69354780347870015</v>
      </c>
      <c r="K144" s="6">
        <v>-0.19857358659822744</v>
      </c>
      <c r="L144" s="6">
        <v>-1.0040646734712277</v>
      </c>
      <c r="M144" s="6">
        <v>1.119918583504953</v>
      </c>
      <c r="N144" s="6">
        <v>0.45946380729118275</v>
      </c>
      <c r="P144" s="121">
        <f t="shared" si="17"/>
        <v>-0.66821854032589356</v>
      </c>
      <c r="Q144" s="92">
        <f t="shared" si="18"/>
        <v>135.38850402417012</v>
      </c>
      <c r="R144" s="93">
        <f t="shared" si="19"/>
        <v>135.38850402417012</v>
      </c>
      <c r="S144" s="6">
        <v>136.9591173974849</v>
      </c>
      <c r="T144" s="6">
        <v>136.16681397352161</v>
      </c>
      <c r="U144" s="6">
        <v>135.38850402417012</v>
      </c>
      <c r="V144" s="6">
        <v>153.77269105042527</v>
      </c>
      <c r="W144" s="6">
        <v>154.49080715146559</v>
      </c>
      <c r="X144" s="6">
        <v>161.25342027764924</v>
      </c>
      <c r="Y144" s="6">
        <v>155.70097347099866</v>
      </c>
      <c r="Z144" s="6">
        <v>234.09057899818066</v>
      </c>
      <c r="AA144" s="6">
        <v>261.26714410320841</v>
      </c>
      <c r="AB144" s="6">
        <v>297.31346999999982</v>
      </c>
    </row>
    <row r="145" spans="1:28">
      <c r="B145" s="7">
        <v>40755</v>
      </c>
      <c r="C145" s="92">
        <f t="shared" si="20"/>
        <v>0.1308081898686364</v>
      </c>
      <c r="D145" s="93">
        <f t="shared" si="21"/>
        <v>0.1308081898686364</v>
      </c>
      <c r="E145" s="6">
        <v>0.32631982590347608</v>
      </c>
      <c r="F145" s="6">
        <v>-0.36243752686648811</v>
      </c>
      <c r="G145" s="6">
        <v>0.1308081898686364</v>
      </c>
      <c r="H145" s="6">
        <v>0.94755694810300106</v>
      </c>
      <c r="I145" s="6">
        <v>1.0897084035509597</v>
      </c>
      <c r="J145" s="6">
        <v>1.8538611481912159</v>
      </c>
      <c r="K145" s="6">
        <v>1.123916461079455</v>
      </c>
      <c r="L145" s="6">
        <v>1.2332296821851552</v>
      </c>
      <c r="M145" s="6">
        <v>1.9466855983034437</v>
      </c>
      <c r="N145" s="6">
        <v>1.3670218170740878</v>
      </c>
      <c r="P145" s="121">
        <f t="shared" si="17"/>
        <v>-0.58332192249760373</v>
      </c>
      <c r="Q145" s="92">
        <f t="shared" si="18"/>
        <v>135.56560327557435</v>
      </c>
      <c r="R145" s="93">
        <f t="shared" si="19"/>
        <v>135.56560327557435</v>
      </c>
      <c r="S145" s="6">
        <v>137.40604215093532</v>
      </c>
      <c r="T145" s="6">
        <v>135.67329434054309</v>
      </c>
      <c r="U145" s="6">
        <v>135.56560327557435</v>
      </c>
      <c r="V145" s="6">
        <v>155.22977486875854</v>
      </c>
      <c r="W145" s="6">
        <v>156.17430645970882</v>
      </c>
      <c r="X145" s="6">
        <v>164.24283478630608</v>
      </c>
      <c r="Y145" s="6">
        <v>157.45092234190017</v>
      </c>
      <c r="Z145" s="6">
        <v>236.9774535015853</v>
      </c>
      <c r="AA145" s="6">
        <v>266.35319397056429</v>
      </c>
      <c r="AB145" s="6">
        <v>301.37780999999984</v>
      </c>
    </row>
    <row r="146" spans="1:28">
      <c r="B146" s="5">
        <v>40786</v>
      </c>
      <c r="C146" s="92">
        <f t="shared" si="20"/>
        <v>0.54794470916792459</v>
      </c>
      <c r="D146" s="93">
        <f t="shared" si="21"/>
        <v>0.54794470916792459</v>
      </c>
      <c r="E146" s="6">
        <v>0.37581472573180452</v>
      </c>
      <c r="F146" s="6">
        <v>1.2310775434184684</v>
      </c>
      <c r="G146" s="6">
        <v>0.54794470916792459</v>
      </c>
      <c r="H146" s="6">
        <v>1.9116462090589259</v>
      </c>
      <c r="I146" s="6">
        <v>-1.3624001178641598</v>
      </c>
      <c r="J146" s="6">
        <v>-0.60174020246219762</v>
      </c>
      <c r="K146" s="6">
        <v>1.2204539199673459</v>
      </c>
      <c r="L146" s="6">
        <v>-4.0111762054979572</v>
      </c>
      <c r="M146" s="6">
        <v>0.53285572851691221</v>
      </c>
      <c r="N146" s="6">
        <v>4.5540844563163319E-2</v>
      </c>
      <c r="P146" s="121">
        <f t="shared" si="17"/>
        <v>-0.49842530466931401</v>
      </c>
      <c r="Q146" s="92">
        <f t="shared" si="18"/>
        <v>136.30842782617444</v>
      </c>
      <c r="R146" s="93">
        <f t="shared" si="19"/>
        <v>136.30842782617444</v>
      </c>
      <c r="S146" s="6">
        <v>137.92243429138378</v>
      </c>
      <c r="T146" s="6">
        <v>137.34353779958556</v>
      </c>
      <c r="U146" s="6">
        <v>136.30842782617444</v>
      </c>
      <c r="V146" s="6">
        <v>158.19721897536786</v>
      </c>
      <c r="W146" s="6">
        <v>154.04658752442822</v>
      </c>
      <c r="X146" s="6">
        <v>163.25451961973332</v>
      </c>
      <c r="Y146" s="6">
        <v>159.37253829564662</v>
      </c>
      <c r="Z146" s="6">
        <v>227.47187027433472</v>
      </c>
      <c r="AA146" s="6">
        <v>267.77247222272422</v>
      </c>
      <c r="AB146" s="6">
        <v>301.51505999999978</v>
      </c>
    </row>
    <row r="147" spans="1:28">
      <c r="B147" s="7">
        <v>40816</v>
      </c>
      <c r="C147" s="92">
        <f t="shared" si="20"/>
        <v>-2.3874877064522515E-2</v>
      </c>
      <c r="D147" s="93">
        <f t="shared" si="21"/>
        <v>-2.3874877064522515E-2</v>
      </c>
      <c r="E147" s="6">
        <v>-0.14819376630359482</v>
      </c>
      <c r="F147" s="6">
        <v>-0.45189803491048064</v>
      </c>
      <c r="G147" s="6">
        <v>-2.3874877064522515E-2</v>
      </c>
      <c r="H147" s="6">
        <v>1.1541549028409648</v>
      </c>
      <c r="I147" s="6">
        <v>-1.1427938661273562</v>
      </c>
      <c r="J147" s="6">
        <v>-0.37160493454067023</v>
      </c>
      <c r="K147" s="6">
        <v>0.59713950574500352</v>
      </c>
      <c r="L147" s="6">
        <v>-3.6030182272985045</v>
      </c>
      <c r="M147" s="6">
        <v>-4.2005390115171455</v>
      </c>
      <c r="N147" s="6">
        <v>-9.8253997661012615</v>
      </c>
      <c r="P147" s="121">
        <f t="shared" si="17"/>
        <v>-0.41626728741613039</v>
      </c>
      <c r="Q147" s="92">
        <f t="shared" si="18"/>
        <v>136.27588435660235</v>
      </c>
      <c r="R147" s="93">
        <f t="shared" si="19"/>
        <v>136.27588435660235</v>
      </c>
      <c r="S147" s="6">
        <v>137.71804184142977</v>
      </c>
      <c r="T147" s="6">
        <v>136.72288505119269</v>
      </c>
      <c r="U147" s="6">
        <v>136.27588435660235</v>
      </c>
      <c r="V147" s="6">
        <v>160.02305993433012</v>
      </c>
      <c r="W147" s="6">
        <v>152.28615257122055</v>
      </c>
      <c r="X147" s="6">
        <v>162.64785776896571</v>
      </c>
      <c r="Y147" s="6">
        <v>160.3242146831185</v>
      </c>
      <c r="Z147" s="6">
        <v>219.27601732637362</v>
      </c>
      <c r="AA147" s="6">
        <v>256.52458506490478</v>
      </c>
      <c r="AB147" s="6">
        <v>271.8899999999997</v>
      </c>
    </row>
    <row r="148" spans="1:28">
      <c r="B148" s="7">
        <v>40847</v>
      </c>
      <c r="C148" s="92">
        <f t="shared" si="20"/>
        <v>-8.7114413200473084E-2</v>
      </c>
      <c r="D148" s="93">
        <f t="shared" si="21"/>
        <v>-8.7114413200473084E-2</v>
      </c>
      <c r="E148" s="6">
        <v>7.8329456031256406E-2</v>
      </c>
      <c r="F148" s="6">
        <v>-0.78764232488480745</v>
      </c>
      <c r="G148" s="6">
        <v>-8.7114413200473084E-2</v>
      </c>
      <c r="H148" s="6">
        <v>-0.81137060832768837</v>
      </c>
      <c r="I148" s="6">
        <v>1.9503765045382426</v>
      </c>
      <c r="J148" s="6">
        <v>1.7722520652610374</v>
      </c>
      <c r="K148" s="6">
        <v>-9.8198941328442313E-2</v>
      </c>
      <c r="L148" s="6">
        <v>5.9577800635870704</v>
      </c>
      <c r="M148" s="6">
        <v>4.5090170496232096</v>
      </c>
      <c r="N148" s="6">
        <v>5.5776784729118623</v>
      </c>
      <c r="P148" s="121">
        <f t="shared" si="17"/>
        <v>-0.33137066958784062</v>
      </c>
      <c r="Q148" s="92">
        <f t="shared" si="18"/>
        <v>136.15716841961134</v>
      </c>
      <c r="R148" s="93">
        <f t="shared" si="19"/>
        <v>136.15716841961134</v>
      </c>
      <c r="S148" s="6">
        <v>137.82591563446107</v>
      </c>
      <c r="T148" s="6">
        <v>135.6459977407259</v>
      </c>
      <c r="U148" s="6">
        <v>136.15716841961134</v>
      </c>
      <c r="V148" s="6">
        <v>158.72467985947637</v>
      </c>
      <c r="W148" s="6">
        <v>155.25630591063489</v>
      </c>
      <c r="X148" s="6">
        <v>165.53038778737903</v>
      </c>
      <c r="Y148" s="6">
        <v>160.16677800160653</v>
      </c>
      <c r="Z148" s="6">
        <v>232.34000017087203</v>
      </c>
      <c r="AA148" s="6">
        <v>268.09132234195653</v>
      </c>
      <c r="AB148" s="6">
        <v>287.05514999999974</v>
      </c>
    </row>
    <row r="149" spans="1:28">
      <c r="B149" s="5">
        <v>40877</v>
      </c>
      <c r="C149" s="92">
        <f t="shared" si="20"/>
        <v>-0.11236278994184445</v>
      </c>
      <c r="D149" s="93">
        <f t="shared" si="21"/>
        <v>-0.11236278994184445</v>
      </c>
      <c r="E149" s="6">
        <v>5.2910915380088852E-2</v>
      </c>
      <c r="F149" s="6">
        <v>-1.3601444124450857</v>
      </c>
      <c r="G149" s="6">
        <v>-0.11236278994184445</v>
      </c>
      <c r="H149" s="6">
        <v>-7.7340511231327458E-2</v>
      </c>
      <c r="I149" s="6">
        <v>-2.9729144021554021</v>
      </c>
      <c r="J149" s="6">
        <v>-2.0469678526377932</v>
      </c>
      <c r="K149" s="6">
        <v>-0.54269209431601073</v>
      </c>
      <c r="L149" s="6">
        <v>-2.2118280400225121</v>
      </c>
      <c r="M149" s="6">
        <v>-0.58526471932519586</v>
      </c>
      <c r="N149" s="6">
        <v>-3.4120168197644296</v>
      </c>
      <c r="P149" s="121">
        <f t="shared" si="17"/>
        <v>-0.249212652334657</v>
      </c>
      <c r="Q149" s="92">
        <f t="shared" si="18"/>
        <v>136.00417842646925</v>
      </c>
      <c r="R149" s="93">
        <f t="shared" si="19"/>
        <v>136.00417842646925</v>
      </c>
      <c r="S149" s="6">
        <v>137.89884058805424</v>
      </c>
      <c r="T149" s="6">
        <v>133.80101628175004</v>
      </c>
      <c r="U149" s="6">
        <v>136.00417842646925</v>
      </c>
      <c r="V149" s="6">
        <v>158.60192138062277</v>
      </c>
      <c r="W149" s="6">
        <v>150.64066883196318</v>
      </c>
      <c r="X149" s="6">
        <v>162.14203396302472</v>
      </c>
      <c r="Y149" s="6">
        <v>159.29756555967114</v>
      </c>
      <c r="Z149" s="6">
        <v>227.20103889890433</v>
      </c>
      <c r="AA149" s="6">
        <v>266.52227841671669</v>
      </c>
      <c r="AB149" s="6">
        <v>277.26077999999973</v>
      </c>
    </row>
    <row r="150" spans="1:28">
      <c r="B150" s="7">
        <v>40908</v>
      </c>
      <c r="C150" s="92">
        <f t="shared" si="20"/>
        <v>0.54776336823376681</v>
      </c>
      <c r="D150" s="93">
        <f t="shared" si="21"/>
        <v>0.54776336823376681</v>
      </c>
      <c r="E150" s="6">
        <v>6.0098385840312574E-2</v>
      </c>
      <c r="F150" s="6">
        <v>2.1330840501410764</v>
      </c>
      <c r="G150" s="6">
        <v>0.54776336823376681</v>
      </c>
      <c r="H150" s="6">
        <v>1.7374353634151962</v>
      </c>
      <c r="I150" s="6">
        <v>2.5376824133476417</v>
      </c>
      <c r="J150" s="6">
        <v>2.0486683147977525</v>
      </c>
      <c r="K150" s="6">
        <v>1.5209839868516983</v>
      </c>
      <c r="L150" s="6">
        <v>2.4814614262292478</v>
      </c>
      <c r="M150" s="6">
        <v>1.1793922902960441</v>
      </c>
      <c r="N150" s="6">
        <v>-1.4705974642356701</v>
      </c>
      <c r="P150" s="121">
        <f t="shared" si="17"/>
        <v>-0.16431603450636725</v>
      </c>
      <c r="Q150" s="92">
        <f t="shared" si="18"/>
        <v>136.74915949515673</v>
      </c>
      <c r="R150" s="93">
        <f t="shared" si="19"/>
        <v>136.74915949515673</v>
      </c>
      <c r="S150" s="6">
        <v>137.98171556534018</v>
      </c>
      <c r="T150" s="6">
        <v>136.65510441898272</v>
      </c>
      <c r="U150" s="6">
        <v>136.74915949515673</v>
      </c>
      <c r="V150" s="6">
        <v>161.35752724974569</v>
      </c>
      <c r="W150" s="6">
        <v>154.46345059226118</v>
      </c>
      <c r="X150" s="6">
        <v>165.4637864377938</v>
      </c>
      <c r="Y150" s="6">
        <v>161.72045602327833</v>
      </c>
      <c r="Z150" s="6">
        <v>232.83894503917276</v>
      </c>
      <c r="AA150" s="6">
        <v>269.66562162028481</v>
      </c>
      <c r="AB150" s="6">
        <v>273.18338999999969</v>
      </c>
    </row>
    <row r="151" spans="1:28">
      <c r="B151" s="7">
        <v>40939</v>
      </c>
      <c r="C151" s="92">
        <f t="shared" si="20"/>
        <v>0.2687081237031208</v>
      </c>
      <c r="D151" s="93">
        <f t="shared" si="21"/>
        <v>0.2687081237031208</v>
      </c>
      <c r="E151" s="6">
        <v>0.12086694025494893</v>
      </c>
      <c r="F151" s="6">
        <v>0.67569176066129</v>
      </c>
      <c r="G151" s="6">
        <v>0.2687081237031208</v>
      </c>
      <c r="H151" s="6">
        <v>0.62347650410699007</v>
      </c>
      <c r="I151" s="6">
        <v>2.9803941957191826</v>
      </c>
      <c r="J151" s="6">
        <v>2.3012331053268387</v>
      </c>
      <c r="K151" s="6">
        <v>0.98811549581676594</v>
      </c>
      <c r="L151" s="6">
        <v>2.9016882483093642</v>
      </c>
      <c r="M151" s="6">
        <v>1.7618982758475177</v>
      </c>
      <c r="N151" s="6">
        <v>7.4153117435141302</v>
      </c>
      <c r="P151" s="121">
        <f t="shared" si="17"/>
        <v>-7.9419416678077503E-2</v>
      </c>
      <c r="Q151" s="92">
        <f t="shared" si="18"/>
        <v>137.11661559581594</v>
      </c>
      <c r="R151" s="93">
        <f t="shared" si="19"/>
        <v>137.11661559581594</v>
      </c>
      <c r="S151" s="6">
        <v>138.1484898430553</v>
      </c>
      <c r="T151" s="6">
        <v>137.57847170006485</v>
      </c>
      <c r="U151" s="6">
        <v>137.11661559581594</v>
      </c>
      <c r="V151" s="6">
        <v>162.3635535197559</v>
      </c>
      <c r="W151" s="6">
        <v>159.06707030822051</v>
      </c>
      <c r="X151" s="6">
        <v>169.2714938686276</v>
      </c>
      <c r="Y151" s="6">
        <v>163.31844090914987</v>
      </c>
      <c r="Z151" s="6">
        <v>239.59520534486194</v>
      </c>
      <c r="AA151" s="6">
        <v>274.41685555816611</v>
      </c>
      <c r="AB151" s="6">
        <v>293.44078999999965</v>
      </c>
    </row>
    <row r="152" spans="1:28">
      <c r="B152" s="8">
        <v>40968</v>
      </c>
      <c r="C152" s="92">
        <f t="shared" si="20"/>
        <v>0.13878085866874112</v>
      </c>
      <c r="D152" s="93">
        <f t="shared" si="21"/>
        <v>0.13878085866874112</v>
      </c>
      <c r="E152" s="6">
        <v>-0.15455555190490022</v>
      </c>
      <c r="F152" s="6">
        <v>0.91076527710336475</v>
      </c>
      <c r="G152" s="6">
        <v>0.13878085866874112</v>
      </c>
      <c r="H152" s="6">
        <v>0.11726449469133815</v>
      </c>
      <c r="I152" s="6">
        <v>1.8556889807904264</v>
      </c>
      <c r="J152" s="6">
        <v>1.1042876823620817</v>
      </c>
      <c r="K152" s="6">
        <v>0.3615125256352103</v>
      </c>
      <c r="L152" s="6">
        <v>2.2814230545680214</v>
      </c>
      <c r="M152" s="6">
        <v>2.9504648767295416</v>
      </c>
      <c r="N152" s="6">
        <v>2.8632999522663516</v>
      </c>
      <c r="P152" s="121">
        <f t="shared" si="17"/>
        <v>0</v>
      </c>
      <c r="Q152" s="100">
        <f t="shared" si="18"/>
        <v>137.30690721231733</v>
      </c>
      <c r="R152" s="103">
        <f t="shared" si="19"/>
        <v>137.30690721231733</v>
      </c>
      <c r="S152" s="99">
        <v>137.93497368213008</v>
      </c>
      <c r="T152" s="99">
        <v>138.83148864907852</v>
      </c>
      <c r="U152" s="99">
        <v>137.30690721231733</v>
      </c>
      <c r="V152" s="99">
        <v>162.55394832035373</v>
      </c>
      <c r="W152" s="99">
        <v>162.01886040399631</v>
      </c>
      <c r="X152" s="99">
        <v>171.14073812516915</v>
      </c>
      <c r="Y152" s="99">
        <v>163.9088575297086</v>
      </c>
      <c r="Z152" s="99">
        <v>245.06138559723922</v>
      </c>
      <c r="AA152" s="99">
        <v>282.51342849723545</v>
      </c>
      <c r="AB152" s="99">
        <v>301.84287999999964</v>
      </c>
    </row>
    <row r="153" spans="1:28">
      <c r="A153" s="72" t="s">
        <v>66</v>
      </c>
      <c r="B153" s="9">
        <v>40999</v>
      </c>
      <c r="C153" s="10">
        <f t="shared" si="20"/>
        <v>-2.7438781681476954E-2</v>
      </c>
      <c r="D153" s="94">
        <f t="shared" si="21"/>
        <v>-2.7438781681476954E-2</v>
      </c>
      <c r="E153" s="11">
        <v>-1.5985110807092973E-2</v>
      </c>
      <c r="F153" s="11">
        <v>-9.475425797794701E-2</v>
      </c>
      <c r="G153" s="11">
        <v>-2.7438781681476954E-2</v>
      </c>
      <c r="H153" s="11">
        <v>-0.17407076807847144</v>
      </c>
      <c r="I153" s="11">
        <v>0.23275731196561456</v>
      </c>
      <c r="J153" s="11">
        <v>0.10298171142872903</v>
      </c>
      <c r="K153" s="11">
        <v>-2.3002997292731475E-2</v>
      </c>
      <c r="L153" s="11">
        <v>0.37184545587234386</v>
      </c>
      <c r="M153" s="11">
        <v>0.46855532004168587</v>
      </c>
      <c r="N153" s="12">
        <v>0.84669126138332551</v>
      </c>
      <c r="P153" s="121">
        <f t="shared" si="17"/>
        <v>8.489661782828975E-2</v>
      </c>
      <c r="Q153" s="101">
        <f t="shared" si="18"/>
        <v>137.26923186981375</v>
      </c>
      <c r="R153" s="95">
        <f t="shared" si="19"/>
        <v>137.26923186981375</v>
      </c>
      <c r="S153" s="15">
        <v>137.91292462374525</v>
      </c>
      <c r="T153" s="15">
        <v>138.69993990216935</v>
      </c>
      <c r="U153" s="15">
        <v>137.26923186981375</v>
      </c>
      <c r="V153" s="15">
        <v>162.2709894139706</v>
      </c>
      <c r="W153" s="15">
        <v>162.39597114834999</v>
      </c>
      <c r="X153" s="15">
        <v>171.3169817862422</v>
      </c>
      <c r="Y153" s="15">
        <v>163.87115357964848</v>
      </c>
      <c r="Z153" s="15">
        <v>245.97263522368036</v>
      </c>
      <c r="AA153" s="15">
        <v>283.83716019629139</v>
      </c>
      <c r="AB153" s="15">
        <v>304.39855728806737</v>
      </c>
    </row>
    <row r="154" spans="1:28">
      <c r="A154" s="72" t="s">
        <v>67</v>
      </c>
      <c r="B154" s="13">
        <v>41029</v>
      </c>
      <c r="C154" s="14">
        <f t="shared" si="20"/>
        <v>-2.7438781681476954E-2</v>
      </c>
      <c r="D154" s="95">
        <f t="shared" si="21"/>
        <v>-2.7438781681476954E-2</v>
      </c>
      <c r="E154" s="15">
        <v>-1.5985110807092973E-2</v>
      </c>
      <c r="F154" s="15">
        <v>-9.475425797794701E-2</v>
      </c>
      <c r="G154" s="15">
        <v>-2.7438781681476954E-2</v>
      </c>
      <c r="H154" s="15">
        <v>-0.17407076807847144</v>
      </c>
      <c r="I154" s="15">
        <v>0.23275731196561456</v>
      </c>
      <c r="J154" s="15">
        <v>0.10298171142872903</v>
      </c>
      <c r="K154" s="15">
        <v>-2.3002997292731475E-2</v>
      </c>
      <c r="L154" s="15">
        <v>0.37184545587234386</v>
      </c>
      <c r="M154" s="15">
        <v>0.46855532004168587</v>
      </c>
      <c r="N154" s="16">
        <v>0.84669126138332551</v>
      </c>
      <c r="P154" s="121">
        <f t="shared" si="17"/>
        <v>0.16705463508147339</v>
      </c>
      <c r="Q154" s="101">
        <f t="shared" si="18"/>
        <v>137.23156686496515</v>
      </c>
      <c r="R154" s="95">
        <f t="shared" si="19"/>
        <v>137.23156686496515</v>
      </c>
      <c r="S154" s="15">
        <v>137.89087908992684</v>
      </c>
      <c r="T154" s="15">
        <v>138.56851580329919</v>
      </c>
      <c r="U154" s="15">
        <v>137.23156686496515</v>
      </c>
      <c r="V154" s="15">
        <v>161.98852305632917</v>
      </c>
      <c r="W154" s="15">
        <v>162.77395964553534</v>
      </c>
      <c r="X154" s="15">
        <v>171.49340694605371</v>
      </c>
      <c r="Y154" s="15">
        <v>163.83345830262698</v>
      </c>
      <c r="Z154" s="15">
        <v>246.88727329044906</v>
      </c>
      <c r="AA154" s="15">
        <v>285.16709431064635</v>
      </c>
      <c r="AB154" s="16">
        <v>306.97587327240234</v>
      </c>
    </row>
    <row r="155" spans="1:28">
      <c r="B155" s="9">
        <v>41060</v>
      </c>
      <c r="C155" s="14">
        <f t="shared" si="20"/>
        <v>-2.7438781681476954E-2</v>
      </c>
      <c r="D155" s="95">
        <f t="shared" si="21"/>
        <v>-2.7438781681476954E-2</v>
      </c>
      <c r="E155" s="15">
        <v>-1.5985110807092973E-2</v>
      </c>
      <c r="F155" s="15">
        <v>-9.475425797794701E-2</v>
      </c>
      <c r="G155" s="15">
        <v>-2.7438781681476954E-2</v>
      </c>
      <c r="H155" s="15">
        <v>-0.17407076807847144</v>
      </c>
      <c r="I155" s="15">
        <v>0.23275731196561456</v>
      </c>
      <c r="J155" s="15">
        <v>0.10298171142872903</v>
      </c>
      <c r="K155" s="15">
        <v>-2.3002997292731475E-2</v>
      </c>
      <c r="L155" s="15">
        <v>0.37184545587234386</v>
      </c>
      <c r="M155" s="15">
        <v>0.46855532004168587</v>
      </c>
      <c r="N155" s="16">
        <v>0.84669126138332551</v>
      </c>
      <c r="P155" s="121">
        <f t="shared" si="17"/>
        <v>0.25195125290976311</v>
      </c>
      <c r="Q155" s="101">
        <f t="shared" si="18"/>
        <v>137.193912194935</v>
      </c>
      <c r="R155" s="95">
        <f t="shared" si="19"/>
        <v>137.193912194935</v>
      </c>
      <c r="S155" s="15">
        <v>137.86883708011143</v>
      </c>
      <c r="T155" s="15">
        <v>138.43721623435871</v>
      </c>
      <c r="U155" s="15">
        <v>137.193912194935</v>
      </c>
      <c r="V155" s="15">
        <v>161.70654839004604</v>
      </c>
      <c r="W155" s="15">
        <v>163.15282793858628</v>
      </c>
      <c r="X155" s="15">
        <v>171.67001379151418</v>
      </c>
      <c r="Y155" s="15">
        <v>163.79577169664904</v>
      </c>
      <c r="Z155" s="15">
        <v>247.80531239730672</v>
      </c>
      <c r="AA155" s="15">
        <v>286.50325990204715</v>
      </c>
      <c r="AB155" s="16">
        <v>309.57501116595495</v>
      </c>
    </row>
    <row r="156" spans="1:28">
      <c r="B156" s="9">
        <v>41090</v>
      </c>
      <c r="C156" s="14">
        <f t="shared" si="20"/>
        <v>-2.7438781681476954E-2</v>
      </c>
      <c r="D156" s="95">
        <f t="shared" si="21"/>
        <v>-2.7438781681476954E-2</v>
      </c>
      <c r="E156" s="15">
        <v>-1.5985110807092973E-2</v>
      </c>
      <c r="F156" s="15">
        <v>-9.475425797794701E-2</v>
      </c>
      <c r="G156" s="15">
        <v>-2.7438781681476954E-2</v>
      </c>
      <c r="H156" s="15">
        <v>-0.17407076807847144</v>
      </c>
      <c r="I156" s="15">
        <v>0.23275731196561456</v>
      </c>
      <c r="J156" s="15">
        <v>0.10298171142872903</v>
      </c>
      <c r="K156" s="15">
        <v>-2.3002997292731475E-2</v>
      </c>
      <c r="L156" s="15">
        <v>0.37184545587234386</v>
      </c>
      <c r="M156" s="15">
        <v>0.46855532004168587</v>
      </c>
      <c r="N156" s="16">
        <v>0.84669126138332551</v>
      </c>
      <c r="P156" s="121">
        <f t="shared" si="17"/>
        <v>0.33410927016294678</v>
      </c>
      <c r="Q156" s="101">
        <f t="shared" si="18"/>
        <v>137.15626785688755</v>
      </c>
      <c r="R156" s="95">
        <f t="shared" si="19"/>
        <v>137.15626785688755</v>
      </c>
      <c r="S156" s="15">
        <v>137.84679859373571</v>
      </c>
      <c r="T156" s="15">
        <v>138.30604107735053</v>
      </c>
      <c r="U156" s="15">
        <v>137.15626785688755</v>
      </c>
      <c r="V156" s="15">
        <v>161.42506455923029</v>
      </c>
      <c r="W156" s="15">
        <v>163.53257807529201</v>
      </c>
      <c r="X156" s="15">
        <v>171.84680250972661</v>
      </c>
      <c r="Y156" s="15">
        <v>163.75809375972005</v>
      </c>
      <c r="Z156" s="15">
        <v>248.72676519086636</v>
      </c>
      <c r="AA156" s="15">
        <v>287.84568616841102</v>
      </c>
      <c r="AB156" s="16">
        <v>312.19615573292356</v>
      </c>
    </row>
    <row r="157" spans="1:28">
      <c r="B157" s="13">
        <v>41121</v>
      </c>
      <c r="C157" s="14">
        <f t="shared" si="20"/>
        <v>-2.7438781681476954E-2</v>
      </c>
      <c r="D157" s="95">
        <f t="shared" si="21"/>
        <v>-2.7438781681476954E-2</v>
      </c>
      <c r="E157" s="15">
        <v>-1.5985110807092973E-2</v>
      </c>
      <c r="F157" s="15">
        <v>-9.475425797794701E-2</v>
      </c>
      <c r="G157" s="15">
        <v>-2.7438781681476954E-2</v>
      </c>
      <c r="H157" s="15">
        <v>-0.17407076807847144</v>
      </c>
      <c r="I157" s="15">
        <v>0.23275731196561456</v>
      </c>
      <c r="J157" s="15">
        <v>0.10298171142872903</v>
      </c>
      <c r="K157" s="15">
        <v>-2.3002997292731475E-2</v>
      </c>
      <c r="L157" s="15">
        <v>0.37184545587234386</v>
      </c>
      <c r="M157" s="15">
        <v>0.46855532004168587</v>
      </c>
      <c r="N157" s="16">
        <v>0.84669126138332551</v>
      </c>
      <c r="P157" s="121">
        <f t="shared" si="17"/>
        <v>0.4190058879912365</v>
      </c>
      <c r="Q157" s="101">
        <f t="shared" si="18"/>
        <v>137.11863384798784</v>
      </c>
      <c r="R157" s="95">
        <f t="shared" si="19"/>
        <v>137.11863384798784</v>
      </c>
      <c r="S157" s="15">
        <v>137.82476363023648</v>
      </c>
      <c r="T157" s="15">
        <v>138.174990214389</v>
      </c>
      <c r="U157" s="15">
        <v>137.11863384798784</v>
      </c>
      <c r="V157" s="15">
        <v>161.14407070948087</v>
      </c>
      <c r="W157" s="15">
        <v>163.91321210820811</v>
      </c>
      <c r="X157" s="15">
        <v>172.02377328798667</v>
      </c>
      <c r="Y157" s="15">
        <v>163.72042448984587</v>
      </c>
      <c r="Z157" s="15">
        <v>249.65164436476687</v>
      </c>
      <c r="AA157" s="15">
        <v>289.19440244446361</v>
      </c>
      <c r="AB157" s="16">
        <v>314.83949330188892</v>
      </c>
    </row>
    <row r="158" spans="1:28">
      <c r="B158" s="13">
        <v>41152</v>
      </c>
      <c r="C158" s="14">
        <f t="shared" si="20"/>
        <v>-2.7438781681476954E-2</v>
      </c>
      <c r="D158" s="95">
        <f t="shared" si="21"/>
        <v>-2.7438781681476954E-2</v>
      </c>
      <c r="E158" s="15">
        <v>-1.5985110807092973E-2</v>
      </c>
      <c r="F158" s="15">
        <v>-9.475425797794701E-2</v>
      </c>
      <c r="G158" s="15">
        <v>-2.7438781681476954E-2</v>
      </c>
      <c r="H158" s="15">
        <v>-0.17407076807847144</v>
      </c>
      <c r="I158" s="15">
        <v>0.23275731196561456</v>
      </c>
      <c r="J158" s="15">
        <v>0.10298171142872903</v>
      </c>
      <c r="K158" s="15">
        <v>-2.3002997292731475E-2</v>
      </c>
      <c r="L158" s="15">
        <v>0.37184545587234386</v>
      </c>
      <c r="M158" s="15">
        <v>0.46855532004168587</v>
      </c>
      <c r="N158" s="16">
        <v>0.84669126138332551</v>
      </c>
      <c r="P158" s="121">
        <f t="shared" si="17"/>
        <v>0.50390250581952623</v>
      </c>
      <c r="Q158" s="101">
        <f t="shared" si="18"/>
        <v>137.08101016540166</v>
      </c>
      <c r="R158" s="95">
        <f t="shared" si="19"/>
        <v>137.08101016540166</v>
      </c>
      <c r="S158" s="15">
        <v>137.80273218905057</v>
      </c>
      <c r="T158" s="15">
        <v>138.04406352770025</v>
      </c>
      <c r="U158" s="15">
        <v>137.08101016540166</v>
      </c>
      <c r="V158" s="15">
        <v>160.86356598788396</v>
      </c>
      <c r="W158" s="15">
        <v>164.29473209466767</v>
      </c>
      <c r="X158" s="15">
        <v>172.20092631378293</v>
      </c>
      <c r="Y158" s="15">
        <v>163.68276388503281</v>
      </c>
      <c r="Z158" s="15">
        <v>250.57996265984784</v>
      </c>
      <c r="AA158" s="15">
        <v>290.54943820237992</v>
      </c>
      <c r="AB158" s="16">
        <v>317.50521177905955</v>
      </c>
    </row>
    <row r="159" spans="1:28">
      <c r="B159" s="13">
        <v>41182</v>
      </c>
      <c r="C159" s="14">
        <f t="shared" si="20"/>
        <v>-2.7438781681476954E-2</v>
      </c>
      <c r="D159" s="95">
        <f t="shared" si="21"/>
        <v>-2.7438781681476954E-2</v>
      </c>
      <c r="E159" s="15">
        <v>-1.5985110807092973E-2</v>
      </c>
      <c r="F159" s="15">
        <v>-9.475425797794701E-2</v>
      </c>
      <c r="G159" s="15">
        <v>-2.7438781681476954E-2</v>
      </c>
      <c r="H159" s="15">
        <v>-0.17407076807847144</v>
      </c>
      <c r="I159" s="15">
        <v>0.23275731196561456</v>
      </c>
      <c r="J159" s="15">
        <v>0.10298171142872903</v>
      </c>
      <c r="K159" s="15">
        <v>-2.3002997292731475E-2</v>
      </c>
      <c r="L159" s="15">
        <v>0.37184545587234386</v>
      </c>
      <c r="M159" s="15">
        <v>0.46855532004168587</v>
      </c>
      <c r="N159" s="16">
        <v>0.84669126138332551</v>
      </c>
      <c r="P159" s="121">
        <f t="shared" si="17"/>
        <v>0.58606052307270984</v>
      </c>
      <c r="Q159" s="101">
        <f t="shared" si="18"/>
        <v>137.04339680629562</v>
      </c>
      <c r="R159" s="95">
        <f t="shared" si="19"/>
        <v>137.04339680629562</v>
      </c>
      <c r="S159" s="15">
        <v>137.78070426961494</v>
      </c>
      <c r="T159" s="15">
        <v>137.91326089962197</v>
      </c>
      <c r="U159" s="15">
        <v>137.04339680629562</v>
      </c>
      <c r="V159" s="15">
        <v>160.58354954301043</v>
      </c>
      <c r="W159" s="15">
        <v>164.67714009679233</v>
      </c>
      <c r="X159" s="15">
        <v>172.37826177479698</v>
      </c>
      <c r="Y159" s="15">
        <v>163.64511194328767</v>
      </c>
      <c r="Z159" s="15">
        <v>251.5117328643251</v>
      </c>
      <c r="AA159" s="15">
        <v>291.91082305242838</v>
      </c>
      <c r="AB159" s="16">
        <v>320.19350066162946</v>
      </c>
    </row>
    <row r="160" spans="1:28">
      <c r="B160" s="9">
        <v>41213</v>
      </c>
      <c r="C160" s="14">
        <f t="shared" si="20"/>
        <v>-2.7438781681476954E-2</v>
      </c>
      <c r="D160" s="95">
        <f t="shared" si="21"/>
        <v>-2.7438781681476954E-2</v>
      </c>
      <c r="E160" s="15">
        <v>-1.5985110807092973E-2</v>
      </c>
      <c r="F160" s="15">
        <v>-9.475425797794701E-2</v>
      </c>
      <c r="G160" s="15">
        <v>-2.7438781681476954E-2</v>
      </c>
      <c r="H160" s="15">
        <v>-0.17407076807847144</v>
      </c>
      <c r="I160" s="15">
        <v>0.23275731196561456</v>
      </c>
      <c r="J160" s="15">
        <v>0.10298171142872903</v>
      </c>
      <c r="K160" s="15">
        <v>-2.3002997292731475E-2</v>
      </c>
      <c r="L160" s="15">
        <v>0.37184545587234386</v>
      </c>
      <c r="M160" s="15">
        <v>0.46855532004168587</v>
      </c>
      <c r="N160" s="16">
        <v>0.84669126138332551</v>
      </c>
      <c r="P160" s="121">
        <f t="shared" si="17"/>
        <v>0.67095714090099967</v>
      </c>
      <c r="Q160" s="101">
        <f t="shared" si="18"/>
        <v>137.00579376783705</v>
      </c>
      <c r="R160" s="95">
        <f t="shared" si="19"/>
        <v>137.00579376783705</v>
      </c>
      <c r="S160" s="15">
        <v>137.75867987136667</v>
      </c>
      <c r="T160" s="15">
        <v>137.78258221260336</v>
      </c>
      <c r="U160" s="15">
        <v>137.00579376783705</v>
      </c>
      <c r="V160" s="15">
        <v>160.30402052491326</v>
      </c>
      <c r="W160" s="15">
        <v>165.06043818150349</v>
      </c>
      <c r="X160" s="15">
        <v>172.55577985890378</v>
      </c>
      <c r="Y160" s="15">
        <v>163.60746866261766</v>
      </c>
      <c r="Z160" s="15">
        <v>252.44696781396686</v>
      </c>
      <c r="AA160" s="15">
        <v>293.27858674361801</v>
      </c>
      <c r="AB160" s="16">
        <v>322.90455105124886</v>
      </c>
    </row>
    <row r="161" spans="2:37">
      <c r="B161" s="13">
        <v>41243</v>
      </c>
      <c r="C161" s="14">
        <f t="shared" si="20"/>
        <v>-2.7438781681476954E-2</v>
      </c>
      <c r="D161" s="95">
        <f t="shared" si="21"/>
        <v>-2.7438781681476954E-2</v>
      </c>
      <c r="E161" s="15">
        <v>-1.5985110807092973E-2</v>
      </c>
      <c r="F161" s="15">
        <v>-9.475425797794701E-2</v>
      </c>
      <c r="G161" s="15">
        <v>-2.7438781681476954E-2</v>
      </c>
      <c r="H161" s="15">
        <v>-0.17407076807847144</v>
      </c>
      <c r="I161" s="15">
        <v>0.23275731196561456</v>
      </c>
      <c r="J161" s="15">
        <v>0.10298171142872903</v>
      </c>
      <c r="K161" s="15">
        <v>-2.3002997292731475E-2</v>
      </c>
      <c r="L161" s="15">
        <v>0.37184545587234386</v>
      </c>
      <c r="M161" s="15">
        <v>0.46855532004168587</v>
      </c>
      <c r="N161" s="16">
        <v>0.84669126138332551</v>
      </c>
      <c r="P161" s="121">
        <f t="shared" ref="P161:P164" si="22">(B161-B$152)/365.15</f>
        <v>0.75311515815418328</v>
      </c>
      <c r="Q161" s="101">
        <f t="shared" si="18"/>
        <v>136.96820104719413</v>
      </c>
      <c r="R161" s="95">
        <f t="shared" si="19"/>
        <v>136.96820104719413</v>
      </c>
      <c r="S161" s="15">
        <v>137.73665899374285</v>
      </c>
      <c r="T161" s="15">
        <v>137.65202734920496</v>
      </c>
      <c r="U161" s="15">
        <v>136.96820104719413</v>
      </c>
      <c r="V161" s="15">
        <v>160.02497808512487</v>
      </c>
      <c r="W161" s="15">
        <v>165.44462842053341</v>
      </c>
      <c r="X161" s="15">
        <v>172.73348075417167</v>
      </c>
      <c r="Y161" s="15">
        <v>163.5698340410305</v>
      </c>
      <c r="Z161" s="15">
        <v>253.38568039227061</v>
      </c>
      <c r="AA161" s="15">
        <v>294.65275916434831</v>
      </c>
      <c r="AB161" s="16">
        <v>325.63855566760884</v>
      </c>
    </row>
    <row r="162" spans="2:37">
      <c r="B162" s="9">
        <v>41274</v>
      </c>
      <c r="C162" s="14">
        <f t="shared" si="20"/>
        <v>-2.7438781681476954E-2</v>
      </c>
      <c r="D162" s="95">
        <f t="shared" si="21"/>
        <v>-2.7438781681476954E-2</v>
      </c>
      <c r="E162" s="15">
        <v>-1.5985110807092973E-2</v>
      </c>
      <c r="F162" s="15">
        <v>-9.475425797794701E-2</v>
      </c>
      <c r="G162" s="15">
        <v>-2.7438781681476954E-2</v>
      </c>
      <c r="H162" s="15">
        <v>-0.17407076807847144</v>
      </c>
      <c r="I162" s="15">
        <v>0.23275731196561456</v>
      </c>
      <c r="J162" s="15">
        <v>0.10298171142872903</v>
      </c>
      <c r="K162" s="15">
        <v>-2.3002997292731475E-2</v>
      </c>
      <c r="L162" s="15">
        <v>0.37184545587234386</v>
      </c>
      <c r="M162" s="15">
        <v>0.46855532004168587</v>
      </c>
      <c r="N162" s="16">
        <v>0.84669126138332551</v>
      </c>
      <c r="P162" s="121">
        <f t="shared" si="22"/>
        <v>0.83801177598247301</v>
      </c>
      <c r="Q162" s="101">
        <f t="shared" ref="Q162:Q164" si="23">Q161*(1+C162/100)</f>
        <v>136.93061864153574</v>
      </c>
      <c r="R162" s="95">
        <f t="shared" si="19"/>
        <v>136.93061864153574</v>
      </c>
      <c r="S162" s="15">
        <v>137.71464163618072</v>
      </c>
      <c r="T162" s="15">
        <v>137.52159619209863</v>
      </c>
      <c r="U162" s="15">
        <v>136.93061864153574</v>
      </c>
      <c r="V162" s="15">
        <v>159.74642137665469</v>
      </c>
      <c r="W162" s="15">
        <v>165.82971289043653</v>
      </c>
      <c r="X162" s="15">
        <v>172.91136464886273</v>
      </c>
      <c r="Y162" s="15">
        <v>163.53220807653432</v>
      </c>
      <c r="Z162" s="15">
        <v>254.32788353064049</v>
      </c>
      <c r="AA162" s="15">
        <v>296.03337034306247</v>
      </c>
      <c r="AB162" s="16">
        <v>328.39570886214136</v>
      </c>
    </row>
    <row r="163" spans="2:37">
      <c r="B163" s="9">
        <v>41305</v>
      </c>
      <c r="C163" s="14">
        <f t="shared" si="20"/>
        <v>-2.7438781681476954E-2</v>
      </c>
      <c r="D163" s="95">
        <f t="shared" si="21"/>
        <v>-2.7438781681476954E-2</v>
      </c>
      <c r="E163" s="15">
        <v>-1.5985110807092973E-2</v>
      </c>
      <c r="F163" s="15">
        <v>-9.475425797794701E-2</v>
      </c>
      <c r="G163" s="15">
        <v>-2.7438781681476954E-2</v>
      </c>
      <c r="H163" s="15">
        <v>-0.17407076807847144</v>
      </c>
      <c r="I163" s="15">
        <v>0.23275731196561456</v>
      </c>
      <c r="J163" s="15">
        <v>0.10298171142872903</v>
      </c>
      <c r="K163" s="15">
        <v>-2.3002997292731475E-2</v>
      </c>
      <c r="L163" s="15">
        <v>0.37184545587234386</v>
      </c>
      <c r="M163" s="15">
        <v>0.46855532004168587</v>
      </c>
      <c r="N163" s="16">
        <v>0.84669126138332551</v>
      </c>
      <c r="P163" s="121">
        <f t="shared" si="22"/>
        <v>0.92290839381076273</v>
      </c>
      <c r="Q163" s="101">
        <f t="shared" si="23"/>
        <v>136.89304654803161</v>
      </c>
      <c r="R163" s="95">
        <f t="shared" si="19"/>
        <v>136.89304654803161</v>
      </c>
      <c r="S163" s="15">
        <v>137.69262779811757</v>
      </c>
      <c r="T163" s="15">
        <v>137.39128862406739</v>
      </c>
      <c r="U163" s="15">
        <v>136.89304654803161</v>
      </c>
      <c r="V163" s="15">
        <v>159.46834955398649</v>
      </c>
      <c r="W163" s="15">
        <v>166.21569367260059</v>
      </c>
      <c r="X163" s="15">
        <v>173.08943173143291</v>
      </c>
      <c r="Y163" s="15">
        <v>163.49459076713774</v>
      </c>
      <c r="Z163" s="15">
        <v>255.27359020856548</v>
      </c>
      <c r="AA163" s="15">
        <v>297.42045044890358</v>
      </c>
      <c r="AB163" s="16">
        <v>331.17620663183493</v>
      </c>
    </row>
    <row r="164" spans="2:37">
      <c r="B164" s="17">
        <v>41333</v>
      </c>
      <c r="C164" s="18">
        <f t="shared" si="20"/>
        <v>-2.7438781681476954E-2</v>
      </c>
      <c r="D164" s="96">
        <f t="shared" si="21"/>
        <v>-2.7438781681476954E-2</v>
      </c>
      <c r="E164" s="19">
        <v>-1.5985110807092973E-2</v>
      </c>
      <c r="F164" s="19">
        <v>-9.475425797794701E-2</v>
      </c>
      <c r="G164" s="19">
        <v>-2.7438781681476954E-2</v>
      </c>
      <c r="H164" s="19">
        <v>-0.17407076807847144</v>
      </c>
      <c r="I164" s="19">
        <v>0.23275731196561456</v>
      </c>
      <c r="J164" s="19">
        <v>0.10298171142872903</v>
      </c>
      <c r="K164" s="19">
        <v>-2.3002997292731475E-2</v>
      </c>
      <c r="L164" s="19">
        <v>0.37184545587234386</v>
      </c>
      <c r="M164" s="19">
        <v>0.46855532004168587</v>
      </c>
      <c r="N164" s="20">
        <v>0.84669126138332551</v>
      </c>
      <c r="P164" s="121">
        <f t="shared" si="22"/>
        <v>0.99958920991373412</v>
      </c>
      <c r="Q164" s="102">
        <f t="shared" si="23"/>
        <v>136.85548476385216</v>
      </c>
      <c r="R164" s="96">
        <f t="shared" si="19"/>
        <v>136.85548476385216</v>
      </c>
      <c r="S164" s="19">
        <v>137.67061747899083</v>
      </c>
      <c r="T164" s="19">
        <v>137.26110452800532</v>
      </c>
      <c r="U164" s="19">
        <v>136.85548476385216</v>
      </c>
      <c r="V164" s="19">
        <v>159.19076177307579</v>
      </c>
      <c r="W164" s="19">
        <v>166.60257285325793</v>
      </c>
      <c r="X164" s="19">
        <v>173.26768219053221</v>
      </c>
      <c r="Y164" s="19">
        <v>163.45698211084982</v>
      </c>
      <c r="Z164" s="19">
        <v>256.22281345379821</v>
      </c>
      <c r="AA164" s="19">
        <v>298.81402979237384</v>
      </c>
      <c r="AB164" s="20">
        <v>333.98024663316744</v>
      </c>
    </row>
    <row r="165" spans="2:37">
      <c r="B165" s="124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</row>
    <row r="166" spans="2:37">
      <c r="B166" s="125" t="s">
        <v>122</v>
      </c>
      <c r="C166" s="67">
        <f>STDEV(C33:C152)</f>
        <v>0.31384712361758699</v>
      </c>
      <c r="D166" s="67">
        <f t="shared" ref="D166:N166" si="24">STDEV(D33:D152)</f>
        <v>0.31384712361758699</v>
      </c>
      <c r="E166" s="67">
        <f t="shared" si="24"/>
        <v>0.47553671048402263</v>
      </c>
      <c r="F166" s="67">
        <f t="shared" si="24"/>
        <v>0.5005410377803865</v>
      </c>
      <c r="G166" s="67">
        <f t="shared" si="24"/>
        <v>0.31384712361758699</v>
      </c>
      <c r="H166" s="67">
        <f t="shared" si="24"/>
        <v>0.90890215853635037</v>
      </c>
      <c r="I166" s="67">
        <f t="shared" si="24"/>
        <v>1.1190902789150923</v>
      </c>
      <c r="J166" s="67">
        <f t="shared" si="24"/>
        <v>1.3628556708505777</v>
      </c>
      <c r="K166" s="67">
        <f t="shared" si="24"/>
        <v>0.81470804503409278</v>
      </c>
      <c r="L166" s="67">
        <f t="shared" si="24"/>
        <v>3.1499997077864754</v>
      </c>
      <c r="M166" s="67">
        <f t="shared" si="24"/>
        <v>2.7560597456036202</v>
      </c>
      <c r="N166" s="67">
        <f t="shared" si="24"/>
        <v>3.3220161300632172</v>
      </c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</row>
    <row r="168" spans="2:37" ht="101">
      <c r="B168" t="s">
        <v>116</v>
      </c>
      <c r="C168" s="2" t="s">
        <v>0</v>
      </c>
      <c r="D168" s="2" t="s">
        <v>1</v>
      </c>
      <c r="E168" s="4" t="str">
        <f>E2</f>
        <v>US Govt 1-3</v>
      </c>
      <c r="F168" s="4" t="str">
        <f t="shared" ref="F168:N168" si="25">F2</f>
        <v>Euro Govt 1-3 Hedged</v>
      </c>
      <c r="G168" s="4" t="str">
        <f t="shared" si="25"/>
        <v>Global Govt 1-3 Hedged</v>
      </c>
      <c r="H168" s="4" t="str">
        <f t="shared" si="25"/>
        <v>Global Govt 1-30 Hedged</v>
      </c>
      <c r="I168" s="4" t="str">
        <f t="shared" si="25"/>
        <v>Euro Corp Hedged</v>
      </c>
      <c r="J168" s="4" t="str">
        <f t="shared" si="25"/>
        <v>Global Corp Hedged</v>
      </c>
      <c r="K168" s="4" t="str">
        <f t="shared" si="25"/>
        <v>Global Agg Hedged</v>
      </c>
      <c r="L168" s="4" t="str">
        <f t="shared" si="25"/>
        <v>US High Yield</v>
      </c>
      <c r="M168" s="4" t="str">
        <f t="shared" si="25"/>
        <v>EM Govt US$</v>
      </c>
      <c r="N168" s="4" t="str">
        <f t="shared" si="25"/>
        <v>EM Govt Local Unhedged</v>
      </c>
      <c r="P168" s="106"/>
      <c r="Q168" s="107" t="s">
        <v>0</v>
      </c>
      <c r="R168" s="107" t="s">
        <v>1</v>
      </c>
      <c r="S168" s="108" t="str">
        <f>E168</f>
        <v>US Govt 1-3</v>
      </c>
      <c r="T168" s="108" t="str">
        <f t="shared" ref="T168:AB168" si="26">F168</f>
        <v>Euro Govt 1-3 Hedged</v>
      </c>
      <c r="U168" s="108" t="str">
        <f t="shared" si="26"/>
        <v>Global Govt 1-3 Hedged</v>
      </c>
      <c r="V168" s="108" t="str">
        <f t="shared" si="26"/>
        <v>Global Govt 1-30 Hedged</v>
      </c>
      <c r="W168" s="108" t="str">
        <f t="shared" si="26"/>
        <v>Euro Corp Hedged</v>
      </c>
      <c r="X168" s="108" t="str">
        <f t="shared" si="26"/>
        <v>Global Corp Hedged</v>
      </c>
      <c r="Y168" s="108" t="str">
        <f t="shared" si="26"/>
        <v>Global Agg Hedged</v>
      </c>
      <c r="Z168" s="108" t="str">
        <f t="shared" si="26"/>
        <v>US High Yield</v>
      </c>
      <c r="AA168" s="108" t="str">
        <f t="shared" si="26"/>
        <v>EM Govt US$</v>
      </c>
      <c r="AB168" s="108" t="str">
        <f t="shared" si="26"/>
        <v>EM Govt Local Unhedged</v>
      </c>
      <c r="AC168" s="120"/>
    </row>
    <row r="169" spans="2:37" ht="18.5">
      <c r="B169">
        <v>-10</v>
      </c>
      <c r="C169">
        <f t="shared" ref="C169:N169" si="27">100*(Q48/Q36-1)</f>
        <v>4.3582808827062891</v>
      </c>
      <c r="D169">
        <f t="shared" si="27"/>
        <v>4.3582808827062891</v>
      </c>
      <c r="E169">
        <f t="shared" si="27"/>
        <v>4.9688920727277708</v>
      </c>
      <c r="F169">
        <f t="shared" si="27"/>
        <v>5.2603718498794194</v>
      </c>
      <c r="G169">
        <f t="shared" si="27"/>
        <v>4.3582808827062891</v>
      </c>
      <c r="H169">
        <f t="shared" si="27"/>
        <v>8.9877167681531098</v>
      </c>
      <c r="I169">
        <f t="shared" si="27"/>
        <v>10.821004464597106</v>
      </c>
      <c r="J169">
        <f t="shared" si="27"/>
        <v>12.527945606535717</v>
      </c>
      <c r="K169">
        <f t="shared" si="27"/>
        <v>9.0230481466984322</v>
      </c>
      <c r="L169">
        <f t="shared" si="27"/>
        <v>21.955936244425843</v>
      </c>
      <c r="M169">
        <f t="shared" si="27"/>
        <v>31.528909370273126</v>
      </c>
      <c r="N169">
        <f t="shared" si="27"/>
        <v>11.298940000000002</v>
      </c>
      <c r="P169" s="109" t="s">
        <v>110</v>
      </c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1"/>
    </row>
    <row r="170" spans="2:37">
      <c r="B170">
        <v>-9</v>
      </c>
      <c r="C170">
        <f t="shared" ref="C170:N170" si="28">100*(Q60/Q48-1)</f>
        <v>1.0517449121785205</v>
      </c>
      <c r="D170">
        <f t="shared" si="28"/>
        <v>1.0517449121785205</v>
      </c>
      <c r="E170">
        <f t="shared" si="28"/>
        <v>0.51463188593305897</v>
      </c>
      <c r="F170">
        <f t="shared" si="28"/>
        <v>1.183743917027491</v>
      </c>
      <c r="G170">
        <f t="shared" si="28"/>
        <v>1.0517449121785205</v>
      </c>
      <c r="H170">
        <f t="shared" si="28"/>
        <v>-0.4627882324800936</v>
      </c>
      <c r="I170">
        <f t="shared" si="28"/>
        <v>2.3411731511457701</v>
      </c>
      <c r="J170">
        <f t="shared" si="28"/>
        <v>0.78769732841634799</v>
      </c>
      <c r="K170">
        <f t="shared" si="28"/>
        <v>0.20065721948676618</v>
      </c>
      <c r="L170">
        <f t="shared" si="28"/>
        <v>10.200638626012747</v>
      </c>
      <c r="M170">
        <f t="shared" si="28"/>
        <v>4.6588173446306058</v>
      </c>
      <c r="N170">
        <f t="shared" si="28"/>
        <v>6.4590282710689229</v>
      </c>
      <c r="P170" s="112" t="s">
        <v>112</v>
      </c>
      <c r="Q170" s="113">
        <f t="shared" ref="Q170:AB170" si="29">100*((Q152/Q32)^(1/10)-1)</f>
        <v>3.2212795812819772</v>
      </c>
      <c r="R170" s="113">
        <f t="shared" si="29"/>
        <v>3.2212795812819772</v>
      </c>
      <c r="S170" s="113">
        <f t="shared" si="29"/>
        <v>3.2683979432254429</v>
      </c>
      <c r="T170" s="113">
        <f t="shared" si="29"/>
        <v>3.3353222255811943</v>
      </c>
      <c r="U170" s="113">
        <f t="shared" si="29"/>
        <v>3.2212795812819772</v>
      </c>
      <c r="V170" s="113">
        <f t="shared" si="29"/>
        <v>4.9783523727040313</v>
      </c>
      <c r="W170" s="113">
        <f t="shared" si="29"/>
        <v>4.9437447668659651</v>
      </c>
      <c r="X170" s="113">
        <f t="shared" si="29"/>
        <v>5.520135464269682</v>
      </c>
      <c r="Y170" s="113">
        <f t="shared" si="29"/>
        <v>5.0655267762820255</v>
      </c>
      <c r="Z170" s="113">
        <f t="shared" si="29"/>
        <v>9.3773730228396968</v>
      </c>
      <c r="AA170" s="113">
        <f t="shared" si="29"/>
        <v>10.944022885829652</v>
      </c>
      <c r="AB170" s="114">
        <f t="shared" si="29"/>
        <v>11.680691310739322</v>
      </c>
    </row>
    <row r="171" spans="2:37">
      <c r="B171">
        <v>-8</v>
      </c>
      <c r="C171">
        <f t="shared" ref="C171:N171" si="30">100*(Q72/Q60-1)</f>
        <v>3.2002356323779901</v>
      </c>
      <c r="D171">
        <f t="shared" si="30"/>
        <v>3.2002356323779901</v>
      </c>
      <c r="E171">
        <f t="shared" si="30"/>
        <v>1.8543781430464534</v>
      </c>
      <c r="F171">
        <f t="shared" si="30"/>
        <v>4.4171165254751621</v>
      </c>
      <c r="G171">
        <f t="shared" si="30"/>
        <v>3.2002356323779901</v>
      </c>
      <c r="H171">
        <f t="shared" si="30"/>
        <v>8.8810656251948608</v>
      </c>
      <c r="I171">
        <f t="shared" si="30"/>
        <v>9.7085647065120018</v>
      </c>
      <c r="J171">
        <f t="shared" si="30"/>
        <v>8.4943291300156645</v>
      </c>
      <c r="K171">
        <f t="shared" si="30"/>
        <v>8.2012651811280932</v>
      </c>
      <c r="L171">
        <f t="shared" si="30"/>
        <v>10.429246305774797</v>
      </c>
      <c r="M171">
        <f t="shared" si="30"/>
        <v>20.169489201402868</v>
      </c>
      <c r="N171">
        <f t="shared" si="30"/>
        <v>23.768090158165698</v>
      </c>
      <c r="P171" s="112" t="s">
        <v>113</v>
      </c>
      <c r="Q171" s="113">
        <f t="shared" ref="Q171:AB171" si="31">STDEV(C33:C152)*SQRT(12)</f>
        <v>1.0871983278300215</v>
      </c>
      <c r="R171" s="113">
        <f t="shared" si="31"/>
        <v>1.0871983278300215</v>
      </c>
      <c r="S171" s="113">
        <f t="shared" si="31"/>
        <v>1.6473074868449975</v>
      </c>
      <c r="T171" s="113">
        <f t="shared" si="31"/>
        <v>1.7339250174177645</v>
      </c>
      <c r="U171" s="113">
        <f t="shared" si="31"/>
        <v>1.0871983278300215</v>
      </c>
      <c r="V171" s="113">
        <f t="shared" si="31"/>
        <v>3.1485294353879625</v>
      </c>
      <c r="W171" s="113">
        <f t="shared" si="31"/>
        <v>3.876642442674731</v>
      </c>
      <c r="X171" s="113">
        <f t="shared" si="31"/>
        <v>4.721070530593134</v>
      </c>
      <c r="Y171" s="113">
        <f t="shared" si="31"/>
        <v>2.8222314546683229</v>
      </c>
      <c r="Z171" s="113">
        <f t="shared" si="31"/>
        <v>10.911919075426583</v>
      </c>
      <c r="AA171" s="113">
        <f t="shared" si="31"/>
        <v>9.5472710161616501</v>
      </c>
      <c r="AB171" s="114">
        <f t="shared" si="31"/>
        <v>11.507801441665663</v>
      </c>
    </row>
    <row r="172" spans="2:37">
      <c r="B172">
        <v>-7</v>
      </c>
      <c r="C172">
        <f t="shared" ref="C172:N172" si="32">100*(Q84/Q72-1)</f>
        <v>2.4638852926062382</v>
      </c>
      <c r="D172">
        <f t="shared" si="32"/>
        <v>2.4638852926062382</v>
      </c>
      <c r="E172">
        <f t="shared" si="32"/>
        <v>1.7752019837176558</v>
      </c>
      <c r="F172">
        <f t="shared" si="32"/>
        <v>2.1508898269312571</v>
      </c>
      <c r="G172">
        <f t="shared" si="32"/>
        <v>2.4638852926062382</v>
      </c>
      <c r="H172">
        <f t="shared" si="32"/>
        <v>-0.30217202751456895</v>
      </c>
      <c r="I172">
        <f t="shared" si="32"/>
        <v>-7.306661016780458E-2</v>
      </c>
      <c r="J172">
        <f t="shared" si="32"/>
        <v>-0.71742671424201987</v>
      </c>
      <c r="K172">
        <f t="shared" si="32"/>
        <v>-7.0069204554934483E-2</v>
      </c>
      <c r="L172">
        <f t="shared" si="32"/>
        <v>4.3297435592313693</v>
      </c>
      <c r="M172">
        <f t="shared" si="32"/>
        <v>4.6259454722179294</v>
      </c>
      <c r="N172">
        <f t="shared" si="32"/>
        <v>3.8494633994328176</v>
      </c>
      <c r="P172" s="112" t="s">
        <v>111</v>
      </c>
      <c r="Q172" s="113">
        <f>Q170/Q171</f>
        <v>2.9629180792721104</v>
      </c>
      <c r="R172" s="113">
        <f t="shared" ref="R172:AB172" si="33">R170/R171</f>
        <v>2.9629180792721104</v>
      </c>
      <c r="S172" s="113">
        <f t="shared" si="33"/>
        <v>1.9840849199837218</v>
      </c>
      <c r="T172" s="113">
        <f t="shared" si="33"/>
        <v>1.9235677391334367</v>
      </c>
      <c r="U172" s="113">
        <f t="shared" si="33"/>
        <v>2.9629180792721104</v>
      </c>
      <c r="V172" s="113">
        <f t="shared" si="33"/>
        <v>1.5811674862396825</v>
      </c>
      <c r="W172" s="113">
        <f t="shared" si="33"/>
        <v>1.2752645723640623</v>
      </c>
      <c r="X172" s="113">
        <f t="shared" si="33"/>
        <v>1.1692550298705571</v>
      </c>
      <c r="Y172" s="113">
        <f t="shared" si="33"/>
        <v>1.7948658207685313</v>
      </c>
      <c r="Z172" s="113">
        <f t="shared" si="33"/>
        <v>0.85936973670904027</v>
      </c>
      <c r="AA172" s="113">
        <f t="shared" si="33"/>
        <v>1.1462985461817912</v>
      </c>
      <c r="AB172" s="114">
        <f t="shared" si="33"/>
        <v>1.0150237097807133</v>
      </c>
    </row>
    <row r="173" spans="2:37">
      <c r="B173">
        <v>-6</v>
      </c>
      <c r="C173">
        <f t="shared" ref="C173:N173" si="34">100*(Q96/Q84-1)</f>
        <v>4.8597371711050608</v>
      </c>
      <c r="D173">
        <f t="shared" si="34"/>
        <v>4.8597371711050608</v>
      </c>
      <c r="E173">
        <f t="shared" si="34"/>
        <v>5.0983840594173602</v>
      </c>
      <c r="F173">
        <f t="shared" si="34"/>
        <v>4.1481183919061859</v>
      </c>
      <c r="G173">
        <f t="shared" si="34"/>
        <v>4.8597371711050608</v>
      </c>
      <c r="H173">
        <f t="shared" si="34"/>
        <v>4.3483798953486641</v>
      </c>
      <c r="I173">
        <f t="shared" si="34"/>
        <v>3.871795351366103</v>
      </c>
      <c r="J173">
        <f t="shared" si="34"/>
        <v>5.1337392755471445</v>
      </c>
      <c r="K173">
        <f t="shared" si="34"/>
        <v>4.833712812386004</v>
      </c>
      <c r="L173">
        <f t="shared" si="34"/>
        <v>11.435610532258856</v>
      </c>
      <c r="M173">
        <f t="shared" si="34"/>
        <v>11.676271559933671</v>
      </c>
      <c r="N173">
        <f t="shared" si="34"/>
        <v>25.704373391980774</v>
      </c>
      <c r="P173" s="112" t="s">
        <v>114</v>
      </c>
      <c r="Q173" s="113">
        <f t="shared" ref="Q173:AB173" si="35">MIN(C33:C152)</f>
        <v>-0.43391292762755557</v>
      </c>
      <c r="R173" s="113">
        <f t="shared" si="35"/>
        <v>-0.43391292762755557</v>
      </c>
      <c r="S173" s="113">
        <f t="shared" si="35"/>
        <v>-1.0218652177657495</v>
      </c>
      <c r="T173" s="113">
        <f t="shared" si="35"/>
        <v>-1.3601444124450857</v>
      </c>
      <c r="U173" s="113">
        <f t="shared" si="35"/>
        <v>-0.43391292762755551</v>
      </c>
      <c r="V173" s="113">
        <f t="shared" si="35"/>
        <v>-1.9900529349436868</v>
      </c>
      <c r="W173" s="113">
        <f t="shared" si="35"/>
        <v>-4.2958221729446073</v>
      </c>
      <c r="X173" s="113">
        <f t="shared" si="35"/>
        <v>-5.9930898377995367</v>
      </c>
      <c r="Y173" s="113">
        <f t="shared" si="35"/>
        <v>-2.0627249207875953</v>
      </c>
      <c r="Z173" s="113">
        <f t="shared" si="35"/>
        <v>-16.455928480907399</v>
      </c>
      <c r="AA173" s="113">
        <f t="shared" si="35"/>
        <v>-14.88984763726352</v>
      </c>
      <c r="AB173" s="114">
        <f t="shared" si="35"/>
        <v>-14.074522435121073</v>
      </c>
    </row>
    <row r="174" spans="2:37">
      <c r="B174">
        <v>-5</v>
      </c>
      <c r="C174">
        <f t="shared" ref="C174:N174" si="36">100*(Q104/Q96-1)</f>
        <v>5.8916731502468789</v>
      </c>
      <c r="D174">
        <f t="shared" si="36"/>
        <v>5.8916731502468789</v>
      </c>
      <c r="E174">
        <f t="shared" si="36"/>
        <v>8.1897810195211918</v>
      </c>
      <c r="F174">
        <f t="shared" si="36"/>
        <v>5.4000450482149631</v>
      </c>
      <c r="G174">
        <f t="shared" si="36"/>
        <v>5.8916731502468789</v>
      </c>
      <c r="H174">
        <f t="shared" si="36"/>
        <v>8.4804348100176554</v>
      </c>
      <c r="I174">
        <f t="shared" si="36"/>
        <v>2.3972345879902157</v>
      </c>
      <c r="J174">
        <f t="shared" si="36"/>
        <v>3.4277126400877655</v>
      </c>
      <c r="K174">
        <f t="shared" si="36"/>
        <v>6.9168748108485723</v>
      </c>
      <c r="L174">
        <f t="shared" si="36"/>
        <v>-3.1586650904047442</v>
      </c>
      <c r="M174">
        <f t="shared" si="36"/>
        <v>5.9961002143143149</v>
      </c>
      <c r="N174">
        <f t="shared" si="36"/>
        <v>12.015273150320716</v>
      </c>
      <c r="P174" s="112" t="s">
        <v>115</v>
      </c>
      <c r="Q174" s="113">
        <f t="shared" ref="Q174:AB174" si="37">MAX(C33:C152)</f>
        <v>1.236097332163566</v>
      </c>
      <c r="R174" s="113">
        <f t="shared" si="37"/>
        <v>1.236097332163566</v>
      </c>
      <c r="S174" s="113">
        <f t="shared" si="37"/>
        <v>1.8179293852930822</v>
      </c>
      <c r="T174" s="113">
        <f t="shared" si="37"/>
        <v>2.1330840501410764</v>
      </c>
      <c r="U174" s="113">
        <f t="shared" si="37"/>
        <v>1.236097332163566</v>
      </c>
      <c r="V174" s="113">
        <f t="shared" si="37"/>
        <v>3.0296125894666126</v>
      </c>
      <c r="W174" s="113">
        <f t="shared" si="37"/>
        <v>3.4873406073572477</v>
      </c>
      <c r="X174" s="113">
        <f t="shared" si="37"/>
        <v>3.6601266926473031</v>
      </c>
      <c r="Y174" s="113">
        <f t="shared" si="37"/>
        <v>2.7125606671940972</v>
      </c>
      <c r="Z174" s="113">
        <f t="shared" si="37"/>
        <v>11.309119000614043</v>
      </c>
      <c r="AA174" s="113">
        <f t="shared" si="37"/>
        <v>7.7663308780014484</v>
      </c>
      <c r="AB174" s="114">
        <f t="shared" si="37"/>
        <v>9.8370581311264083</v>
      </c>
    </row>
    <row r="175" spans="2:37">
      <c r="B175">
        <v>-4</v>
      </c>
      <c r="C175">
        <f t="shared" ref="C175:N175" si="38">100*(Q116/Q104-1)</f>
        <v>4.0455993340013263</v>
      </c>
      <c r="D175">
        <f t="shared" si="38"/>
        <v>4.0455993340013263</v>
      </c>
      <c r="E175">
        <f t="shared" si="38"/>
        <v>3.367539984385326</v>
      </c>
      <c r="F175">
        <f t="shared" si="38"/>
        <v>5.1358433155845651</v>
      </c>
      <c r="G175">
        <f t="shared" si="38"/>
        <v>4.0455993340013263</v>
      </c>
      <c r="H175">
        <f t="shared" si="38"/>
        <v>5.3027340213584573</v>
      </c>
      <c r="I175">
        <f t="shared" si="38"/>
        <v>-5.8280353379479788</v>
      </c>
      <c r="J175">
        <f t="shared" si="38"/>
        <v>-7.0163602975174104</v>
      </c>
      <c r="K175">
        <f t="shared" si="38"/>
        <v>2.6596183747145119</v>
      </c>
      <c r="L175">
        <f t="shared" si="38"/>
        <v>-22.295444096244189</v>
      </c>
      <c r="M175">
        <f t="shared" si="38"/>
        <v>-11.821413090888877</v>
      </c>
      <c r="N175">
        <f t="shared" si="38"/>
        <v>-18.169536956251054</v>
      </c>
      <c r="P175" s="115"/>
      <c r="Q175" s="105"/>
      <c r="R175" s="105"/>
      <c r="S175" s="105"/>
      <c r="T175" s="105"/>
      <c r="U175" s="105"/>
      <c r="V175" s="105"/>
      <c r="W175" s="105"/>
      <c r="X175" s="105"/>
      <c r="Y175" s="105"/>
      <c r="Z175" s="105"/>
      <c r="AA175" s="105"/>
      <c r="AB175" s="116"/>
    </row>
    <row r="176" spans="2:37" ht="18.5">
      <c r="B176">
        <v>-3</v>
      </c>
      <c r="C176">
        <f t="shared" ref="C176:N176" si="39">100*(Q128/Q116-1)</f>
        <v>2.3536129150358187</v>
      </c>
      <c r="D176">
        <f t="shared" si="39"/>
        <v>2.3536129150358187</v>
      </c>
      <c r="E176">
        <f t="shared" si="39"/>
        <v>2.2452975032002165</v>
      </c>
      <c r="F176">
        <f t="shared" si="39"/>
        <v>3.2635804331942353</v>
      </c>
      <c r="G176">
        <f t="shared" si="39"/>
        <v>2.3536129150358187</v>
      </c>
      <c r="H176">
        <f t="shared" si="39"/>
        <v>3.3346072879597788</v>
      </c>
      <c r="I176">
        <f t="shared" si="39"/>
        <v>18.601420543505</v>
      </c>
      <c r="J176">
        <f t="shared" si="39"/>
        <v>20.62527294109071</v>
      </c>
      <c r="K176">
        <f t="shared" si="39"/>
        <v>7.6039461657161578</v>
      </c>
      <c r="L176">
        <f t="shared" si="39"/>
        <v>56.91589929133967</v>
      </c>
      <c r="M176">
        <f t="shared" si="39"/>
        <v>30.92846439777226</v>
      </c>
      <c r="N176">
        <f t="shared" si="39"/>
        <v>38.867344880288755</v>
      </c>
      <c r="P176" s="109" t="s">
        <v>156</v>
      </c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4"/>
    </row>
    <row r="177" spans="1:28">
      <c r="B177">
        <v>-2</v>
      </c>
      <c r="C177">
        <f t="shared" ref="C177:N177" si="40">100*(Q140/Q128-1)</f>
        <v>0.88708445694540838</v>
      </c>
      <c r="D177">
        <f t="shared" si="40"/>
        <v>0.88708445694540838</v>
      </c>
      <c r="E177">
        <f t="shared" si="40"/>
        <v>1.5651292165171027</v>
      </c>
      <c r="F177">
        <f t="shared" si="40"/>
        <v>7.1840337758866113E-2</v>
      </c>
      <c r="G177">
        <f t="shared" si="40"/>
        <v>0.88708445694540838</v>
      </c>
      <c r="H177">
        <f t="shared" si="40"/>
        <v>2.4149537614767791</v>
      </c>
      <c r="I177">
        <f t="shared" si="40"/>
        <v>2.8884221831870338</v>
      </c>
      <c r="J177">
        <f t="shared" si="40"/>
        <v>5.8579654859855612</v>
      </c>
      <c r="K177">
        <f t="shared" si="40"/>
        <v>2.9338220362237211</v>
      </c>
      <c r="L177">
        <f t="shared" si="40"/>
        <v>17.096469405268678</v>
      </c>
      <c r="M177">
        <f t="shared" si="40"/>
        <v>9.792387958539539</v>
      </c>
      <c r="N177">
        <f t="shared" si="40"/>
        <v>14.013675427626392</v>
      </c>
      <c r="P177" s="112" t="s">
        <v>112</v>
      </c>
      <c r="Q177" s="113">
        <f>100*((Q152/Q92)^(1/5)-1)</f>
        <v>3.249286418572539</v>
      </c>
      <c r="R177" s="113">
        <f t="shared" ref="R177:AB177" si="41">100*((R152/R116)^(1/3)-1)</f>
        <v>1.7448922429939673</v>
      </c>
      <c r="S177" s="113">
        <f t="shared" si="41"/>
        <v>1.7890607946966952</v>
      </c>
      <c r="T177" s="113">
        <f t="shared" si="41"/>
        <v>1.6098958426397081</v>
      </c>
      <c r="U177" s="113">
        <f t="shared" si="41"/>
        <v>1.7448922429939673</v>
      </c>
      <c r="V177" s="113">
        <f t="shared" si="41"/>
        <v>4.3951246769843522</v>
      </c>
      <c r="W177" s="113">
        <f t="shared" si="41"/>
        <v>8.8766643628134911</v>
      </c>
      <c r="X177" s="113">
        <f t="shared" si="41"/>
        <v>11.180973463072142</v>
      </c>
      <c r="Y177" s="113">
        <f t="shared" si="41"/>
        <v>5.8133178127693252</v>
      </c>
      <c r="Z177" s="113">
        <f t="shared" si="41"/>
        <v>24.949693436170151</v>
      </c>
      <c r="AA177" s="113">
        <f t="shared" si="41"/>
        <v>17.869540118789985</v>
      </c>
      <c r="AB177" s="114">
        <f t="shared" si="41"/>
        <v>19.816678220316277</v>
      </c>
    </row>
    <row r="178" spans="1:28">
      <c r="B178">
        <v>-1</v>
      </c>
      <c r="C178">
        <f t="shared" ref="C178:N178" si="42">100*(Q152/Q140-1)</f>
        <v>1.9997482424144897</v>
      </c>
      <c r="D178">
        <f t="shared" si="42"/>
        <v>1.9997482424144897</v>
      </c>
      <c r="E178">
        <f t="shared" si="42"/>
        <v>1.5582837741676014</v>
      </c>
      <c r="F178">
        <f t="shared" si="42"/>
        <v>1.5193790677160868</v>
      </c>
      <c r="G178">
        <f t="shared" si="42"/>
        <v>1.9997482424144897</v>
      </c>
      <c r="H178">
        <f t="shared" si="42"/>
        <v>7.5056985023129741</v>
      </c>
      <c r="I178">
        <f t="shared" si="42"/>
        <v>5.7664731787427703</v>
      </c>
      <c r="J178">
        <f t="shared" si="42"/>
        <v>7.6290643429109961</v>
      </c>
      <c r="K178">
        <f t="shared" si="42"/>
        <v>6.9632767446638599</v>
      </c>
      <c r="L178">
        <f t="shared" si="42"/>
        <v>6.1682927912589003</v>
      </c>
      <c r="M178">
        <f t="shared" si="42"/>
        <v>13.919602789220619</v>
      </c>
      <c r="N178">
        <f t="shared" si="42"/>
        <v>8.6412483460027278</v>
      </c>
      <c r="P178" s="112" t="s">
        <v>113</v>
      </c>
      <c r="Q178" s="113">
        <f>STDEV(C93:C117)*SQRT(12)</f>
        <v>1.4388980580822641</v>
      </c>
      <c r="R178" s="113">
        <f t="shared" ref="R178:AA178" si="43">STDEV(D117:D152)*SQRT(12)</f>
        <v>0.65019804391967873</v>
      </c>
      <c r="S178" s="113">
        <f t="shared" si="43"/>
        <v>1.0481285262076314</v>
      </c>
      <c r="T178" s="113">
        <f t="shared" si="43"/>
        <v>2.154773633694679</v>
      </c>
      <c r="U178" s="113">
        <f t="shared" si="43"/>
        <v>0.65019804391967873</v>
      </c>
      <c r="V178" s="113">
        <f t="shared" si="43"/>
        <v>2.8915549647251733</v>
      </c>
      <c r="W178" s="113">
        <f t="shared" si="43"/>
        <v>4.8362935320765015</v>
      </c>
      <c r="X178" s="113">
        <f t="shared" si="43"/>
        <v>4.5176465097152887</v>
      </c>
      <c r="Y178" s="113">
        <f t="shared" si="43"/>
        <v>2.3296713125415129</v>
      </c>
      <c r="Z178" s="113">
        <f t="shared" si="43"/>
        <v>10.460674152164543</v>
      </c>
      <c r="AA178" s="113">
        <f t="shared" si="43"/>
        <v>7.0040465694171434</v>
      </c>
      <c r="AB178" s="113">
        <f>STDEV(N117:N152)*SQRT(12)</f>
        <v>12.640003699846893</v>
      </c>
    </row>
    <row r="179" spans="1:28">
      <c r="P179" s="112" t="s">
        <v>111</v>
      </c>
      <c r="Q179" s="113">
        <f>Q177/Q178</f>
        <v>2.2581769433361569</v>
      </c>
      <c r="R179" s="113">
        <f t="shared" ref="R179:AB179" si="44">R177/R178</f>
        <v>2.6836319476985691</v>
      </c>
      <c r="S179" s="113">
        <f t="shared" si="44"/>
        <v>1.7069097443325258</v>
      </c>
      <c r="T179" s="113">
        <f t="shared" si="44"/>
        <v>0.7471299153959402</v>
      </c>
      <c r="U179" s="113">
        <f t="shared" si="44"/>
        <v>2.6836319476985691</v>
      </c>
      <c r="V179" s="113">
        <f t="shared" si="44"/>
        <v>1.5199865576140223</v>
      </c>
      <c r="W179" s="113">
        <f t="shared" si="44"/>
        <v>1.8354271311158865</v>
      </c>
      <c r="X179" s="113">
        <f t="shared" si="44"/>
        <v>2.4749553642648303</v>
      </c>
      <c r="Y179" s="113">
        <f t="shared" si="44"/>
        <v>2.4953381970555282</v>
      </c>
      <c r="Z179" s="113">
        <f t="shared" si="44"/>
        <v>2.3850942179484207</v>
      </c>
      <c r="AA179" s="113">
        <f t="shared" si="44"/>
        <v>2.5513165770222792</v>
      </c>
      <c r="AB179" s="114">
        <f t="shared" si="44"/>
        <v>1.5677747167555269</v>
      </c>
    </row>
    <row r="180" spans="1:28">
      <c r="B180" t="s">
        <v>120</v>
      </c>
      <c r="C180">
        <v>0.5</v>
      </c>
      <c r="D180">
        <f>C180+1</f>
        <v>1.5</v>
      </c>
      <c r="E180">
        <f t="shared" ref="E180:N180" si="45">D180+1</f>
        <v>2.5</v>
      </c>
      <c r="F180">
        <f t="shared" si="45"/>
        <v>3.5</v>
      </c>
      <c r="G180">
        <f t="shared" si="45"/>
        <v>4.5</v>
      </c>
      <c r="H180">
        <f t="shared" si="45"/>
        <v>5.5</v>
      </c>
      <c r="I180">
        <f t="shared" si="45"/>
        <v>6.5</v>
      </c>
      <c r="J180">
        <f t="shared" si="45"/>
        <v>7.5</v>
      </c>
      <c r="K180">
        <f t="shared" si="45"/>
        <v>8.5</v>
      </c>
      <c r="L180">
        <f t="shared" si="45"/>
        <v>9.5</v>
      </c>
      <c r="M180">
        <f t="shared" si="45"/>
        <v>10.5</v>
      </c>
      <c r="N180">
        <f t="shared" si="45"/>
        <v>11.5</v>
      </c>
      <c r="P180" s="112" t="s">
        <v>114</v>
      </c>
      <c r="Q180" s="113">
        <f t="shared" ref="Q180:AB180" si="46">MIN(C116:C152)</f>
        <v>-0.24263579587040507</v>
      </c>
      <c r="R180" s="113">
        <f t="shared" si="46"/>
        <v>-0.24263579587040507</v>
      </c>
      <c r="S180" s="113">
        <f t="shared" si="46"/>
        <v>-0.81214690877027262</v>
      </c>
      <c r="T180" s="113">
        <f t="shared" si="46"/>
        <v>-1.3601444124450857</v>
      </c>
      <c r="U180" s="113">
        <f t="shared" si="46"/>
        <v>-0.24263579587040507</v>
      </c>
      <c r="V180" s="113">
        <f t="shared" si="46"/>
        <v>-1.2612825038130215</v>
      </c>
      <c r="W180" s="113">
        <f t="shared" si="46"/>
        <v>-2.9729144021554021</v>
      </c>
      <c r="X180" s="113">
        <f t="shared" si="46"/>
        <v>-2.0469678526377932</v>
      </c>
      <c r="Y180" s="113">
        <f t="shared" si="46"/>
        <v>-1.0756807566716931</v>
      </c>
      <c r="Z180" s="113">
        <f t="shared" si="46"/>
        <v>-4.0111762054979572</v>
      </c>
      <c r="AA180" s="113">
        <f t="shared" si="46"/>
        <v>-4.2005390115171455</v>
      </c>
      <c r="AB180" s="114">
        <f t="shared" si="46"/>
        <v>-9.8253997661012615</v>
      </c>
    </row>
    <row r="181" spans="1:28">
      <c r="C181">
        <f>C180</f>
        <v>0.5</v>
      </c>
      <c r="D181">
        <f t="shared" ref="D181:N181" si="47">C181+1</f>
        <v>1.5</v>
      </c>
      <c r="E181">
        <f t="shared" si="47"/>
        <v>2.5</v>
      </c>
      <c r="F181">
        <f t="shared" si="47"/>
        <v>3.5</v>
      </c>
      <c r="G181">
        <f t="shared" si="47"/>
        <v>4.5</v>
      </c>
      <c r="H181">
        <f t="shared" si="47"/>
        <v>5.5</v>
      </c>
      <c r="I181">
        <f t="shared" si="47"/>
        <v>6.5</v>
      </c>
      <c r="J181">
        <f t="shared" si="47"/>
        <v>7.5</v>
      </c>
      <c r="K181">
        <f t="shared" si="47"/>
        <v>8.5</v>
      </c>
      <c r="L181">
        <f t="shared" si="47"/>
        <v>9.5</v>
      </c>
      <c r="M181">
        <f t="shared" si="47"/>
        <v>10.5</v>
      </c>
      <c r="N181">
        <f t="shared" si="47"/>
        <v>11.5</v>
      </c>
      <c r="P181" s="112" t="s">
        <v>115</v>
      </c>
      <c r="Q181" s="113">
        <f t="shared" ref="Q181:AB181" si="48">MAX(C116:C152)</f>
        <v>0.54794470916792459</v>
      </c>
      <c r="R181" s="113">
        <f t="shared" si="48"/>
        <v>0.54794470916792459</v>
      </c>
      <c r="S181" s="113">
        <f t="shared" si="48"/>
        <v>0.77778069820617635</v>
      </c>
      <c r="T181" s="113">
        <f t="shared" si="48"/>
        <v>2.1330840501410764</v>
      </c>
      <c r="U181" s="113">
        <f t="shared" si="48"/>
        <v>0.54794470916792459</v>
      </c>
      <c r="V181" s="113">
        <f t="shared" si="48"/>
        <v>2.0166703168217337</v>
      </c>
      <c r="W181" s="113">
        <f t="shared" si="48"/>
        <v>3.4873406073572477</v>
      </c>
      <c r="X181" s="113">
        <f t="shared" si="48"/>
        <v>3.6601266926473031</v>
      </c>
      <c r="Y181" s="113">
        <f t="shared" si="48"/>
        <v>1.6599125684776839</v>
      </c>
      <c r="Z181" s="113">
        <f t="shared" si="48"/>
        <v>11.309119000614043</v>
      </c>
      <c r="AA181" s="113">
        <f t="shared" si="48"/>
        <v>5.3856213409146925</v>
      </c>
      <c r="AB181" s="114">
        <f t="shared" si="48"/>
        <v>8.4258508564627022</v>
      </c>
    </row>
    <row r="182" spans="1:28">
      <c r="C182">
        <f>C180</f>
        <v>0.5</v>
      </c>
      <c r="D182">
        <f t="shared" ref="D182:N182" si="49">C182+1</f>
        <v>1.5</v>
      </c>
      <c r="E182">
        <f t="shared" si="49"/>
        <v>2.5</v>
      </c>
      <c r="F182">
        <f t="shared" si="49"/>
        <v>3.5</v>
      </c>
      <c r="G182">
        <f t="shared" si="49"/>
        <v>4.5</v>
      </c>
      <c r="H182">
        <f t="shared" si="49"/>
        <v>5.5</v>
      </c>
      <c r="I182">
        <f t="shared" si="49"/>
        <v>6.5</v>
      </c>
      <c r="J182">
        <f t="shared" si="49"/>
        <v>7.5</v>
      </c>
      <c r="K182">
        <f t="shared" si="49"/>
        <v>8.5</v>
      </c>
      <c r="L182">
        <f t="shared" si="49"/>
        <v>9.5</v>
      </c>
      <c r="M182">
        <f t="shared" si="49"/>
        <v>10.5</v>
      </c>
      <c r="N182">
        <f t="shared" si="49"/>
        <v>11.5</v>
      </c>
      <c r="P182" s="117"/>
      <c r="Q182" s="118"/>
      <c r="R182" s="118"/>
      <c r="S182" s="118"/>
      <c r="T182" s="118"/>
      <c r="U182" s="118"/>
      <c r="V182" s="118"/>
      <c r="W182" s="118"/>
      <c r="X182" s="118"/>
      <c r="Y182" s="118"/>
      <c r="Z182" s="118"/>
      <c r="AA182" s="118"/>
      <c r="AB182" s="119"/>
    </row>
    <row r="184" spans="1:28">
      <c r="A184" s="75" t="s">
        <v>104</v>
      </c>
    </row>
    <row r="185" spans="1:28">
      <c r="A185">
        <f>ScenChoice</f>
        <v>2</v>
      </c>
      <c r="C185" t="str">
        <f t="shared" ref="C185:N185" si="50">C2</f>
        <v>Portfolio</v>
      </c>
      <c r="D185" t="str">
        <f t="shared" si="50"/>
        <v>Benchmark</v>
      </c>
      <c r="E185" t="str">
        <f t="shared" si="50"/>
        <v>US Govt 1-3</v>
      </c>
      <c r="F185" t="str">
        <f t="shared" si="50"/>
        <v>Euro Govt 1-3 Hedged</v>
      </c>
      <c r="G185" t="str">
        <f t="shared" si="50"/>
        <v>Global Govt 1-3 Hedged</v>
      </c>
      <c r="H185" t="str">
        <f t="shared" si="50"/>
        <v>Global Govt 1-30 Hedged</v>
      </c>
      <c r="I185" t="str">
        <f t="shared" si="50"/>
        <v>Euro Corp Hedged</v>
      </c>
      <c r="J185" t="str">
        <f t="shared" si="50"/>
        <v>Global Corp Hedged</v>
      </c>
      <c r="K185" t="str">
        <f t="shared" si="50"/>
        <v>Global Agg Hedged</v>
      </c>
      <c r="L185" t="str">
        <f t="shared" si="50"/>
        <v>US High Yield</v>
      </c>
      <c r="M185" t="str">
        <f t="shared" si="50"/>
        <v>EM Govt US$</v>
      </c>
      <c r="N185" t="str">
        <f t="shared" si="50"/>
        <v>EM Govt Local Unhedged</v>
      </c>
    </row>
    <row r="186" spans="1:28">
      <c r="B186" s="122" t="s">
        <v>118</v>
      </c>
      <c r="C186">
        <f t="shared" ref="C186:N186" si="51">C$187-C$166</f>
        <v>-1.5290991036175872</v>
      </c>
      <c r="D186">
        <f t="shared" si="51"/>
        <v>-1.5290991036175872</v>
      </c>
      <c r="E186">
        <f t="shared" si="51"/>
        <v>-1.2001509084840227</v>
      </c>
      <c r="F186">
        <f t="shared" si="51"/>
        <v>-3.5844359327803867</v>
      </c>
      <c r="G186">
        <f t="shared" si="51"/>
        <v>-1.5290991036175872</v>
      </c>
      <c r="H186">
        <f t="shared" si="51"/>
        <v>-7.0601653175363506</v>
      </c>
      <c r="I186">
        <f t="shared" si="51"/>
        <v>-4.9375588369150929</v>
      </c>
      <c r="J186">
        <f t="shared" si="51"/>
        <v>-6.1403791488505766</v>
      </c>
      <c r="K186">
        <f t="shared" si="51"/>
        <v>-5.7204006200340922</v>
      </c>
      <c r="L186">
        <f t="shared" si="51"/>
        <v>-0.54896116678647555</v>
      </c>
      <c r="M186">
        <f t="shared" si="51"/>
        <v>-3.6865596016036206</v>
      </c>
      <c r="N186">
        <f t="shared" si="51"/>
        <v>0.39246503993678283</v>
      </c>
    </row>
    <row r="187" spans="1:28">
      <c r="B187" s="75" t="s">
        <v>117</v>
      </c>
      <c r="C187">
        <f t="shared" ref="C187:N187" si="52">IF(ScenChoice=1,C8,IF(ScenChoice=2,C14,C20))</f>
        <v>-1.2152519800000001</v>
      </c>
      <c r="D187">
        <f t="shared" si="52"/>
        <v>-1.2152519800000001</v>
      </c>
      <c r="E187">
        <f t="shared" si="52"/>
        <v>-0.72461419800000004</v>
      </c>
      <c r="F187">
        <f t="shared" si="52"/>
        <v>-3.0838948950000002</v>
      </c>
      <c r="G187">
        <f t="shared" si="52"/>
        <v>-1.2152519800000001</v>
      </c>
      <c r="H187">
        <f t="shared" si="52"/>
        <v>-6.151263159</v>
      </c>
      <c r="I187">
        <f t="shared" si="52"/>
        <v>-3.8184685580000002</v>
      </c>
      <c r="J187">
        <f t="shared" si="52"/>
        <v>-4.7775234779999991</v>
      </c>
      <c r="K187">
        <f t="shared" si="52"/>
        <v>-4.9056925749999998</v>
      </c>
      <c r="L187">
        <f t="shared" si="52"/>
        <v>2.6010385409999999</v>
      </c>
      <c r="M187">
        <f t="shared" si="52"/>
        <v>-0.9304998560000004</v>
      </c>
      <c r="N187">
        <f t="shared" si="52"/>
        <v>3.71448117</v>
      </c>
    </row>
    <row r="188" spans="1:28">
      <c r="B188" s="122" t="s">
        <v>119</v>
      </c>
      <c r="C188">
        <f t="shared" ref="C188:N188" si="53">C$187+C$166</f>
        <v>-0.90140485638241308</v>
      </c>
      <c r="D188">
        <f t="shared" si="53"/>
        <v>-0.90140485638241308</v>
      </c>
      <c r="E188">
        <f t="shared" si="53"/>
        <v>-0.24907748751597741</v>
      </c>
      <c r="F188">
        <f t="shared" si="53"/>
        <v>-2.5833538572196137</v>
      </c>
      <c r="G188">
        <f t="shared" si="53"/>
        <v>-0.90140485638241308</v>
      </c>
      <c r="H188">
        <f t="shared" si="53"/>
        <v>-5.2423610004636494</v>
      </c>
      <c r="I188">
        <f t="shared" si="53"/>
        <v>-2.6993782790849079</v>
      </c>
      <c r="J188">
        <f t="shared" si="53"/>
        <v>-3.4146678071494216</v>
      </c>
      <c r="K188">
        <f t="shared" si="53"/>
        <v>-4.0909845299659073</v>
      </c>
      <c r="L188">
        <f t="shared" si="53"/>
        <v>5.7510382487864753</v>
      </c>
      <c r="M188">
        <f t="shared" si="53"/>
        <v>1.8255598896036198</v>
      </c>
      <c r="N188">
        <f t="shared" si="53"/>
        <v>7.0364973000632176</v>
      </c>
    </row>
    <row r="207" spans="7:7">
      <c r="G207" t="s">
        <v>121</v>
      </c>
    </row>
  </sheetData>
  <pageMargins left="0.7" right="0.7" top="0.75" bottom="0.75" header="0.3" footer="0.3"/>
  <ignoredErrors>
    <ignoredError sqref="S171:AB177 S179:AB18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FB0B9-E444-7144-A0F3-39010B768AE4}">
  <sheetPr codeName="Sheet2"/>
  <dimension ref="A2:X18"/>
  <sheetViews>
    <sheetView workbookViewId="0">
      <selection activeCell="C19" sqref="C19"/>
    </sheetView>
  </sheetViews>
  <sheetFormatPr defaultColWidth="11" defaultRowHeight="15.5"/>
  <sheetData>
    <row r="2" spans="1:24">
      <c r="B2" s="21" t="s">
        <v>12</v>
      </c>
      <c r="C2" s="22"/>
      <c r="J2" s="24" t="s">
        <v>13</v>
      </c>
      <c r="K2" s="25"/>
      <c r="L2" s="25"/>
      <c r="M2" s="25"/>
      <c r="N2" s="25"/>
      <c r="O2" s="26" t="s">
        <v>14</v>
      </c>
      <c r="P2" s="26"/>
      <c r="Q2" s="26"/>
      <c r="R2" s="26"/>
      <c r="S2" s="27" t="s">
        <v>15</v>
      </c>
      <c r="T2" s="27"/>
      <c r="U2" s="27"/>
      <c r="V2" s="27"/>
      <c r="W2" s="27"/>
      <c r="X2" s="28"/>
    </row>
    <row r="3" spans="1:24">
      <c r="B3" s="29" t="s">
        <v>16</v>
      </c>
      <c r="C3" s="30" t="s">
        <v>17</v>
      </c>
      <c r="F3" s="31">
        <v>2</v>
      </c>
      <c r="G3" s="31"/>
      <c r="H3" s="31" t="s">
        <v>18</v>
      </c>
      <c r="I3" s="31" t="s">
        <v>19</v>
      </c>
      <c r="J3" s="32" t="s">
        <v>20</v>
      </c>
      <c r="K3" s="33" t="s">
        <v>21</v>
      </c>
      <c r="L3" s="33" t="s">
        <v>22</v>
      </c>
      <c r="M3" s="33" t="s">
        <v>23</v>
      </c>
      <c r="N3" s="33" t="s">
        <v>24</v>
      </c>
      <c r="O3" s="34" t="s">
        <v>25</v>
      </c>
      <c r="P3" s="34" t="s">
        <v>26</v>
      </c>
      <c r="Q3" s="34" t="s">
        <v>27</v>
      </c>
      <c r="R3" s="34" t="s">
        <v>28</v>
      </c>
      <c r="S3" s="35" t="s">
        <v>29</v>
      </c>
      <c r="T3" s="35" t="s">
        <v>30</v>
      </c>
      <c r="U3" s="35" t="s">
        <v>31</v>
      </c>
      <c r="V3" s="35" t="s">
        <v>32</v>
      </c>
      <c r="W3" s="35" t="s">
        <v>33</v>
      </c>
      <c r="X3" s="36" t="s">
        <v>34</v>
      </c>
    </row>
    <row r="4" spans="1:24">
      <c r="A4" s="40">
        <v>1</v>
      </c>
      <c r="B4" s="37"/>
      <c r="C4" s="38"/>
      <c r="D4" s="39" t="s">
        <v>35</v>
      </c>
      <c r="E4" s="26"/>
      <c r="F4" s="41" t="s">
        <v>0</v>
      </c>
      <c r="G4" s="41" t="s">
        <v>0</v>
      </c>
      <c r="H4" s="41"/>
      <c r="I4" s="41"/>
      <c r="J4" s="42">
        <v>42.131611727905508</v>
      </c>
      <c r="K4" s="43">
        <v>23.892125253362227</v>
      </c>
      <c r="L4" s="43">
        <v>3.333376846361126</v>
      </c>
      <c r="M4" s="43">
        <v>26.305646670078353</v>
      </c>
      <c r="N4" s="43">
        <v>4.337239502292789</v>
      </c>
      <c r="O4" s="44">
        <v>100</v>
      </c>
      <c r="P4" s="44">
        <v>0</v>
      </c>
      <c r="Q4" s="44">
        <v>0</v>
      </c>
      <c r="R4" s="44">
        <v>0</v>
      </c>
      <c r="S4" s="45">
        <v>15.753197282042777</v>
      </c>
      <c r="T4" s="45">
        <v>75.348155854787748</v>
      </c>
      <c r="U4" s="45">
        <v>3.3332735338231094</v>
      </c>
      <c r="V4" s="45">
        <v>5.5653733293463441</v>
      </c>
      <c r="W4" s="45">
        <v>0</v>
      </c>
      <c r="X4" s="46">
        <v>0</v>
      </c>
    </row>
    <row r="5" spans="1:24">
      <c r="A5" s="23">
        <v>2</v>
      </c>
      <c r="B5" s="47"/>
      <c r="C5" s="48"/>
      <c r="D5" s="49" t="s">
        <v>36</v>
      </c>
      <c r="E5" s="50" t="s">
        <v>37</v>
      </c>
      <c r="F5" s="51" t="s">
        <v>1</v>
      </c>
      <c r="G5" s="51" t="s">
        <v>1</v>
      </c>
      <c r="H5" s="51"/>
      <c r="I5" s="51"/>
      <c r="J5" s="42">
        <v>42.131611727905508</v>
      </c>
      <c r="K5" s="43">
        <v>23.892125253362227</v>
      </c>
      <c r="L5" s="43">
        <v>3.333376846361126</v>
      </c>
      <c r="M5" s="43">
        <v>26.305646670078353</v>
      </c>
      <c r="N5" s="43">
        <v>4.337239502292789</v>
      </c>
      <c r="O5" s="44">
        <v>100</v>
      </c>
      <c r="P5" s="44">
        <v>0</v>
      </c>
      <c r="Q5" s="44">
        <v>0</v>
      </c>
      <c r="R5" s="44">
        <v>0</v>
      </c>
      <c r="S5" s="45">
        <v>15.753197282042777</v>
      </c>
      <c r="T5" s="45">
        <v>75.348155854787748</v>
      </c>
      <c r="U5" s="45">
        <v>3.3332735338231094</v>
      </c>
      <c r="V5" s="45">
        <v>5.5653733293463441</v>
      </c>
      <c r="W5" s="45">
        <v>0</v>
      </c>
      <c r="X5" s="46">
        <v>0</v>
      </c>
    </row>
    <row r="6" spans="1:24">
      <c r="A6" s="23">
        <v>3</v>
      </c>
      <c r="B6" s="52">
        <v>0.42496385303081297</v>
      </c>
      <c r="C6" s="53">
        <v>1.9795700002570551</v>
      </c>
      <c r="D6" s="54">
        <v>0</v>
      </c>
      <c r="E6" s="44">
        <v>0</v>
      </c>
      <c r="F6" s="56" t="s">
        <v>2</v>
      </c>
      <c r="G6" s="57" t="s">
        <v>38</v>
      </c>
      <c r="H6" s="57">
        <v>0</v>
      </c>
      <c r="I6" s="57" t="s">
        <v>39</v>
      </c>
      <c r="J6" s="42">
        <v>99.999999999999972</v>
      </c>
      <c r="K6" s="43">
        <v>0</v>
      </c>
      <c r="L6" s="43">
        <v>0</v>
      </c>
      <c r="M6" s="43">
        <v>0</v>
      </c>
      <c r="N6" s="43">
        <v>0</v>
      </c>
      <c r="O6" s="44">
        <v>100</v>
      </c>
      <c r="P6" s="44">
        <v>0</v>
      </c>
      <c r="Q6" s="44">
        <v>0</v>
      </c>
      <c r="R6" s="44">
        <v>0</v>
      </c>
      <c r="S6" s="45">
        <v>0</v>
      </c>
      <c r="T6" s="45">
        <v>100</v>
      </c>
      <c r="U6" s="45">
        <v>0</v>
      </c>
      <c r="V6" s="45">
        <v>0</v>
      </c>
      <c r="W6" s="45">
        <v>0</v>
      </c>
      <c r="X6" s="46">
        <v>0</v>
      </c>
    </row>
    <row r="7" spans="1:24">
      <c r="A7" s="23">
        <v>4</v>
      </c>
      <c r="B7" s="52">
        <v>0.46214153512400324</v>
      </c>
      <c r="C7" s="58">
        <v>1.9151837803992309</v>
      </c>
      <c r="D7" s="54">
        <v>0</v>
      </c>
      <c r="E7" s="44">
        <v>0</v>
      </c>
      <c r="F7" s="56" t="s">
        <v>3</v>
      </c>
      <c r="G7" s="57" t="s">
        <v>40</v>
      </c>
      <c r="H7" s="57" t="s">
        <v>41</v>
      </c>
      <c r="I7" s="57" t="s">
        <v>39</v>
      </c>
      <c r="J7" s="42">
        <v>0</v>
      </c>
      <c r="K7" s="43">
        <v>100.00000000000001</v>
      </c>
      <c r="L7" s="43">
        <v>0</v>
      </c>
      <c r="M7" s="43">
        <v>0</v>
      </c>
      <c r="N7" s="43">
        <v>0</v>
      </c>
      <c r="O7" s="44">
        <v>100</v>
      </c>
      <c r="P7" s="44">
        <v>0</v>
      </c>
      <c r="Q7" s="44">
        <v>0</v>
      </c>
      <c r="R7" s="44">
        <v>0</v>
      </c>
      <c r="S7" s="45">
        <v>32.15351686984468</v>
      </c>
      <c r="T7" s="45">
        <v>31.518706747580495</v>
      </c>
      <c r="U7" s="45">
        <v>12.46499764295533</v>
      </c>
      <c r="V7" s="45">
        <v>23.862778739619504</v>
      </c>
      <c r="W7" s="45">
        <v>0</v>
      </c>
      <c r="X7" s="46">
        <v>0</v>
      </c>
    </row>
    <row r="8" spans="1:24">
      <c r="A8" s="23">
        <v>5</v>
      </c>
      <c r="B8" s="52">
        <v>0.45684212518046302</v>
      </c>
      <c r="C8" s="53">
        <v>1.9504176536332387</v>
      </c>
      <c r="D8" s="54">
        <v>100</v>
      </c>
      <c r="E8" s="44">
        <v>100</v>
      </c>
      <c r="F8" s="56" t="s">
        <v>4</v>
      </c>
      <c r="G8" s="57" t="s">
        <v>42</v>
      </c>
      <c r="H8" s="57" t="s">
        <v>41</v>
      </c>
      <c r="I8" s="57" t="s">
        <v>39</v>
      </c>
      <c r="J8" s="42">
        <v>42.131611727905508</v>
      </c>
      <c r="K8" s="43">
        <v>23.892125253362227</v>
      </c>
      <c r="L8" s="43">
        <v>3.333376846361126</v>
      </c>
      <c r="M8" s="43">
        <v>26.305646670078353</v>
      </c>
      <c r="N8" s="43">
        <v>4.337239502292789</v>
      </c>
      <c r="O8" s="44">
        <v>100</v>
      </c>
      <c r="P8" s="44">
        <v>0</v>
      </c>
      <c r="Q8" s="44">
        <v>0</v>
      </c>
      <c r="R8" s="44">
        <v>0</v>
      </c>
      <c r="S8" s="45">
        <v>15.753197282042777</v>
      </c>
      <c r="T8" s="45">
        <v>75.348155854787748</v>
      </c>
      <c r="U8" s="45">
        <v>3.3332735338231094</v>
      </c>
      <c r="V8" s="45">
        <v>5.5653733293463441</v>
      </c>
      <c r="W8" s="45">
        <v>0</v>
      </c>
      <c r="X8" s="46">
        <v>0</v>
      </c>
    </row>
    <row r="9" spans="1:24">
      <c r="A9" s="23">
        <v>6</v>
      </c>
      <c r="B9" s="52">
        <v>1.3873416943054242</v>
      </c>
      <c r="C9" s="53">
        <v>6.7929522248297012</v>
      </c>
      <c r="D9" s="54">
        <v>0</v>
      </c>
      <c r="E9" s="44">
        <v>0</v>
      </c>
      <c r="F9" s="56" t="s">
        <v>5</v>
      </c>
      <c r="G9" s="57" t="s">
        <v>43</v>
      </c>
      <c r="H9" s="57" t="s">
        <v>41</v>
      </c>
      <c r="I9" s="57" t="s">
        <v>39</v>
      </c>
      <c r="J9" s="42">
        <v>33.731419996338687</v>
      </c>
      <c r="K9" s="43">
        <v>25.170626559468378</v>
      </c>
      <c r="L9" s="43">
        <v>6.6258359985928523</v>
      </c>
      <c r="M9" s="43">
        <v>30.636231319156309</v>
      </c>
      <c r="N9" s="43">
        <v>3.835886126443782</v>
      </c>
      <c r="O9" s="44">
        <v>100</v>
      </c>
      <c r="P9" s="44">
        <v>0</v>
      </c>
      <c r="Q9" s="44">
        <v>0</v>
      </c>
      <c r="R9" s="44">
        <v>0</v>
      </c>
      <c r="S9" s="45">
        <v>18.284667263109043</v>
      </c>
      <c r="T9" s="45">
        <v>72.490619568105174</v>
      </c>
      <c r="U9" s="45">
        <v>3.0196725162976787</v>
      </c>
      <c r="V9" s="45">
        <v>6.2050406524882122</v>
      </c>
      <c r="W9" s="45">
        <v>0</v>
      </c>
      <c r="X9" s="46">
        <v>0</v>
      </c>
    </row>
    <row r="10" spans="1:24">
      <c r="A10" s="23">
        <v>7</v>
      </c>
      <c r="B10" s="52">
        <v>3.6184955005688408</v>
      </c>
      <c r="C10" s="53">
        <v>4.0048174669088077</v>
      </c>
      <c r="D10" s="54">
        <v>0</v>
      </c>
      <c r="E10" s="44">
        <v>0</v>
      </c>
      <c r="F10" s="56" t="s">
        <v>6</v>
      </c>
      <c r="G10" s="57" t="s">
        <v>44</v>
      </c>
      <c r="H10" s="57" t="s">
        <v>41</v>
      </c>
      <c r="I10" s="57" t="s">
        <v>45</v>
      </c>
      <c r="J10" s="42">
        <v>0</v>
      </c>
      <c r="K10" s="43">
        <v>100</v>
      </c>
      <c r="L10" s="43">
        <v>0</v>
      </c>
      <c r="M10" s="43">
        <v>0</v>
      </c>
      <c r="N10" s="43">
        <v>0</v>
      </c>
      <c r="O10" s="44">
        <v>0</v>
      </c>
      <c r="P10" s="44">
        <v>0</v>
      </c>
      <c r="Q10" s="44">
        <v>100.00000000000024</v>
      </c>
      <c r="R10" s="44">
        <v>0</v>
      </c>
      <c r="S10" s="45">
        <v>9.4534931393773197E-2</v>
      </c>
      <c r="T10" s="45">
        <v>14.339699597285843</v>
      </c>
      <c r="U10" s="45">
        <v>48.442430233015408</v>
      </c>
      <c r="V10" s="45">
        <v>35.252084945340371</v>
      </c>
      <c r="W10" s="45">
        <v>1.2174597703601393</v>
      </c>
      <c r="X10" s="46">
        <v>0.65379052260449522</v>
      </c>
    </row>
    <row r="11" spans="1:24">
      <c r="A11" s="23">
        <v>8</v>
      </c>
      <c r="B11" s="52">
        <v>3.4223105145455377</v>
      </c>
      <c r="C11" s="53">
        <v>5.7997201340740228</v>
      </c>
      <c r="D11" s="54">
        <v>0</v>
      </c>
      <c r="E11" s="44">
        <v>0</v>
      </c>
      <c r="F11" s="56" t="s">
        <v>7</v>
      </c>
      <c r="G11" s="57" t="s">
        <v>46</v>
      </c>
      <c r="H11" s="57" t="s">
        <v>41</v>
      </c>
      <c r="I11" s="57" t="s">
        <v>45</v>
      </c>
      <c r="J11" s="42">
        <v>60.947755903819299</v>
      </c>
      <c r="K11" s="43">
        <v>26.861653797539507</v>
      </c>
      <c r="L11" s="43">
        <v>7.2957212271050773</v>
      </c>
      <c r="M11" s="43">
        <v>4.8275718000256997</v>
      </c>
      <c r="N11" s="43">
        <v>6.7297271510426526E-2</v>
      </c>
      <c r="O11" s="44">
        <v>0</v>
      </c>
      <c r="P11" s="44">
        <v>0</v>
      </c>
      <c r="Q11" s="44">
        <v>100</v>
      </c>
      <c r="R11" s="44">
        <v>0</v>
      </c>
      <c r="S11" s="45">
        <v>0.59319988723938211</v>
      </c>
      <c r="T11" s="45">
        <v>12.949272781850151</v>
      </c>
      <c r="U11" s="45">
        <v>45.02364934447197</v>
      </c>
      <c r="V11" s="45">
        <v>38.188070512877594</v>
      </c>
      <c r="W11" s="45">
        <v>1.7926175061103362</v>
      </c>
      <c r="X11" s="46">
        <v>1.4531899674505695</v>
      </c>
    </row>
    <row r="12" spans="1:24">
      <c r="A12" s="23">
        <v>9</v>
      </c>
      <c r="B12" s="52">
        <v>2.401299765675017</v>
      </c>
      <c r="C12" s="53">
        <v>5.8812471702177618</v>
      </c>
      <c r="D12" s="54">
        <v>0</v>
      </c>
      <c r="E12" s="44">
        <v>0</v>
      </c>
      <c r="F12" s="56" t="s">
        <v>8</v>
      </c>
      <c r="G12" s="57" t="s">
        <v>47</v>
      </c>
      <c r="H12" s="57" t="s">
        <v>41</v>
      </c>
      <c r="I12" s="57" t="s">
        <v>45</v>
      </c>
      <c r="J12" s="42">
        <v>45.318763629487052</v>
      </c>
      <c r="K12" s="43">
        <v>27.156117716227648</v>
      </c>
      <c r="L12" s="43">
        <v>5.7162634030591946</v>
      </c>
      <c r="M12" s="43">
        <v>19.748324830585098</v>
      </c>
      <c r="N12" s="43">
        <v>2.0605304206410153</v>
      </c>
      <c r="O12" s="44">
        <v>58.219591331631172</v>
      </c>
      <c r="P12" s="44">
        <v>6.7116277497007149</v>
      </c>
      <c r="Q12" s="44">
        <v>18.494816112595139</v>
      </c>
      <c r="R12" s="44">
        <v>16.573964806073306</v>
      </c>
      <c r="S12" s="45">
        <v>21.364670720427011</v>
      </c>
      <c r="T12" s="45">
        <v>52.373359798110172</v>
      </c>
      <c r="U12" s="45">
        <v>15.728717088939872</v>
      </c>
      <c r="V12" s="45">
        <v>7.6644580804308884</v>
      </c>
      <c r="W12" s="45">
        <v>0.66646174549043291</v>
      </c>
      <c r="X12" s="46">
        <v>2.202332566601612</v>
      </c>
    </row>
    <row r="13" spans="1:24">
      <c r="A13" s="23">
        <v>10</v>
      </c>
      <c r="B13" s="52">
        <v>6.6805569689260667</v>
      </c>
      <c r="C13" s="53">
        <v>4.1574028850000024</v>
      </c>
      <c r="D13" s="54">
        <v>0</v>
      </c>
      <c r="E13" s="44">
        <v>0</v>
      </c>
      <c r="F13" s="56" t="s">
        <v>9</v>
      </c>
      <c r="G13" s="57" t="s">
        <v>48</v>
      </c>
      <c r="H13" s="57">
        <v>0</v>
      </c>
      <c r="I13" s="57" t="s">
        <v>49</v>
      </c>
      <c r="J13" s="42">
        <v>99.999999999999972</v>
      </c>
      <c r="K13" s="43">
        <v>0</v>
      </c>
      <c r="L13" s="43">
        <v>0</v>
      </c>
      <c r="M13" s="43">
        <v>0</v>
      </c>
      <c r="N13" s="43">
        <v>0</v>
      </c>
      <c r="O13" s="44">
        <v>0</v>
      </c>
      <c r="P13" s="44">
        <v>0</v>
      </c>
      <c r="Q13" s="44">
        <v>100</v>
      </c>
      <c r="R13" s="44">
        <v>0</v>
      </c>
      <c r="S13" s="45">
        <v>0</v>
      </c>
      <c r="T13" s="45">
        <v>0</v>
      </c>
      <c r="U13" s="45">
        <v>0</v>
      </c>
      <c r="V13" s="45">
        <v>0</v>
      </c>
      <c r="W13" s="45">
        <v>100</v>
      </c>
      <c r="X13" s="46">
        <v>0</v>
      </c>
    </row>
    <row r="14" spans="1:24">
      <c r="A14" s="23">
        <v>11</v>
      </c>
      <c r="B14" s="52">
        <v>4.6523076027007644</v>
      </c>
      <c r="C14" s="53">
        <v>7.2207325587739808</v>
      </c>
      <c r="D14" s="54">
        <v>0</v>
      </c>
      <c r="E14" s="44">
        <v>0</v>
      </c>
      <c r="F14" s="56" t="s">
        <v>10</v>
      </c>
      <c r="G14" s="57" t="s">
        <v>50</v>
      </c>
      <c r="H14" s="57">
        <v>0</v>
      </c>
      <c r="I14" s="57" t="s">
        <v>39</v>
      </c>
      <c r="J14" s="42">
        <v>0</v>
      </c>
      <c r="K14" s="43">
        <v>0</v>
      </c>
      <c r="L14" s="43">
        <v>0</v>
      </c>
      <c r="M14" s="43">
        <v>0</v>
      </c>
      <c r="N14" s="43">
        <v>100</v>
      </c>
      <c r="O14" s="44">
        <v>100</v>
      </c>
      <c r="P14" s="44">
        <v>0</v>
      </c>
      <c r="Q14" s="44">
        <v>0</v>
      </c>
      <c r="R14" s="44">
        <v>0</v>
      </c>
      <c r="S14" s="45">
        <v>0</v>
      </c>
      <c r="T14" s="45">
        <v>2.3827057819999999</v>
      </c>
      <c r="U14" s="45">
        <v>9.1852591700000019</v>
      </c>
      <c r="V14" s="45">
        <v>45.007397818000008</v>
      </c>
      <c r="W14" s="45">
        <v>43.424637218000015</v>
      </c>
      <c r="X14" s="46">
        <v>0</v>
      </c>
    </row>
    <row r="15" spans="1:24">
      <c r="A15" s="61">
        <v>12</v>
      </c>
      <c r="B15" s="59">
        <v>6.5713940604441543</v>
      </c>
      <c r="C15" s="60">
        <v>4.6217134655411289</v>
      </c>
      <c r="D15" s="55">
        <v>0</v>
      </c>
      <c r="E15" s="34">
        <v>0</v>
      </c>
      <c r="F15" s="62" t="s">
        <v>11</v>
      </c>
      <c r="G15" s="63" t="s">
        <v>51</v>
      </c>
      <c r="H15" s="63" t="s">
        <v>52</v>
      </c>
      <c r="I15" s="63" t="s">
        <v>39</v>
      </c>
      <c r="J15" s="32">
        <v>0</v>
      </c>
      <c r="K15" s="33">
        <v>0</v>
      </c>
      <c r="L15" s="33">
        <v>0</v>
      </c>
      <c r="M15" s="33">
        <v>0</v>
      </c>
      <c r="N15" s="33">
        <v>100</v>
      </c>
      <c r="O15" s="34">
        <v>100</v>
      </c>
      <c r="P15" s="34">
        <v>0</v>
      </c>
      <c r="Q15" s="34">
        <v>0</v>
      </c>
      <c r="R15" s="34">
        <v>0</v>
      </c>
      <c r="S15" s="35">
        <v>0</v>
      </c>
      <c r="T15" s="35">
        <v>0</v>
      </c>
      <c r="U15" s="35">
        <v>27.795627000000003</v>
      </c>
      <c r="V15" s="35">
        <v>51.682161999999984</v>
      </c>
      <c r="W15" s="35">
        <v>20.522211999999996</v>
      </c>
      <c r="X15" s="36">
        <v>0</v>
      </c>
    </row>
    <row r="16" spans="1:24">
      <c r="J16" s="24" t="s">
        <v>13</v>
      </c>
      <c r="K16" s="25"/>
      <c r="L16" s="25"/>
      <c r="M16" s="25"/>
      <c r="N16" s="25"/>
      <c r="O16" s="26" t="s">
        <v>14</v>
      </c>
      <c r="P16" s="26"/>
      <c r="Q16" s="26"/>
      <c r="R16" s="26"/>
      <c r="S16" s="27" t="s">
        <v>15</v>
      </c>
      <c r="T16" s="27"/>
      <c r="U16" s="27"/>
      <c r="V16" s="27"/>
      <c r="W16" s="27"/>
      <c r="X16" s="28"/>
    </row>
    <row r="17" spans="6:24">
      <c r="F17" s="129" t="s">
        <v>132</v>
      </c>
      <c r="J17" s="32" t="s">
        <v>20</v>
      </c>
      <c r="K17" s="33" t="s">
        <v>21</v>
      </c>
      <c r="L17" s="33" t="s">
        <v>22</v>
      </c>
      <c r="M17" s="33" t="s">
        <v>23</v>
      </c>
      <c r="N17" s="33" t="s">
        <v>24</v>
      </c>
      <c r="O17" s="34" t="s">
        <v>25</v>
      </c>
      <c r="P17" s="34" t="s">
        <v>26</v>
      </c>
      <c r="Q17" s="34" t="s">
        <v>27</v>
      </c>
      <c r="R17" s="34" t="s">
        <v>28</v>
      </c>
      <c r="S17" s="35" t="s">
        <v>29</v>
      </c>
      <c r="T17" s="35" t="s">
        <v>30</v>
      </c>
      <c r="U17" s="35" t="s">
        <v>31</v>
      </c>
      <c r="V17" s="35" t="s">
        <v>32</v>
      </c>
      <c r="W17" s="35" t="s">
        <v>33</v>
      </c>
      <c r="X17" s="36" t="s">
        <v>34</v>
      </c>
    </row>
    <row r="18" spans="6:24">
      <c r="F18" s="56" t="str" cm="1">
        <f t="array" ref="F18">INDEX(F$4:F$15,FundChoice)</f>
        <v>Benchmark</v>
      </c>
      <c r="G18" s="57" t="str" cm="1">
        <f t="array" ref="G18">INDEX(G$4:G$15,FundChoice)</f>
        <v>Benchmark</v>
      </c>
      <c r="H18" s="57" cm="1">
        <f t="array" ref="H18">INDEX(H$4:H$15,FundChoice)</f>
        <v>0</v>
      </c>
      <c r="I18" s="57" cm="1">
        <f t="array" ref="I18">INDEX(I$4:I$15,FundChoice)</f>
        <v>0</v>
      </c>
      <c r="J18" s="42" cm="1">
        <f t="array" ref="J18">INDEX(J$4:J$15,FundChoice)</f>
        <v>42.131611727905508</v>
      </c>
      <c r="K18" s="43" cm="1">
        <f t="array" ref="K18">INDEX(K$4:K$15,FundChoice)</f>
        <v>23.892125253362227</v>
      </c>
      <c r="L18" s="43" cm="1">
        <f t="array" ref="L18">INDEX(L$4:L$15,FundChoice)</f>
        <v>3.333376846361126</v>
      </c>
      <c r="M18" s="43" cm="1">
        <f t="array" ref="M18">INDEX(M$4:M$15,FundChoice)</f>
        <v>26.305646670078353</v>
      </c>
      <c r="N18" s="43" cm="1">
        <f t="array" ref="N18">INDEX(N$4:N$15,FundChoice)</f>
        <v>4.337239502292789</v>
      </c>
      <c r="O18" s="44" cm="1">
        <f t="array" ref="O18">INDEX(O$4:O$15,FundChoice)</f>
        <v>100</v>
      </c>
      <c r="P18" s="44" cm="1">
        <f t="array" ref="P18">INDEX(P$4:P$15,FundChoice)</f>
        <v>0</v>
      </c>
      <c r="Q18" s="44" cm="1">
        <f t="array" ref="Q18">INDEX(Q$4:Q$15,FundChoice)</f>
        <v>0</v>
      </c>
      <c r="R18" s="44" cm="1">
        <f t="array" ref="R18">INDEX(R$4:R$15,FundChoice)</f>
        <v>0</v>
      </c>
      <c r="S18" s="45" cm="1">
        <f t="array" ref="S18">INDEX(S$4:S$15,FundChoice)</f>
        <v>15.753197282042777</v>
      </c>
      <c r="T18" s="45" cm="1">
        <f t="array" ref="T18">INDEX(T$4:T$15,FundChoice)</f>
        <v>75.348155854787748</v>
      </c>
      <c r="U18" s="45" cm="1">
        <f t="array" ref="U18">INDEX(U$4:U$15,FundChoice)</f>
        <v>3.3332735338231094</v>
      </c>
      <c r="V18" s="45" cm="1">
        <f t="array" ref="V18">INDEX(V$4:V$15,FundChoice)</f>
        <v>5.5653733293463441</v>
      </c>
      <c r="W18" s="45" cm="1">
        <f t="array" ref="W18">INDEX(W$4:W$15,FundChoice)</f>
        <v>0</v>
      </c>
      <c r="X18" s="46" cm="1">
        <f t="array" ref="X18">INDEX(X$4:X$15,FundChoice)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0417-9C31-1343-B8F0-6FCDA960B6E7}">
  <sheetPr codeName="Sheet3"/>
  <dimension ref="A2:M72"/>
  <sheetViews>
    <sheetView workbookViewId="0">
      <selection activeCell="L28" sqref="L28"/>
    </sheetView>
  </sheetViews>
  <sheetFormatPr defaultColWidth="11" defaultRowHeight="15.5"/>
  <cols>
    <col min="1" max="1" width="14.5" bestFit="1" customWidth="1"/>
    <col min="7" max="7" width="19.33203125" customWidth="1"/>
  </cols>
  <sheetData>
    <row r="2" spans="1:12">
      <c r="B2" t="s">
        <v>91</v>
      </c>
      <c r="C2" t="s">
        <v>88</v>
      </c>
      <c r="F2" t="s">
        <v>105</v>
      </c>
      <c r="G2">
        <v>1</v>
      </c>
      <c r="H2" t="str" cm="1">
        <f t="array" ref="H2">INDEX(CcyList,CcyChoice)</f>
        <v>USD</v>
      </c>
    </row>
    <row r="3" spans="1:12">
      <c r="C3" t="s">
        <v>87</v>
      </c>
      <c r="F3" t="s">
        <v>106</v>
      </c>
    </row>
    <row r="4" spans="1:12">
      <c r="C4" t="s">
        <v>86</v>
      </c>
      <c r="F4" t="s">
        <v>107</v>
      </c>
    </row>
    <row r="5" spans="1:12">
      <c r="F5" t="s">
        <v>108</v>
      </c>
    </row>
    <row r="6" spans="1:12">
      <c r="B6" s="31">
        <f>ScenChoice</f>
        <v>2</v>
      </c>
      <c r="C6" t="str" cm="1">
        <f t="array" ref="C6">INDEX(ScenList, ScenChoice)</f>
        <v>ALTERNATIVE - INFLATION</v>
      </c>
    </row>
    <row r="8" spans="1:12">
      <c r="C8" t="s">
        <v>85</v>
      </c>
      <c r="D8" t="s">
        <v>88</v>
      </c>
      <c r="E8" t="s">
        <v>87</v>
      </c>
      <c r="F8" t="s">
        <v>86</v>
      </c>
      <c r="H8" t="str">
        <f>C6</f>
        <v>ALTERNATIVE - INFLATION</v>
      </c>
    </row>
    <row r="9" spans="1:12">
      <c r="A9" t="s">
        <v>68</v>
      </c>
      <c r="B9" t="s">
        <v>69</v>
      </c>
      <c r="C9">
        <v>0.48</v>
      </c>
      <c r="D9">
        <v>0.75</v>
      </c>
      <c r="E9">
        <v>1</v>
      </c>
      <c r="F9">
        <v>0.3</v>
      </c>
      <c r="H9" s="76" cm="1">
        <f t="array" ref="H9">INDEX(D9:F9,ScenChoice)</f>
        <v>1</v>
      </c>
    </row>
    <row r="10" spans="1:12">
      <c r="B10" t="s">
        <v>70</v>
      </c>
      <c r="C10" s="76">
        <v>1.9406275867494607</v>
      </c>
      <c r="D10">
        <v>2.75</v>
      </c>
      <c r="E10">
        <v>3.25</v>
      </c>
      <c r="F10">
        <v>1.5</v>
      </c>
      <c r="H10" s="76" cm="1">
        <f t="array" ref="H10">INDEX(D10:F10,ScenChoice)</f>
        <v>3.25</v>
      </c>
    </row>
    <row r="11" spans="1:12">
      <c r="B11" t="s">
        <v>71</v>
      </c>
      <c r="C11">
        <v>0.88</v>
      </c>
      <c r="D11">
        <v>1.75</v>
      </c>
      <c r="E11">
        <v>2.75</v>
      </c>
      <c r="F11">
        <v>1</v>
      </c>
      <c r="H11" s="76" cm="1">
        <f t="array" ref="H11">INDEX(D11:F11,ScenChoice)</f>
        <v>2.75</v>
      </c>
    </row>
    <row r="12" spans="1:12">
      <c r="B12" t="s">
        <v>72</v>
      </c>
      <c r="C12">
        <v>1.87</v>
      </c>
      <c r="D12" s="76">
        <v>2.2450000000000001</v>
      </c>
      <c r="E12">
        <v>3.5</v>
      </c>
      <c r="F12">
        <v>1.5</v>
      </c>
      <c r="H12" s="76" cm="1">
        <f t="array" ref="H12">INDEX(D12:F12,ScenChoice)</f>
        <v>3.5</v>
      </c>
    </row>
    <row r="13" spans="1:12">
      <c r="B13" t="s">
        <v>73</v>
      </c>
      <c r="C13">
        <v>1.05</v>
      </c>
      <c r="D13">
        <v>1.75</v>
      </c>
      <c r="E13">
        <v>2.5</v>
      </c>
      <c r="F13">
        <v>0.85</v>
      </c>
      <c r="H13" s="76" cm="1">
        <f t="array" ref="H13">INDEX(D13:F13,ScenChoice)</f>
        <v>2.5</v>
      </c>
    </row>
    <row r="14" spans="1:12">
      <c r="B14" t="s">
        <v>74</v>
      </c>
      <c r="C14" s="76">
        <v>1.9621698733029815</v>
      </c>
      <c r="D14" s="76">
        <v>3.2459174345152353</v>
      </c>
      <c r="E14" s="76">
        <v>3.7459174345152353</v>
      </c>
      <c r="F14" s="76">
        <v>2.25</v>
      </c>
      <c r="H14" s="76" cm="1">
        <f t="array" ref="H14">INDEX(D14:F14,ScenChoice)</f>
        <v>3.7459174345152353</v>
      </c>
      <c r="L14" s="76"/>
    </row>
    <row r="15" spans="1:12">
      <c r="B15" t="s">
        <v>75</v>
      </c>
      <c r="C15" s="76">
        <v>0.19600000000000001</v>
      </c>
      <c r="D15" s="76">
        <v>0.29749999999999999</v>
      </c>
      <c r="E15" s="76">
        <v>0.49750000000000005</v>
      </c>
      <c r="F15" s="76">
        <v>0.19750000000000001</v>
      </c>
      <c r="H15" s="76" cm="1">
        <f t="array" ref="H15">INDEX(D15:F15,ScenChoice)</f>
        <v>0.49750000000000005</v>
      </c>
      <c r="L15" s="76"/>
    </row>
    <row r="16" spans="1:12">
      <c r="B16" t="s">
        <v>76</v>
      </c>
      <c r="C16" s="76">
        <v>0.96396468120561718</v>
      </c>
      <c r="D16" s="76">
        <v>1.1811807342920977</v>
      </c>
      <c r="E16">
        <v>1.55</v>
      </c>
      <c r="F16" s="76">
        <v>0.8311807342920976</v>
      </c>
      <c r="H16" s="76" cm="1">
        <f t="array" ref="H16">INDEX(D16:F16,ScenChoice)</f>
        <v>1.55</v>
      </c>
      <c r="L16" s="76"/>
    </row>
    <row r="17" spans="1:10">
      <c r="B17" t="s">
        <v>77</v>
      </c>
      <c r="C17">
        <v>180</v>
      </c>
      <c r="D17">
        <v>150</v>
      </c>
      <c r="E17">
        <v>190</v>
      </c>
      <c r="F17">
        <v>270</v>
      </c>
      <c r="H17" cm="1">
        <f t="array" ref="H17">INDEX(D17:F17,ScenChoice)</f>
        <v>190</v>
      </c>
    </row>
    <row r="18" spans="1:10">
      <c r="B18" t="s">
        <v>78</v>
      </c>
      <c r="C18">
        <v>600</v>
      </c>
      <c r="D18">
        <v>540</v>
      </c>
      <c r="E18">
        <v>570</v>
      </c>
      <c r="F18">
        <v>800</v>
      </c>
      <c r="H18" cm="1">
        <f t="array" ref="H18">INDEX(D18:F18,ScenChoice)</f>
        <v>570</v>
      </c>
    </row>
    <row r="19" spans="1:10">
      <c r="B19" t="s">
        <v>79</v>
      </c>
      <c r="C19">
        <v>2</v>
      </c>
      <c r="D19">
        <v>3</v>
      </c>
      <c r="E19">
        <v>2</v>
      </c>
      <c r="F19">
        <v>5</v>
      </c>
      <c r="H19" cm="1">
        <f t="array" ref="H19">INDEX(D19:F19,ScenChoice)</f>
        <v>2</v>
      </c>
    </row>
    <row r="20" spans="1:10">
      <c r="B20" t="s">
        <v>80</v>
      </c>
      <c r="C20">
        <v>30</v>
      </c>
      <c r="D20">
        <v>30</v>
      </c>
      <c r="E20">
        <v>30</v>
      </c>
      <c r="F20">
        <v>30</v>
      </c>
      <c r="H20" cm="1">
        <f t="array" ref="H20">INDEX(D20:F20,ScenChoice)</f>
        <v>30</v>
      </c>
    </row>
    <row r="21" spans="1:10">
      <c r="B21" t="s">
        <v>10</v>
      </c>
      <c r="C21">
        <v>340</v>
      </c>
      <c r="D21">
        <v>250.00000000000003</v>
      </c>
      <c r="E21">
        <v>300</v>
      </c>
      <c r="F21">
        <v>440</v>
      </c>
      <c r="H21" cm="1">
        <f t="array" ref="H21">INDEX(D21:F21,ScenChoice)</f>
        <v>300</v>
      </c>
    </row>
    <row r="22" spans="1:10">
      <c r="B22" t="s">
        <v>81</v>
      </c>
      <c r="C22">
        <v>6.3</v>
      </c>
      <c r="D22">
        <v>6.5</v>
      </c>
      <c r="E22">
        <v>8</v>
      </c>
      <c r="F22">
        <v>6.5</v>
      </c>
      <c r="H22" cm="1">
        <f t="array" ref="H22">INDEX(D22:F22,ScenChoice)</f>
        <v>8</v>
      </c>
    </row>
    <row r="23" spans="1:10">
      <c r="B23" t="s">
        <v>82</v>
      </c>
      <c r="C23">
        <v>1.333</v>
      </c>
      <c r="D23">
        <v>1.4</v>
      </c>
      <c r="E23">
        <v>1.45</v>
      </c>
      <c r="F23">
        <v>1.35</v>
      </c>
      <c r="H23" cm="1">
        <f t="array" ref="H23">INDEX(D23:F23,ScenChoice)</f>
        <v>1.45</v>
      </c>
    </row>
    <row r="24" spans="1:10">
      <c r="B24" t="s">
        <v>144</v>
      </c>
      <c r="C24">
        <v>1.6040000000000001</v>
      </c>
      <c r="D24">
        <v>1.57</v>
      </c>
      <c r="E24">
        <v>1.6</v>
      </c>
      <c r="F24">
        <v>1.4</v>
      </c>
      <c r="H24" cm="1">
        <f t="array" ref="H24">INDEX(D24:F24,ScenChoice)</f>
        <v>1.6</v>
      </c>
    </row>
    <row r="25" spans="1:10">
      <c r="B25" t="s">
        <v>83</v>
      </c>
      <c r="C25">
        <v>81</v>
      </c>
      <c r="D25">
        <v>79.999999999999986</v>
      </c>
      <c r="E25">
        <v>73.5</v>
      </c>
      <c r="F25">
        <v>79.999999999999986</v>
      </c>
      <c r="H25" cm="1">
        <f t="array" ref="H25">INDEX(D25:F25,ScenChoice)</f>
        <v>73.5</v>
      </c>
    </row>
    <row r="26" spans="1:10">
      <c r="A26" t="s">
        <v>89</v>
      </c>
      <c r="B26" t="s">
        <v>84</v>
      </c>
      <c r="C26">
        <v>0</v>
      </c>
      <c r="D26">
        <v>-5</v>
      </c>
      <c r="E26">
        <v>-5</v>
      </c>
      <c r="F26">
        <v>7.5</v>
      </c>
      <c r="H26" cm="1">
        <f t="array" ref="H26">INDEX(D26:F26,ScenChoice)</f>
        <v>-5</v>
      </c>
    </row>
    <row r="28" spans="1:10">
      <c r="B28" t="s">
        <v>90</v>
      </c>
      <c r="I28" s="75" t="s">
        <v>97</v>
      </c>
      <c r="J28" s="75" t="s">
        <v>98</v>
      </c>
    </row>
    <row r="29" spans="1:10">
      <c r="A29" t="s">
        <v>20</v>
      </c>
      <c r="B29">
        <v>0.25</v>
      </c>
      <c r="C29">
        <v>0.48</v>
      </c>
      <c r="D29">
        <v>0.75</v>
      </c>
      <c r="E29">
        <v>1</v>
      </c>
      <c r="F29">
        <v>0.3</v>
      </c>
      <c r="G29">
        <v>1</v>
      </c>
      <c r="H29">
        <v>0.25</v>
      </c>
      <c r="I29" cm="1">
        <f t="array" ref="I29">INDEX(Spots,(CcyChoice-1)*11+$G29)</f>
        <v>0.48</v>
      </c>
      <c r="J29" cm="1">
        <f t="array" ref="J29">INDEX(Fcasts,(CcyChoice-1)*11+$G29,ScenChoice)</f>
        <v>1</v>
      </c>
    </row>
    <row r="30" spans="1:10">
      <c r="B30">
        <v>1</v>
      </c>
      <c r="C30">
        <v>0.42451332412490506</v>
      </c>
      <c r="D30">
        <v>0.73600350975956197</v>
      </c>
      <c r="E30">
        <v>1.0052342789903312</v>
      </c>
      <c r="F30">
        <v>0.22446504822110039</v>
      </c>
      <c r="G30">
        <v>2</v>
      </c>
      <c r="H30">
        <v>1</v>
      </c>
      <c r="I30" cm="1">
        <f t="array" ref="I30">INDEX(Spots,(CcyChoice-1)*11+$G30)</f>
        <v>0.42451332412490506</v>
      </c>
      <c r="J30" cm="1">
        <f t="array" ref="J30">INDEX(Fcasts,(CcyChoice-1)*11+$G30,ScenChoice)</f>
        <v>1.0052342789903312</v>
      </c>
    </row>
    <row r="31" spans="1:10">
      <c r="B31">
        <v>2</v>
      </c>
      <c r="C31">
        <v>0.56520374728482348</v>
      </c>
      <c r="D31">
        <v>0.93201418043235618</v>
      </c>
      <c r="E31">
        <v>1.226885975304151</v>
      </c>
      <c r="F31">
        <v>0.33842443684261259</v>
      </c>
      <c r="G31">
        <v>3</v>
      </c>
      <c r="H31">
        <v>2</v>
      </c>
      <c r="I31" cm="1">
        <f t="array" ref="I31">INDEX(Spots,(CcyChoice-1)*11+$G31)</f>
        <v>0.56520374728482348</v>
      </c>
      <c r="J31" cm="1">
        <f t="array" ref="J31">INDEX(Fcasts,(CcyChoice-1)*11+$G31,ScenChoice)</f>
        <v>1.226885975304151</v>
      </c>
    </row>
    <row r="32" spans="1:10">
      <c r="B32">
        <v>3</v>
      </c>
      <c r="C32">
        <v>0.7058941704447419</v>
      </c>
      <c r="D32">
        <v>1.1280248511051505</v>
      </c>
      <c r="E32">
        <v>1.448537671617971</v>
      </c>
      <c r="F32">
        <v>0.45238382546412481</v>
      </c>
      <c r="G32">
        <v>4</v>
      </c>
      <c r="H32">
        <v>3</v>
      </c>
      <c r="I32" cm="1">
        <f t="array" ref="I32">INDEX(Spots,(CcyChoice-1)*11+$G32)</f>
        <v>0.7058941704447419</v>
      </c>
      <c r="J32" cm="1">
        <f t="array" ref="J32">INDEX(Fcasts,(CcyChoice-1)*11+$G32,ScenChoice)</f>
        <v>1.448537671617971</v>
      </c>
    </row>
    <row r="33" spans="1:10">
      <c r="B33">
        <v>5</v>
      </c>
      <c r="C33">
        <v>0.98727501676457863</v>
      </c>
      <c r="D33">
        <v>1.5200461924507387</v>
      </c>
      <c r="E33">
        <v>1.8918410642456105</v>
      </c>
      <c r="F33">
        <v>0.68030260270714904</v>
      </c>
      <c r="G33">
        <v>5</v>
      </c>
      <c r="H33">
        <v>5</v>
      </c>
      <c r="I33" cm="1">
        <f t="array" ref="I33">INDEX(Spots,(CcyChoice-1)*11+$G33)</f>
        <v>0.98727501676457863</v>
      </c>
      <c r="J33" cm="1">
        <f t="array" ref="J33">INDEX(Fcasts,(CcyChoice-1)*11+$G33,ScenChoice)</f>
        <v>1.8918410642456105</v>
      </c>
    </row>
    <row r="34" spans="1:10">
      <c r="B34">
        <v>7</v>
      </c>
      <c r="C34">
        <v>1.3686160447585314</v>
      </c>
      <c r="D34">
        <v>2.0120277154704431</v>
      </c>
      <c r="E34">
        <v>2.4351046385473665</v>
      </c>
      <c r="F34">
        <v>1.0081815616242895</v>
      </c>
      <c r="G34">
        <v>6</v>
      </c>
      <c r="H34">
        <v>7</v>
      </c>
      <c r="I34" cm="1">
        <f t="array" ref="I34">INDEX(Spots,(CcyChoice-1)*11+$G34)</f>
        <v>1.3686160447585314</v>
      </c>
      <c r="J34" cm="1">
        <f t="array" ref="J34">INDEX(Fcasts,(CcyChoice-1)*11+$G34,ScenChoice)</f>
        <v>2.4351046385473665</v>
      </c>
    </row>
    <row r="35" spans="1:10">
      <c r="B35">
        <v>10</v>
      </c>
      <c r="C35">
        <v>1.9406275867494607</v>
      </c>
      <c r="D35">
        <v>2.75</v>
      </c>
      <c r="E35">
        <v>3.25</v>
      </c>
      <c r="F35">
        <v>1.5</v>
      </c>
      <c r="G35">
        <v>7</v>
      </c>
      <c r="H35">
        <v>10</v>
      </c>
      <c r="I35" cm="1">
        <f t="array" ref="I35">INDEX(Spots,(CcyChoice-1)*11+$G35)</f>
        <v>1.9406275867494607</v>
      </c>
      <c r="J35" cm="1">
        <f t="array" ref="J35">INDEX(Fcasts,(CcyChoice-1)*11+$G35,ScenChoice)</f>
        <v>3.25</v>
      </c>
    </row>
    <row r="36" spans="1:10">
      <c r="B36">
        <v>15</v>
      </c>
      <c r="C36">
        <v>2.4371927959048865</v>
      </c>
      <c r="D36">
        <v>3.2465652091554258</v>
      </c>
      <c r="E36">
        <v>3.7465652091554258</v>
      </c>
      <c r="F36">
        <v>1.9965652091554258</v>
      </c>
      <c r="G36">
        <v>8</v>
      </c>
      <c r="H36">
        <v>15</v>
      </c>
      <c r="I36" cm="1">
        <f t="array" ref="I36">INDEX(Spots,(CcyChoice-1)*11+$G36)</f>
        <v>2.4371927959048865</v>
      </c>
      <c r="J36" cm="1">
        <f t="array" ref="J36">INDEX(Fcasts,(CcyChoice-1)*11+$G36,ScenChoice)</f>
        <v>3.7465652091554258</v>
      </c>
    </row>
    <row r="37" spans="1:10">
      <c r="B37">
        <v>20</v>
      </c>
      <c r="C37">
        <v>2.9337580050603118</v>
      </c>
      <c r="D37">
        <v>3.7431304183108511</v>
      </c>
      <c r="E37">
        <v>4.2431304183108516</v>
      </c>
      <c r="F37">
        <v>2.4931304183108511</v>
      </c>
      <c r="G37">
        <v>9</v>
      </c>
      <c r="H37">
        <v>20</v>
      </c>
      <c r="I37" cm="1">
        <f t="array" ref="I37">INDEX(Spots,(CcyChoice-1)*11+$G37)</f>
        <v>2.9337580050603118</v>
      </c>
      <c r="J37" cm="1">
        <f t="array" ref="J37">INDEX(Fcasts,(CcyChoice-1)*11+$G37,ScenChoice)</f>
        <v>4.2431304183108516</v>
      </c>
    </row>
    <row r="38" spans="1:10">
      <c r="B38">
        <v>25</v>
      </c>
      <c r="C38">
        <v>3.1820406096380243</v>
      </c>
      <c r="D38">
        <v>3.9914130228885636</v>
      </c>
      <c r="E38">
        <v>4.4914130228885636</v>
      </c>
      <c r="F38">
        <v>2.7414130228885636</v>
      </c>
      <c r="G38">
        <v>10</v>
      </c>
      <c r="H38">
        <v>25</v>
      </c>
      <c r="I38" cm="1">
        <f t="array" ref="I38">INDEX(Spots,(CcyChoice-1)*11+$G38)</f>
        <v>3.1820406096380243</v>
      </c>
      <c r="J38" cm="1">
        <f t="array" ref="J38">INDEX(Fcasts,(CcyChoice-1)*11+$G38,ScenChoice)</f>
        <v>4.4914130228885636</v>
      </c>
    </row>
    <row r="39" spans="1:10">
      <c r="B39">
        <v>30</v>
      </c>
      <c r="C39">
        <v>3.4303232142157372</v>
      </c>
      <c r="D39">
        <v>4.2396956274662765</v>
      </c>
      <c r="E39">
        <v>4.7396956274662765</v>
      </c>
      <c r="F39">
        <v>2.9896956274662765</v>
      </c>
      <c r="G39">
        <v>11</v>
      </c>
      <c r="H39">
        <v>30</v>
      </c>
      <c r="I39" cm="1">
        <f t="array" ref="I39">INDEX(Spots,(CcyChoice-1)*11+$G39)</f>
        <v>3.4303232142157372</v>
      </c>
      <c r="J39" cm="1">
        <f t="array" ref="J39">INDEX(Fcasts,(CcyChoice-1)*11+$G39,ScenChoice)</f>
        <v>4.7396956274662765</v>
      </c>
    </row>
    <row r="40" spans="1:10">
      <c r="A40" t="s">
        <v>21</v>
      </c>
      <c r="B40">
        <v>0.25</v>
      </c>
      <c r="C40">
        <v>0.88</v>
      </c>
      <c r="D40">
        <v>1.75</v>
      </c>
      <c r="E40">
        <v>2.75</v>
      </c>
      <c r="F40">
        <v>1</v>
      </c>
    </row>
    <row r="41" spans="1:10">
      <c r="B41">
        <v>1</v>
      </c>
      <c r="C41">
        <v>0.9871415351240076</v>
      </c>
      <c r="D41">
        <v>1.8190646120470846</v>
      </c>
      <c r="E41">
        <v>2.8386799966624694</v>
      </c>
      <c r="F41">
        <v>1.0694492274317</v>
      </c>
    </row>
    <row r="42" spans="1:10">
      <c r="B42">
        <v>2</v>
      </c>
      <c r="C42">
        <v>1.231557970530536</v>
      </c>
      <c r="D42">
        <v>2.0127118166843823</v>
      </c>
      <c r="E42">
        <v>3.058481047453613</v>
      </c>
      <c r="F42">
        <v>1.2636092525818181</v>
      </c>
    </row>
    <row r="43" spans="1:10">
      <c r="B43">
        <v>3</v>
      </c>
      <c r="C43">
        <v>1.4759744059370643</v>
      </c>
      <c r="D43">
        <v>2.2063590213216799</v>
      </c>
      <c r="E43">
        <v>3.2782820982447567</v>
      </c>
      <c r="F43">
        <v>1.4577692777319362</v>
      </c>
    </row>
    <row r="44" spans="1:10">
      <c r="B44">
        <v>5</v>
      </c>
      <c r="C44">
        <v>1.964807276750121</v>
      </c>
      <c r="D44">
        <v>2.5936534305962748</v>
      </c>
      <c r="E44">
        <v>3.717884199827044</v>
      </c>
      <c r="F44">
        <v>1.8460893280321724</v>
      </c>
    </row>
    <row r="45" spans="1:10">
      <c r="B45">
        <v>7</v>
      </c>
      <c r="C45">
        <v>2.5181526358769006</v>
      </c>
      <c r="D45">
        <v>3.0454603281845931</v>
      </c>
      <c r="E45">
        <v>4.2219987897230551</v>
      </c>
      <c r="F45">
        <v>2.2989218666461313</v>
      </c>
    </row>
    <row r="46" spans="1:10">
      <c r="B46">
        <v>10</v>
      </c>
      <c r="C46">
        <v>3.3481706745670703</v>
      </c>
      <c r="D46">
        <v>3.7231706745670703</v>
      </c>
      <c r="E46">
        <v>4.9781706745670702</v>
      </c>
      <c r="F46">
        <v>2.9781706745670702</v>
      </c>
    </row>
    <row r="47" spans="1:10">
      <c r="B47">
        <v>15</v>
      </c>
      <c r="C47">
        <v>3.5881835801570654</v>
      </c>
      <c r="D47">
        <v>3.9631835801570654</v>
      </c>
      <c r="E47">
        <v>5.2181835801570653</v>
      </c>
      <c r="F47">
        <v>3.2181835801570653</v>
      </c>
    </row>
    <row r="48" spans="1:10">
      <c r="B48">
        <v>20</v>
      </c>
      <c r="C48">
        <v>3.828196485747061</v>
      </c>
      <c r="D48">
        <v>4.2031964857470605</v>
      </c>
      <c r="E48">
        <v>5.4581964857470613</v>
      </c>
      <c r="F48">
        <v>3.4581964857470608</v>
      </c>
    </row>
    <row r="49" spans="1:13">
      <c r="B49">
        <v>25</v>
      </c>
      <c r="C49">
        <v>3.9482029385420585</v>
      </c>
      <c r="D49">
        <v>4.3232029385420585</v>
      </c>
      <c r="E49">
        <v>5.5782029385420584</v>
      </c>
      <c r="F49">
        <v>3.5782029385420584</v>
      </c>
    </row>
    <row r="50" spans="1:13">
      <c r="B50">
        <v>30</v>
      </c>
      <c r="C50">
        <v>4.0682093913370565</v>
      </c>
      <c r="D50">
        <v>4.4432093913370565</v>
      </c>
      <c r="E50">
        <v>5.6982093913370564</v>
      </c>
      <c r="F50">
        <v>3.6982093913370564</v>
      </c>
    </row>
    <row r="51" spans="1:13">
      <c r="A51" t="s">
        <v>22</v>
      </c>
      <c r="B51">
        <v>0.25</v>
      </c>
      <c r="C51">
        <v>1.05</v>
      </c>
      <c r="D51">
        <v>1.75</v>
      </c>
      <c r="E51">
        <v>2.5</v>
      </c>
      <c r="F51">
        <v>0.85</v>
      </c>
    </row>
    <row r="52" spans="1:13">
      <c r="B52">
        <v>1</v>
      </c>
      <c r="C52" s="73">
        <v>0.42035146643041221</v>
      </c>
      <c r="D52" s="73">
        <v>1.165255124985201</v>
      </c>
      <c r="E52" s="73">
        <v>1.8960243557544316</v>
      </c>
      <c r="F52" s="73">
        <v>0.25787686079172129</v>
      </c>
      <c r="G52" s="73"/>
      <c r="H52" s="73"/>
      <c r="K52" s="73"/>
      <c r="L52" s="73"/>
      <c r="M52" s="73"/>
    </row>
    <row r="53" spans="1:13">
      <c r="B53">
        <v>2</v>
      </c>
      <c r="C53">
        <v>0.5462036613027581</v>
      </c>
      <c r="D53">
        <v>1.3509788645972651</v>
      </c>
      <c r="E53">
        <v>2.0561070697254702</v>
      </c>
      <c r="F53">
        <v>0.43376291481247931</v>
      </c>
    </row>
    <row r="54" spans="1:13">
      <c r="B54">
        <v>3</v>
      </c>
      <c r="C54">
        <v>0.67205585617510388</v>
      </c>
      <c r="D54">
        <v>1.5367026042093292</v>
      </c>
      <c r="E54">
        <v>2.2161897836965085</v>
      </c>
      <c r="F54">
        <v>0.60964896883323727</v>
      </c>
    </row>
    <row r="55" spans="1:13">
      <c r="B55">
        <v>5</v>
      </c>
      <c r="C55">
        <v>0.92376024591979555</v>
      </c>
      <c r="D55">
        <v>1.9081500834334575</v>
      </c>
      <c r="E55">
        <v>2.5363552116385857</v>
      </c>
      <c r="F55">
        <v>0.9614210768747532</v>
      </c>
    </row>
    <row r="56" spans="1:13">
      <c r="B56">
        <v>7</v>
      </c>
      <c r="C56">
        <v>1.33912409687307</v>
      </c>
      <c r="D56">
        <v>2.4432570238661686</v>
      </c>
      <c r="E56">
        <v>3.0201801007892453</v>
      </c>
      <c r="F56">
        <v>1.4768526461248519</v>
      </c>
    </row>
    <row r="57" spans="1:13">
      <c r="B57">
        <v>10</v>
      </c>
      <c r="C57">
        <v>1.9621698733029815</v>
      </c>
      <c r="D57">
        <v>3.2459174345152353</v>
      </c>
      <c r="E57">
        <v>3.7459174345152353</v>
      </c>
      <c r="F57">
        <v>2.25</v>
      </c>
    </row>
    <row r="58" spans="1:13">
      <c r="B58">
        <v>15</v>
      </c>
      <c r="C58">
        <v>2.5256751209458272</v>
      </c>
      <c r="D58">
        <v>3.8094226821580808</v>
      </c>
      <c r="E58">
        <v>4.3094226821580808</v>
      </c>
      <c r="F58">
        <v>2.8135052476428459</v>
      </c>
    </row>
    <row r="59" spans="1:13">
      <c r="B59">
        <v>20</v>
      </c>
      <c r="C59">
        <v>3.0891803685886732</v>
      </c>
      <c r="D59">
        <v>4.3729279298009267</v>
      </c>
      <c r="E59">
        <v>4.8729279298009267</v>
      </c>
      <c r="F59">
        <v>3.3770104952856919</v>
      </c>
    </row>
    <row r="60" spans="1:13">
      <c r="B60">
        <v>25</v>
      </c>
      <c r="C60">
        <v>3.3709329924100961</v>
      </c>
      <c r="D60">
        <v>4.6546805536223497</v>
      </c>
      <c r="E60">
        <v>5.1546805536223497</v>
      </c>
      <c r="F60">
        <v>3.6587631191071148</v>
      </c>
    </row>
    <row r="61" spans="1:13">
      <c r="B61">
        <v>30</v>
      </c>
      <c r="C61">
        <v>3.6526856162315191</v>
      </c>
      <c r="D61">
        <v>4.9364331774437726</v>
      </c>
      <c r="E61">
        <v>5.4364331774437726</v>
      </c>
      <c r="F61">
        <v>3.9405157429285378</v>
      </c>
    </row>
    <row r="62" spans="1:13">
      <c r="A62" t="s">
        <v>23</v>
      </c>
      <c r="B62">
        <v>0.25</v>
      </c>
      <c r="C62">
        <v>0.19600000000000001</v>
      </c>
      <c r="D62">
        <v>0.29749999999999999</v>
      </c>
      <c r="E62">
        <v>0.49750000000000005</v>
      </c>
      <c r="F62">
        <v>0.19750000000000001</v>
      </c>
    </row>
    <row r="63" spans="1:13">
      <c r="B63">
        <v>1</v>
      </c>
      <c r="C63">
        <v>0.11105276935044757</v>
      </c>
      <c r="D63">
        <v>0.22145400420325373</v>
      </c>
      <c r="E63">
        <v>0.43444010156540014</v>
      </c>
      <c r="F63">
        <v>0.10222323497248453</v>
      </c>
    </row>
    <row r="64" spans="1:13">
      <c r="B64">
        <v>2</v>
      </c>
      <c r="C64">
        <v>0.16172467287718337</v>
      </c>
      <c r="D64">
        <v>0.28399422086706444</v>
      </c>
      <c r="E64">
        <v>0.51429511471207257</v>
      </c>
      <c r="F64">
        <v>0.13912242599526958</v>
      </c>
    </row>
    <row r="65" spans="2:6">
      <c r="B65">
        <v>3</v>
      </c>
      <c r="C65">
        <v>0.21239657640391918</v>
      </c>
      <c r="D65">
        <v>0.34653443753087521</v>
      </c>
      <c r="E65">
        <v>0.5941501278587451</v>
      </c>
      <c r="F65">
        <v>0.17602161701805469</v>
      </c>
    </row>
    <row r="66" spans="2:6">
      <c r="B66">
        <v>5</v>
      </c>
      <c r="C66">
        <v>0.31374038345739075</v>
      </c>
      <c r="D66">
        <v>0.47161487085849663</v>
      </c>
      <c r="E66">
        <v>0.75386015415209007</v>
      </c>
      <c r="F66">
        <v>0.24981999906362479</v>
      </c>
    </row>
    <row r="67" spans="2:6">
      <c r="B67">
        <v>7</v>
      </c>
      <c r="C67">
        <v>0.57383010255668132</v>
      </c>
      <c r="D67">
        <v>0.75544121623193705</v>
      </c>
      <c r="E67">
        <v>1.072316092491254</v>
      </c>
      <c r="F67">
        <v>0.48236429315501383</v>
      </c>
    </row>
    <row r="68" spans="2:6">
      <c r="B68">
        <v>10</v>
      </c>
      <c r="C68">
        <v>0.96396468120561718</v>
      </c>
      <c r="D68">
        <v>1.1811807342920977</v>
      </c>
      <c r="E68">
        <v>1.55</v>
      </c>
      <c r="F68">
        <v>0.8311807342920976</v>
      </c>
    </row>
    <row r="69" spans="2:6">
      <c r="B69">
        <v>15</v>
      </c>
      <c r="C69">
        <v>1.3594955087138472</v>
      </c>
      <c r="D69">
        <v>1.5767115618003276</v>
      </c>
      <c r="E69">
        <v>1.9455308275082301</v>
      </c>
      <c r="F69">
        <v>1.2267115618003275</v>
      </c>
    </row>
    <row r="70" spans="2:6">
      <c r="B70">
        <v>20</v>
      </c>
      <c r="C70">
        <v>1.7550263362220773</v>
      </c>
      <c r="D70">
        <v>1.9722423893085579</v>
      </c>
      <c r="E70">
        <v>2.34106165501646</v>
      </c>
      <c r="F70">
        <v>1.6222423893085578</v>
      </c>
    </row>
    <row r="71" spans="2:6">
      <c r="B71">
        <v>25</v>
      </c>
      <c r="C71">
        <v>1.9527917499761924</v>
      </c>
      <c r="D71">
        <v>2.1700078030626728</v>
      </c>
      <c r="E71">
        <v>2.5388270687705754</v>
      </c>
      <c r="F71">
        <v>1.8200078030626727</v>
      </c>
    </row>
    <row r="72" spans="2:6">
      <c r="B72">
        <v>30</v>
      </c>
      <c r="C72">
        <v>2.1505571637303076</v>
      </c>
      <c r="D72">
        <v>2.3677732168167882</v>
      </c>
      <c r="E72">
        <v>2.7365924825246903</v>
      </c>
      <c r="F72">
        <v>2.0177732168167881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EFE6-7C7F-AA4D-9A92-DC9B286EA8A6}">
  <sheetPr codeName="Sheet4">
    <tabColor theme="4"/>
  </sheetPr>
  <dimension ref="A1:AU60"/>
  <sheetViews>
    <sheetView showRowColHeaders="0" tabSelected="1" topLeftCell="B2" zoomScale="116" zoomScaleNormal="116" workbookViewId="0">
      <selection activeCell="H18" sqref="H18"/>
    </sheetView>
  </sheetViews>
  <sheetFormatPr defaultColWidth="10.83203125" defaultRowHeight="15.5"/>
  <cols>
    <col min="1" max="1" width="10.58203125" style="77" hidden="1" customWidth="1"/>
    <col min="2" max="2" width="15.5" customWidth="1"/>
    <col min="4" max="4" width="2.5" customWidth="1"/>
    <col min="5" max="7" width="10.83203125" style="74"/>
    <col min="47" max="47" width="11" style="74" customWidth="1"/>
  </cols>
  <sheetData>
    <row r="1" spans="1:47" ht="21" hidden="1" customHeight="1"/>
    <row r="2" spans="1:47">
      <c r="B2" s="159" t="s">
        <v>131</v>
      </c>
      <c r="C2" s="133"/>
      <c r="D2" s="133"/>
      <c r="E2" s="134"/>
      <c r="F2" s="134"/>
      <c r="G2" s="134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</row>
    <row r="3" spans="1:47">
      <c r="B3" s="133"/>
      <c r="C3" s="133"/>
      <c r="D3" s="133"/>
      <c r="E3" s="134"/>
      <c r="F3" s="134"/>
      <c r="G3" s="134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</row>
    <row r="4" spans="1:47">
      <c r="B4" s="133"/>
      <c r="C4" s="135" t="s">
        <v>104</v>
      </c>
      <c r="D4" s="133"/>
      <c r="E4" s="136">
        <v>2</v>
      </c>
      <c r="F4" s="134"/>
      <c r="G4" s="134"/>
      <c r="H4" s="132"/>
      <c r="I4" s="159" t="str">
        <f>Ccy&amp;" Govt Curves"</f>
        <v>USD Govt Curves</v>
      </c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AU4" s="74" t="s">
        <v>141</v>
      </c>
    </row>
    <row r="5" spans="1:47">
      <c r="B5" s="133" t="s">
        <v>121</v>
      </c>
      <c r="C5" s="133"/>
      <c r="D5" s="133"/>
      <c r="E5" s="134"/>
      <c r="F5" s="134"/>
      <c r="G5" s="134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47">
      <c r="B6" s="137"/>
      <c r="C6" s="137"/>
      <c r="D6" s="137"/>
      <c r="E6" s="138" t="s">
        <v>97</v>
      </c>
      <c r="F6" s="138" t="s">
        <v>104</v>
      </c>
      <c r="G6" s="138" t="s">
        <v>99</v>
      </c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</row>
    <row r="7" spans="1:47">
      <c r="A7" s="77">
        <v>1</v>
      </c>
      <c r="B7" s="133" t="s">
        <v>100</v>
      </c>
      <c r="C7" s="139" t="s">
        <v>95</v>
      </c>
      <c r="D7" s="133"/>
      <c r="E7" s="140">
        <v>0.48</v>
      </c>
      <c r="F7" s="140" cm="1">
        <f t="array" ref="F7">INDEX(ScenFcast,A7)</f>
        <v>1</v>
      </c>
      <c r="G7" s="141">
        <f>F7-E7</f>
        <v>0.52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</row>
    <row r="8" spans="1:47">
      <c r="A8" s="77">
        <v>2</v>
      </c>
      <c r="B8" s="133"/>
      <c r="C8" s="139" t="s">
        <v>96</v>
      </c>
      <c r="D8" s="133"/>
      <c r="E8" s="140">
        <v>1.94</v>
      </c>
      <c r="F8" s="140" cm="1">
        <f t="array" ref="F8">INDEX(ScenFcast,A8)</f>
        <v>3.25</v>
      </c>
      <c r="G8" s="141">
        <f t="shared" ref="G8:G20" si="0">F8-E8</f>
        <v>1.31</v>
      </c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AU8" s="74" t="s">
        <v>141</v>
      </c>
    </row>
    <row r="9" spans="1:47">
      <c r="A9" s="77">
        <v>3</v>
      </c>
      <c r="B9" s="133" t="s">
        <v>101</v>
      </c>
      <c r="C9" s="139" t="s">
        <v>95</v>
      </c>
      <c r="D9" s="133"/>
      <c r="E9" s="140">
        <v>0.88</v>
      </c>
      <c r="F9" s="140" cm="1">
        <f t="array" ref="F9">INDEX(ScenFcast,A9)</f>
        <v>2.75</v>
      </c>
      <c r="G9" s="141">
        <f t="shared" si="0"/>
        <v>1.87</v>
      </c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</row>
    <row r="10" spans="1:47">
      <c r="A10" s="77">
        <v>4</v>
      </c>
      <c r="B10" s="133"/>
      <c r="C10" s="139" t="s">
        <v>96</v>
      </c>
      <c r="D10" s="133"/>
      <c r="E10" s="140">
        <v>1.87</v>
      </c>
      <c r="F10" s="140" cm="1">
        <f t="array" ref="F10">INDEX(ScenFcast,A10)</f>
        <v>3.5</v>
      </c>
      <c r="G10" s="141">
        <f t="shared" si="0"/>
        <v>1.63</v>
      </c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</row>
    <row r="11" spans="1:47">
      <c r="A11" s="77">
        <v>5</v>
      </c>
      <c r="B11" s="133" t="s">
        <v>102</v>
      </c>
      <c r="C11" s="139" t="s">
        <v>95</v>
      </c>
      <c r="D11" s="133"/>
      <c r="E11" s="140">
        <v>1.05</v>
      </c>
      <c r="F11" s="140" cm="1">
        <f t="array" ref="F11">INDEX(ScenFcast,A11)</f>
        <v>2.5</v>
      </c>
      <c r="G11" s="141">
        <f t="shared" si="0"/>
        <v>1.45</v>
      </c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</row>
    <row r="12" spans="1:47">
      <c r="A12" s="77">
        <v>6</v>
      </c>
      <c r="B12" s="133"/>
      <c r="C12" s="139" t="s">
        <v>96</v>
      </c>
      <c r="D12" s="133"/>
      <c r="E12" s="140">
        <v>1.96</v>
      </c>
      <c r="F12" s="140" cm="1">
        <f t="array" ref="F12">INDEX(ScenFcast,A12)</f>
        <v>3.7459174345152353</v>
      </c>
      <c r="G12" s="141">
        <f t="shared" si="0"/>
        <v>1.7859174345152353</v>
      </c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</row>
    <row r="13" spans="1:47">
      <c r="A13" s="77">
        <v>7</v>
      </c>
      <c r="B13" s="133" t="s">
        <v>103</v>
      </c>
      <c r="C13" s="139" t="s">
        <v>95</v>
      </c>
      <c r="D13" s="133"/>
      <c r="E13" s="140">
        <v>0.2</v>
      </c>
      <c r="F13" s="140" cm="1">
        <f t="array" ref="F13">INDEX(ScenFcast,A13)</f>
        <v>0.49750000000000005</v>
      </c>
      <c r="G13" s="141">
        <f t="shared" si="0"/>
        <v>0.29750000000000004</v>
      </c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</row>
    <row r="14" spans="1:47">
      <c r="A14" s="77">
        <v>8</v>
      </c>
      <c r="B14" s="133"/>
      <c r="C14" s="139" t="s">
        <v>96</v>
      </c>
      <c r="D14" s="133"/>
      <c r="E14" s="140">
        <v>0.96</v>
      </c>
      <c r="F14" s="140" cm="1">
        <f t="array" ref="F14">INDEX(ScenFcast,A14)</f>
        <v>1.55</v>
      </c>
      <c r="G14" s="141">
        <f t="shared" si="0"/>
        <v>0.59000000000000008</v>
      </c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</row>
    <row r="15" spans="1:47">
      <c r="A15" s="77">
        <v>9</v>
      </c>
      <c r="B15" s="133" t="s">
        <v>92</v>
      </c>
      <c r="C15" s="139" t="s">
        <v>93</v>
      </c>
      <c r="D15" s="133"/>
      <c r="E15" s="134">
        <v>180</v>
      </c>
      <c r="F15" s="134" cm="1">
        <f t="array" ref="F15">INDEX(ScenFcast,A15)</f>
        <v>190</v>
      </c>
      <c r="G15" s="142">
        <f t="shared" si="0"/>
        <v>10</v>
      </c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</row>
    <row r="16" spans="1:47">
      <c r="A16" s="77">
        <v>10</v>
      </c>
      <c r="B16" s="133"/>
      <c r="C16" s="139" t="s">
        <v>33</v>
      </c>
      <c r="D16" s="133"/>
      <c r="E16" s="134">
        <v>600</v>
      </c>
      <c r="F16" s="134" cm="1">
        <f t="array" ref="F16">INDEX(ScenFcast,A16)</f>
        <v>570</v>
      </c>
      <c r="G16" s="142">
        <f t="shared" si="0"/>
        <v>-30</v>
      </c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</row>
    <row r="17" spans="1:23">
      <c r="A17" s="77">
        <v>11</v>
      </c>
      <c r="B17" s="160" t="s">
        <v>123</v>
      </c>
      <c r="C17" s="160"/>
      <c r="D17" s="133"/>
      <c r="E17" s="134">
        <v>2</v>
      </c>
      <c r="F17" s="134" cm="1">
        <f t="array" ref="F17">INDEX(ScenFcast,A17)</f>
        <v>2</v>
      </c>
      <c r="G17" s="142">
        <f t="shared" si="0"/>
        <v>0</v>
      </c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</row>
    <row r="18" spans="1:23">
      <c r="A18" s="77">
        <v>12</v>
      </c>
      <c r="B18" s="160" t="s">
        <v>124</v>
      </c>
      <c r="C18" s="160"/>
      <c r="D18" s="133"/>
      <c r="E18" s="134">
        <v>30</v>
      </c>
      <c r="F18" s="134" cm="1">
        <f t="array" ref="F18">INDEX(ScenFcast,A18)</f>
        <v>30</v>
      </c>
      <c r="G18" s="142">
        <f t="shared" si="0"/>
        <v>0</v>
      </c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</row>
    <row r="19" spans="1:23">
      <c r="A19" s="77">
        <v>13</v>
      </c>
      <c r="B19" s="160" t="s">
        <v>153</v>
      </c>
      <c r="C19" s="160"/>
      <c r="D19" s="133"/>
      <c r="E19" s="134">
        <v>340</v>
      </c>
      <c r="F19" s="134" cm="1">
        <f t="array" ref="F19">INDEX(ScenFcast,A19)</f>
        <v>300</v>
      </c>
      <c r="G19" s="142">
        <f t="shared" si="0"/>
        <v>-40</v>
      </c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</row>
    <row r="20" spans="1:23">
      <c r="A20" s="77">
        <v>14</v>
      </c>
      <c r="B20" s="160" t="s">
        <v>152</v>
      </c>
      <c r="C20" s="160"/>
      <c r="D20" s="133"/>
      <c r="E20" s="140">
        <v>6.3</v>
      </c>
      <c r="F20" s="140" cm="1">
        <f t="array" ref="F20">INDEX(ScenFcast,A20)</f>
        <v>8</v>
      </c>
      <c r="G20" s="141">
        <f t="shared" si="0"/>
        <v>1.7000000000000002</v>
      </c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</row>
    <row r="21" spans="1:23">
      <c r="A21" s="77">
        <v>15</v>
      </c>
      <c r="B21" s="133" t="s">
        <v>94</v>
      </c>
      <c r="C21" s="139" t="s">
        <v>82</v>
      </c>
      <c r="D21" s="133"/>
      <c r="E21" s="141">
        <v>1.333</v>
      </c>
      <c r="F21" s="141" cm="1">
        <f t="array" ref="F21">INDEX(ScenFcast,A21)</f>
        <v>1.45</v>
      </c>
      <c r="G21" s="141">
        <f>100*(F21-E21)/E21</f>
        <v>8.7771942985746438</v>
      </c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</row>
    <row r="22" spans="1:23">
      <c r="A22" s="77">
        <v>16</v>
      </c>
      <c r="B22" s="133"/>
      <c r="C22" s="139" t="s">
        <v>144</v>
      </c>
      <c r="D22" s="133"/>
      <c r="E22" s="140">
        <v>1.6</v>
      </c>
      <c r="F22" s="140" cm="1">
        <f t="array" ref="F22">INDEX(ScenFcast,A22)</f>
        <v>1.6</v>
      </c>
      <c r="G22" s="141">
        <f>100*(F22-E22)/E22</f>
        <v>0</v>
      </c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</row>
    <row r="23" spans="1:23">
      <c r="A23" s="77">
        <v>17</v>
      </c>
      <c r="B23" s="133"/>
      <c r="C23" s="139" t="s">
        <v>83</v>
      </c>
      <c r="D23" s="133"/>
      <c r="E23" s="144">
        <v>81</v>
      </c>
      <c r="F23" s="144" cm="1">
        <f t="array" ref="F23">INDEX(ScenFcast,A23)</f>
        <v>73.5</v>
      </c>
      <c r="G23" s="141">
        <f>100*(F23-E23)/E23</f>
        <v>-9.2592592592592595</v>
      </c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</row>
    <row r="24" spans="1:23">
      <c r="A24" s="77">
        <v>18</v>
      </c>
      <c r="B24" s="133"/>
      <c r="C24" s="139" t="s">
        <v>142</v>
      </c>
      <c r="D24" s="133"/>
      <c r="E24" s="134"/>
      <c r="F24" s="134" cm="1">
        <f t="array" ref="F24">INDEX(ScenFcast,A24)</f>
        <v>-5</v>
      </c>
      <c r="G24" s="142">
        <f>F24</f>
        <v>-5</v>
      </c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</row>
    <row r="25" spans="1:23">
      <c r="B25" s="133"/>
      <c r="C25" s="133"/>
      <c r="D25" s="133"/>
      <c r="E25" s="134"/>
      <c r="F25" s="134"/>
      <c r="G25" s="134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</row>
    <row r="26" spans="1:23"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</row>
    <row r="27" spans="1:23">
      <c r="B27" s="132"/>
      <c r="C27" s="132"/>
      <c r="D27" s="132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</row>
    <row r="28" spans="1:23"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</row>
    <row r="29" spans="1:23"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</row>
    <row r="30" spans="1:23"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</row>
    <row r="31" spans="1:23"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</row>
    <row r="32" spans="1:23"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</row>
    <row r="33" spans="2:23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</row>
    <row r="34" spans="2:23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</row>
    <row r="35" spans="2:23"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</row>
    <row r="36" spans="2:23"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</row>
    <row r="37" spans="2:23"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</row>
    <row r="38" spans="2:23"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</row>
    <row r="39" spans="2:23">
      <c r="B39" s="13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</row>
    <row r="40" spans="2:23">
      <c r="B40" s="13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</row>
    <row r="41" spans="2:23"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</row>
    <row r="42" spans="2:23"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</row>
    <row r="43" spans="2:23">
      <c r="B43" s="132"/>
      <c r="C43" s="132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</row>
    <row r="44" spans="2:23"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</row>
    <row r="45" spans="2:23"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</row>
    <row r="46" spans="2:23"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</row>
    <row r="47" spans="2:23"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</row>
    <row r="48" spans="2:23"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</row>
    <row r="49" spans="2:23"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</row>
    <row r="50" spans="2:23"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</row>
    <row r="51" spans="2:23">
      <c r="B51" s="132"/>
      <c r="C51" s="132"/>
      <c r="D51" s="132"/>
      <c r="E51" s="132"/>
      <c r="F51" s="132"/>
      <c r="G51" s="132"/>
      <c r="H51" s="132"/>
      <c r="I51" s="132"/>
      <c r="J51" s="132"/>
      <c r="K51" s="132"/>
      <c r="L51" s="132"/>
      <c r="M51" s="132"/>
      <c r="N51" s="132"/>
      <c r="O51" s="132"/>
      <c r="P51" s="132"/>
      <c r="Q51" s="132"/>
      <c r="R51" s="132"/>
      <c r="S51" s="132"/>
      <c r="T51" s="132"/>
      <c r="U51" s="132"/>
      <c r="V51" s="132"/>
      <c r="W51" s="132"/>
    </row>
    <row r="52" spans="2:23">
      <c r="B52" s="132"/>
      <c r="C52" s="132"/>
      <c r="D52" s="132"/>
      <c r="E52" s="132"/>
      <c r="F52" s="132"/>
      <c r="G52" s="132"/>
      <c r="H52" s="132"/>
      <c r="I52" s="132"/>
      <c r="J52" s="132"/>
      <c r="K52" s="132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</row>
    <row r="53" spans="2:23"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</row>
    <row r="54" spans="2:23">
      <c r="B54" s="132"/>
      <c r="C54" s="132"/>
      <c r="D54" s="132"/>
      <c r="E54" s="132"/>
      <c r="F54" s="132"/>
      <c r="G54" s="132"/>
      <c r="H54" s="132"/>
      <c r="I54" s="132"/>
      <c r="J54" s="132"/>
      <c r="K54" s="132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</row>
    <row r="55" spans="2:23"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</row>
    <row r="56" spans="2:23">
      <c r="B56" s="132"/>
      <c r="C56" s="132"/>
      <c r="D56" s="132"/>
      <c r="E56" s="132"/>
      <c r="F56" s="132"/>
      <c r="G56" s="132"/>
      <c r="H56" s="132"/>
      <c r="I56" s="132"/>
      <c r="J56" s="132"/>
      <c r="K56" s="132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</row>
    <row r="57" spans="2:23"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</row>
    <row r="58" spans="2:23">
      <c r="B58" s="132"/>
      <c r="C58" s="132"/>
      <c r="D58" s="132"/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</row>
    <row r="59" spans="2:23">
      <c r="B59" s="132"/>
      <c r="C59" s="132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</row>
    <row r="60" spans="2:23">
      <c r="B60" s="132"/>
      <c r="C60" s="132"/>
      <c r="D60" s="132"/>
      <c r="E60" s="132"/>
      <c r="F60" s="132"/>
      <c r="G60" s="132"/>
      <c r="H60" s="132"/>
      <c r="I60" s="132"/>
      <c r="J60" s="132"/>
      <c r="K60" s="132"/>
      <c r="L60" s="132"/>
      <c r="M60" s="132"/>
      <c r="N60" s="132"/>
      <c r="O60" s="132"/>
      <c r="P60" s="132"/>
      <c r="Q60" s="132"/>
      <c r="R60" s="132"/>
      <c r="S60" s="132"/>
      <c r="T60" s="132"/>
      <c r="U60" s="132"/>
      <c r="V60" s="132"/>
      <c r="W60" s="132"/>
    </row>
  </sheetData>
  <sheetProtection algorithmName="SHA-512" hashValue="iIUMssGM7YRu0yjccOKwLTwFSD8xzi8kEYy7XXthyQ+1iv0bunp6f5kSOE9sumsCn0B4jemsi8fCOu/UlukXdA==" saltValue="3fnxbPihMbYL/xUiUw0+HA==" spinCount="100000" sheet="1" objects="1" scenarios="1"/>
  <mergeCells count="4">
    <mergeCell ref="B17:C17"/>
    <mergeCell ref="B18:C18"/>
    <mergeCell ref="B19:C19"/>
    <mergeCell ref="B20:C20"/>
  </mergeCells>
  <conditionalFormatting sqref="E7:G24">
    <cfRule type="cellIs" dxfId="1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2</xdr:row>
                    <xdr:rowOff>190500</xdr:rowOff>
                  </from>
                  <to>
                    <xdr:col>7</xdr:col>
                    <xdr:colOff>50800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Option Button 13">
              <controlPr defaultSize="0" autoFill="0" autoLine="0" autoPict="0">
                <anchor moveWithCells="1">
                  <from>
                    <xdr:col>8</xdr:col>
                    <xdr:colOff>355600</xdr:colOff>
                    <xdr:row>21</xdr:row>
                    <xdr:rowOff>38100</xdr:rowOff>
                  </from>
                  <to>
                    <xdr:col>9</xdr:col>
                    <xdr:colOff>323850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Option Button 14">
              <controlPr defaultSize="0" autoFill="0" autoLine="0" autoPict="0">
                <anchor moveWithCells="1">
                  <from>
                    <xdr:col>9</xdr:col>
                    <xdr:colOff>584200</xdr:colOff>
                    <xdr:row>21</xdr:row>
                    <xdr:rowOff>38100</xdr:rowOff>
                  </from>
                  <to>
                    <xdr:col>10</xdr:col>
                    <xdr:colOff>546100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Option Button 15">
              <controlPr defaultSize="0" autoFill="0" autoLine="0" autoPict="0">
                <anchor moveWithCells="1">
                  <from>
                    <xdr:col>10</xdr:col>
                    <xdr:colOff>698500</xdr:colOff>
                    <xdr:row>21</xdr:row>
                    <xdr:rowOff>31750</xdr:rowOff>
                  </from>
                  <to>
                    <xdr:col>11</xdr:col>
                    <xdr:colOff>660400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8" name="Option Button 16">
              <controlPr defaultSize="0" autoFill="0" autoLine="0" autoPict="0">
                <anchor moveWithCells="1">
                  <from>
                    <xdr:col>12</xdr:col>
                    <xdr:colOff>0</xdr:colOff>
                    <xdr:row>21</xdr:row>
                    <xdr:rowOff>38100</xdr:rowOff>
                  </from>
                  <to>
                    <xdr:col>12</xdr:col>
                    <xdr:colOff>774700</xdr:colOff>
                    <xdr:row>23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4578-C428-A24B-93E3-519E22363532}">
  <sheetPr codeName="Sheet5">
    <tabColor theme="4"/>
  </sheetPr>
  <dimension ref="A1:Y50"/>
  <sheetViews>
    <sheetView showRowColHeaders="0" topLeftCell="B3" zoomScale="102" zoomScaleNormal="102" workbookViewId="0">
      <selection activeCell="D11" sqref="D11"/>
    </sheetView>
  </sheetViews>
  <sheetFormatPr defaultColWidth="11" defaultRowHeight="15.5"/>
  <cols>
    <col min="1" max="1" width="10.58203125" hidden="1" customWidth="1"/>
    <col min="2" max="2" width="22.5" customWidth="1"/>
    <col min="3" max="4" width="10.75" customWidth="1"/>
    <col min="5" max="5" width="3.33203125" customWidth="1"/>
    <col min="6" max="6" width="13.58203125" customWidth="1"/>
    <col min="7" max="7" width="7.75" customWidth="1"/>
    <col min="8" max="17" width="7.58203125" customWidth="1"/>
    <col min="18" max="18" width="7" customWidth="1"/>
    <col min="19" max="19" width="4.08203125" customWidth="1"/>
  </cols>
  <sheetData>
    <row r="1" spans="1:25" ht="21" hidden="1" customHeight="1"/>
    <row r="2" spans="1:25"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</row>
    <row r="3" spans="1:25" ht="99.5">
      <c r="A3" s="131">
        <v>4</v>
      </c>
      <c r="B3" s="146" t="s">
        <v>143</v>
      </c>
      <c r="C3" s="135" t="s">
        <v>1</v>
      </c>
      <c r="D3" s="135" t="s">
        <v>0</v>
      </c>
      <c r="E3" s="132"/>
      <c r="F3" s="154"/>
      <c r="G3" s="157" t="s">
        <v>0</v>
      </c>
      <c r="H3" s="157" t="s">
        <v>1</v>
      </c>
      <c r="I3" s="158" t="s">
        <v>145</v>
      </c>
      <c r="J3" s="158" t="s">
        <v>155</v>
      </c>
      <c r="K3" s="158" t="s">
        <v>150</v>
      </c>
      <c r="L3" s="158" t="s">
        <v>151</v>
      </c>
      <c r="M3" s="158" t="s">
        <v>6</v>
      </c>
      <c r="N3" s="158" t="s">
        <v>7</v>
      </c>
      <c r="O3" s="158" t="s">
        <v>8</v>
      </c>
      <c r="P3" s="158" t="s">
        <v>146</v>
      </c>
      <c r="Q3" s="158" t="s">
        <v>147</v>
      </c>
      <c r="R3" s="158" t="s">
        <v>149</v>
      </c>
      <c r="S3" s="132"/>
      <c r="T3" s="132"/>
      <c r="U3" s="132"/>
      <c r="V3" s="132"/>
      <c r="W3" s="132"/>
      <c r="X3" s="132"/>
      <c r="Y3" s="132"/>
    </row>
    <row r="4" spans="1:25">
      <c r="B4" s="133"/>
      <c r="C4" s="133"/>
      <c r="D4" s="133"/>
      <c r="E4" s="132"/>
      <c r="F4" s="155" t="str">
        <f>IF(Chart_Choice=4,"","Past 10 years")</f>
        <v/>
      </c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32"/>
      <c r="T4" s="132"/>
      <c r="U4" s="132"/>
      <c r="V4" s="132"/>
      <c r="W4" s="132"/>
      <c r="X4" s="132"/>
      <c r="Y4" s="132"/>
    </row>
    <row r="5" spans="1:25">
      <c r="A5" s="78">
        <v>1</v>
      </c>
      <c r="B5" s="139" t="s">
        <v>145</v>
      </c>
      <c r="C5" s="133">
        <v>0</v>
      </c>
      <c r="D5" s="147">
        <v>0</v>
      </c>
      <c r="E5" s="132"/>
      <c r="F5" s="133" t="str">
        <f>IF(Chart_Choice=4,"+1sd","")</f>
        <v>+1sd</v>
      </c>
      <c r="G5" s="149">
        <f>IF(Chart_Choice=4,Returns!C188,"")</f>
        <v>-0.90140485638241308</v>
      </c>
      <c r="H5" s="149">
        <f>IF(Chart_Choice=4,Returns!D188,"")</f>
        <v>-0.90140485638241308</v>
      </c>
      <c r="I5" s="149">
        <f>IF(Chart_Choice=4,Returns!E188,"")</f>
        <v>-0.24907748751597741</v>
      </c>
      <c r="J5" s="149">
        <f>IF(Chart_Choice=4,Returns!F188,"")</f>
        <v>-2.5833538572196137</v>
      </c>
      <c r="K5" s="149">
        <f>IF(Chart_Choice=4,Returns!G188,"")</f>
        <v>-0.90140485638241308</v>
      </c>
      <c r="L5" s="149">
        <f>IF(Chart_Choice=4,Returns!H188,"")</f>
        <v>-5.2423610004636494</v>
      </c>
      <c r="M5" s="149">
        <f>IF(Chart_Choice=4,Returns!I188,"")</f>
        <v>-2.6993782790849079</v>
      </c>
      <c r="N5" s="149">
        <f>IF(Chart_Choice=4,Returns!J188,"")</f>
        <v>-3.4146678071494216</v>
      </c>
      <c r="O5" s="149">
        <f>IF(Chart_Choice=4,Returns!K188,"")</f>
        <v>-4.0909845299659073</v>
      </c>
      <c r="P5" s="149">
        <f>IF(Chart_Choice=4,Returns!L188,"")</f>
        <v>5.7510382487864753</v>
      </c>
      <c r="Q5" s="149">
        <f>IF(Chart_Choice=4,Returns!M188,"")</f>
        <v>1.8255598896036198</v>
      </c>
      <c r="R5" s="149">
        <f>IF(Chart_Choice=4,Returns!N188,"")</f>
        <v>7.0364973000632176</v>
      </c>
      <c r="S5" s="132"/>
      <c r="T5" s="132"/>
      <c r="U5" s="132"/>
      <c r="V5" s="132"/>
      <c r="W5" s="132"/>
      <c r="X5" s="132"/>
      <c r="Y5" s="132"/>
    </row>
    <row r="6" spans="1:25">
      <c r="A6" s="78">
        <v>2</v>
      </c>
      <c r="B6" s="139" t="s">
        <v>155</v>
      </c>
      <c r="C6" s="133">
        <v>0</v>
      </c>
      <c r="D6" s="147">
        <v>0</v>
      </c>
      <c r="E6" s="132"/>
      <c r="F6" s="156" t="str">
        <f>IF(Chart_Choice=4,"Forecast","Ann Return, %")</f>
        <v>Forecast</v>
      </c>
      <c r="G6" s="149">
        <f>IF(Chart_Choice=4,Returns!C187,Returns!Q170)</f>
        <v>-1.2152519800000001</v>
      </c>
      <c r="H6" s="149">
        <f>IF(Chart_Choice=4,Returns!D187,Returns!R170)</f>
        <v>-1.2152519800000001</v>
      </c>
      <c r="I6" s="149">
        <f>IF(Chart_Choice=4,Returns!E187,Returns!S170)</f>
        <v>-0.72461419800000004</v>
      </c>
      <c r="J6" s="149">
        <f>IF(Chart_Choice=4,Returns!F187,Returns!T170)</f>
        <v>-3.0838948950000002</v>
      </c>
      <c r="K6" s="149">
        <f>IF(Chart_Choice=4,Returns!G187,Returns!U170)</f>
        <v>-1.2152519800000001</v>
      </c>
      <c r="L6" s="149">
        <f>IF(Chart_Choice=4,Returns!H187,Returns!V170)</f>
        <v>-6.151263159</v>
      </c>
      <c r="M6" s="149">
        <f>IF(Chart_Choice=4,Returns!I187,Returns!W170)</f>
        <v>-3.8184685580000002</v>
      </c>
      <c r="N6" s="149">
        <f>IF(Chart_Choice=4,Returns!J187,Returns!X170)</f>
        <v>-4.7775234779999991</v>
      </c>
      <c r="O6" s="149">
        <f>IF(Chart_Choice=4,Returns!K187,Returns!Y170)</f>
        <v>-4.9056925749999998</v>
      </c>
      <c r="P6" s="149">
        <f>IF(Chart_Choice=4,Returns!L187,Returns!Z170)</f>
        <v>2.6010385409999999</v>
      </c>
      <c r="Q6" s="149">
        <f>IF(Chart_Choice=4,Returns!M187,Returns!AA170)</f>
        <v>-0.9304998560000004</v>
      </c>
      <c r="R6" s="149">
        <f>IF(Chart_Choice=4,Returns!N187,Returns!AB170)</f>
        <v>3.71448117</v>
      </c>
      <c r="S6" s="132"/>
      <c r="T6" s="132"/>
      <c r="U6" s="132"/>
      <c r="V6" s="132"/>
      <c r="W6" s="132"/>
      <c r="X6" s="132"/>
      <c r="Y6" s="132"/>
    </row>
    <row r="7" spans="1:25">
      <c r="A7" s="78">
        <v>3</v>
      </c>
      <c r="B7" s="139" t="s">
        <v>150</v>
      </c>
      <c r="C7" s="133">
        <v>100</v>
      </c>
      <c r="D7" s="147">
        <v>100</v>
      </c>
      <c r="E7" s="132"/>
      <c r="F7" s="156" t="str">
        <f>IF(Chart_Choice=4,"-1sd","Ann Std Dev, %")</f>
        <v>-1sd</v>
      </c>
      <c r="G7" s="149">
        <f>IF(Chart_Choice=4,Returns!C186,Returns!Q171)</f>
        <v>-1.5290991036175872</v>
      </c>
      <c r="H7" s="149">
        <f>IF(Chart_Choice=4,Returns!D186,Returns!R171)</f>
        <v>-1.5290991036175872</v>
      </c>
      <c r="I7" s="149">
        <f>IF(Chart_Choice=4,Returns!E186,Returns!S171)</f>
        <v>-1.2001509084840227</v>
      </c>
      <c r="J7" s="149">
        <f>IF(Chart_Choice=4,Returns!F186,Returns!T171)</f>
        <v>-3.5844359327803867</v>
      </c>
      <c r="K7" s="149">
        <f>IF(Chart_Choice=4,Returns!G186,Returns!U171)</f>
        <v>-1.5290991036175872</v>
      </c>
      <c r="L7" s="149">
        <f>IF(Chart_Choice=4,Returns!H186,Returns!V171)</f>
        <v>-7.0601653175363506</v>
      </c>
      <c r="M7" s="149">
        <f>IF(Chart_Choice=4,Returns!I186,Returns!W171)</f>
        <v>-4.9375588369150929</v>
      </c>
      <c r="N7" s="149">
        <f>IF(Chart_Choice=4,Returns!J186,Returns!X171)</f>
        <v>-6.1403791488505766</v>
      </c>
      <c r="O7" s="149">
        <f>IF(Chart_Choice=4,Returns!K186,Returns!Y171)</f>
        <v>-5.7204006200340922</v>
      </c>
      <c r="P7" s="149">
        <f>IF(Chart_Choice=4,Returns!L186,Returns!Z171)</f>
        <v>-0.54896116678647555</v>
      </c>
      <c r="Q7" s="149">
        <f>IF(Chart_Choice=4,Returns!M186,Returns!AA171)</f>
        <v>-3.6865596016036206</v>
      </c>
      <c r="R7" s="149">
        <f>IF(Chart_Choice=4,Returns!N186,Returns!AB171)</f>
        <v>0.39246503993678283</v>
      </c>
      <c r="S7" s="132"/>
      <c r="T7" s="132"/>
      <c r="U7" s="132"/>
      <c r="V7" s="132"/>
      <c r="W7" s="132"/>
      <c r="X7" s="132"/>
      <c r="Y7" s="132"/>
    </row>
    <row r="8" spans="1:25">
      <c r="A8" s="78">
        <v>4</v>
      </c>
      <c r="B8" s="139" t="s">
        <v>151</v>
      </c>
      <c r="C8" s="133">
        <v>0</v>
      </c>
      <c r="D8" s="147">
        <v>0</v>
      </c>
      <c r="E8" s="132"/>
      <c r="F8" s="156" t="s">
        <v>111</v>
      </c>
      <c r="G8" s="149">
        <f>Returns!Q172</f>
        <v>2.9629180792721104</v>
      </c>
      <c r="H8" s="149">
        <f>Returns!R172</f>
        <v>2.9629180792721104</v>
      </c>
      <c r="I8" s="149">
        <f>Returns!S172</f>
        <v>1.9840849199837218</v>
      </c>
      <c r="J8" s="149">
        <f>Returns!T172</f>
        <v>1.9235677391334367</v>
      </c>
      <c r="K8" s="149">
        <f>Returns!U172</f>
        <v>2.9629180792721104</v>
      </c>
      <c r="L8" s="149">
        <f>Returns!V172</f>
        <v>1.5811674862396825</v>
      </c>
      <c r="M8" s="149">
        <f>Returns!W172</f>
        <v>1.2752645723640623</v>
      </c>
      <c r="N8" s="149">
        <f>Returns!X172</f>
        <v>1.1692550298705571</v>
      </c>
      <c r="O8" s="149">
        <f>Returns!Y172</f>
        <v>1.7948658207685313</v>
      </c>
      <c r="P8" s="149">
        <f>Returns!Z172</f>
        <v>0.85936973670904027</v>
      </c>
      <c r="Q8" s="149">
        <f>Returns!AA172</f>
        <v>1.1462985461817912</v>
      </c>
      <c r="R8" s="149">
        <f>Returns!AB172</f>
        <v>1.0150237097807133</v>
      </c>
      <c r="S8" s="132"/>
      <c r="T8" s="132"/>
      <c r="U8" s="132"/>
      <c r="V8" s="132"/>
      <c r="W8" s="132"/>
      <c r="X8" s="132"/>
      <c r="Y8" s="132"/>
    </row>
    <row r="9" spans="1:25">
      <c r="A9" s="78">
        <v>5</v>
      </c>
      <c r="B9" s="139" t="s">
        <v>6</v>
      </c>
      <c r="C9" s="133">
        <v>0</v>
      </c>
      <c r="D9" s="147">
        <v>0</v>
      </c>
      <c r="E9" s="132"/>
      <c r="F9" s="156" t="s">
        <v>114</v>
      </c>
      <c r="G9" s="149">
        <f>Returns!Q173</f>
        <v>-0.43391292762755557</v>
      </c>
      <c r="H9" s="149">
        <f>Returns!R173</f>
        <v>-0.43391292762755557</v>
      </c>
      <c r="I9" s="149">
        <f>Returns!S173</f>
        <v>-1.0218652177657495</v>
      </c>
      <c r="J9" s="149">
        <f>Returns!T173</f>
        <v>-1.3601444124450857</v>
      </c>
      <c r="K9" s="149">
        <f>Returns!U173</f>
        <v>-0.43391292762755551</v>
      </c>
      <c r="L9" s="149">
        <f>Returns!V173</f>
        <v>-1.9900529349436868</v>
      </c>
      <c r="M9" s="149">
        <f>Returns!W173</f>
        <v>-4.2958221729446073</v>
      </c>
      <c r="N9" s="149">
        <f>Returns!X173</f>
        <v>-5.9930898377995367</v>
      </c>
      <c r="O9" s="149">
        <f>Returns!Y173</f>
        <v>-2.0627249207875953</v>
      </c>
      <c r="P9" s="149">
        <f>Returns!Z173</f>
        <v>-16.455928480907399</v>
      </c>
      <c r="Q9" s="149">
        <f>Returns!AA173</f>
        <v>-14.88984763726352</v>
      </c>
      <c r="R9" s="149">
        <f>Returns!AB173</f>
        <v>-14.074522435121073</v>
      </c>
      <c r="S9" s="132"/>
      <c r="T9" s="132"/>
      <c r="U9" s="132"/>
      <c r="V9" s="132"/>
      <c r="W9" s="132"/>
      <c r="X9" s="132"/>
      <c r="Y9" s="132"/>
    </row>
    <row r="10" spans="1:25">
      <c r="A10" s="78">
        <v>6</v>
      </c>
      <c r="B10" s="139" t="s">
        <v>7</v>
      </c>
      <c r="C10" s="133">
        <v>0</v>
      </c>
      <c r="D10" s="147">
        <v>0</v>
      </c>
      <c r="E10" s="132"/>
      <c r="F10" s="156" t="s">
        <v>115</v>
      </c>
      <c r="G10" s="149">
        <f>Returns!Q174</f>
        <v>1.236097332163566</v>
      </c>
      <c r="H10" s="149">
        <f>Returns!R174</f>
        <v>1.236097332163566</v>
      </c>
      <c r="I10" s="149">
        <f>Returns!S174</f>
        <v>1.8179293852930822</v>
      </c>
      <c r="J10" s="149">
        <f>Returns!T174</f>
        <v>2.1330840501410764</v>
      </c>
      <c r="K10" s="149">
        <f>Returns!U174</f>
        <v>1.236097332163566</v>
      </c>
      <c r="L10" s="149">
        <f>Returns!V174</f>
        <v>3.0296125894666126</v>
      </c>
      <c r="M10" s="149">
        <f>Returns!W174</f>
        <v>3.4873406073572477</v>
      </c>
      <c r="N10" s="149">
        <f>Returns!X174</f>
        <v>3.6601266926473031</v>
      </c>
      <c r="O10" s="149">
        <f>Returns!Y174</f>
        <v>2.7125606671940972</v>
      </c>
      <c r="P10" s="149">
        <f>Returns!Z174</f>
        <v>11.309119000614043</v>
      </c>
      <c r="Q10" s="149">
        <f>Returns!AA174</f>
        <v>7.7663308780014484</v>
      </c>
      <c r="R10" s="149">
        <f>Returns!AB174</f>
        <v>9.8370581311264083</v>
      </c>
      <c r="S10" s="132"/>
      <c r="T10" s="132"/>
      <c r="U10" s="132"/>
      <c r="V10" s="132"/>
      <c r="W10" s="132"/>
      <c r="X10" s="132"/>
      <c r="Y10" s="132"/>
    </row>
    <row r="11" spans="1:25">
      <c r="A11" s="78">
        <v>7</v>
      </c>
      <c r="B11" s="139" t="s">
        <v>8</v>
      </c>
      <c r="C11" s="133">
        <v>0</v>
      </c>
      <c r="D11" s="147">
        <v>0</v>
      </c>
      <c r="E11" s="132"/>
      <c r="F11" s="156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49"/>
      <c r="R11" s="149"/>
      <c r="S11" s="132"/>
      <c r="T11" s="132"/>
      <c r="U11" s="132"/>
      <c r="V11" s="132"/>
      <c r="W11" s="132"/>
      <c r="X11" s="132"/>
      <c r="Y11" s="132"/>
    </row>
    <row r="12" spans="1:25">
      <c r="A12" s="78">
        <v>8</v>
      </c>
      <c r="B12" s="139" t="s">
        <v>146</v>
      </c>
      <c r="C12" s="133">
        <v>0</v>
      </c>
      <c r="D12" s="147">
        <v>0</v>
      </c>
      <c r="E12" s="132"/>
      <c r="F12" s="155" t="s">
        <v>156</v>
      </c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32"/>
      <c r="T12" s="132"/>
      <c r="U12" s="132"/>
      <c r="V12" s="132"/>
      <c r="W12" s="132"/>
      <c r="X12" s="132"/>
      <c r="Y12" s="132"/>
    </row>
    <row r="13" spans="1:25">
      <c r="A13" s="78">
        <v>9</v>
      </c>
      <c r="B13" s="139" t="s">
        <v>147</v>
      </c>
      <c r="C13" s="133">
        <v>0</v>
      </c>
      <c r="D13" s="147">
        <v>0</v>
      </c>
      <c r="E13" s="132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2"/>
      <c r="T13" s="132"/>
      <c r="U13" s="132"/>
      <c r="V13" s="132"/>
      <c r="W13" s="132"/>
      <c r="X13" s="132"/>
      <c r="Y13" s="132"/>
    </row>
    <row r="14" spans="1:25">
      <c r="A14" s="78">
        <v>10</v>
      </c>
      <c r="B14" s="139" t="s">
        <v>149</v>
      </c>
      <c r="C14" s="133">
        <v>0</v>
      </c>
      <c r="D14" s="147">
        <v>0</v>
      </c>
      <c r="E14" s="132"/>
      <c r="F14" s="156" t="s">
        <v>112</v>
      </c>
      <c r="G14" s="149">
        <f>Returns!Q177</f>
        <v>3.249286418572539</v>
      </c>
      <c r="H14" s="149">
        <f>Returns!R177</f>
        <v>1.7448922429939673</v>
      </c>
      <c r="I14" s="149">
        <f>Returns!S177</f>
        <v>1.7890607946966952</v>
      </c>
      <c r="J14" s="149">
        <f>Returns!T177</f>
        <v>1.6098958426397081</v>
      </c>
      <c r="K14" s="149">
        <f>Returns!U177</f>
        <v>1.7448922429939673</v>
      </c>
      <c r="L14" s="149">
        <f>Returns!V177</f>
        <v>4.3951246769843522</v>
      </c>
      <c r="M14" s="149">
        <f>Returns!W177</f>
        <v>8.8766643628134911</v>
      </c>
      <c r="N14" s="149">
        <f>Returns!X177</f>
        <v>11.180973463072142</v>
      </c>
      <c r="O14" s="149">
        <f>Returns!Y177</f>
        <v>5.8133178127693252</v>
      </c>
      <c r="P14" s="149">
        <f>Returns!Z177</f>
        <v>24.949693436170151</v>
      </c>
      <c r="Q14" s="149">
        <f>Returns!AA177</f>
        <v>17.869540118789985</v>
      </c>
      <c r="R14" s="149">
        <f>Returns!AB177</f>
        <v>19.816678220316277</v>
      </c>
      <c r="S14" s="132"/>
      <c r="T14" s="132"/>
      <c r="U14" s="132"/>
      <c r="V14" s="132"/>
      <c r="W14" s="132"/>
      <c r="X14" s="132"/>
      <c r="Y14" s="132"/>
    </row>
    <row r="15" spans="1:25">
      <c r="A15" s="78"/>
      <c r="B15" s="139"/>
      <c r="C15" s="133"/>
      <c r="D15" s="133"/>
      <c r="E15" s="132"/>
      <c r="F15" s="156" t="s">
        <v>113</v>
      </c>
      <c r="G15" s="149">
        <f>Returns!Q178</f>
        <v>1.4388980580822641</v>
      </c>
      <c r="H15" s="149">
        <f>Returns!R178</f>
        <v>0.65019804391967873</v>
      </c>
      <c r="I15" s="149">
        <f>Returns!S178</f>
        <v>1.0481285262076314</v>
      </c>
      <c r="J15" s="149">
        <f>Returns!T178</f>
        <v>2.154773633694679</v>
      </c>
      <c r="K15" s="149">
        <f>Returns!U178</f>
        <v>0.65019804391967873</v>
      </c>
      <c r="L15" s="149">
        <f>Returns!V178</f>
        <v>2.8915549647251733</v>
      </c>
      <c r="M15" s="149">
        <f>Returns!W178</f>
        <v>4.8362935320765015</v>
      </c>
      <c r="N15" s="149">
        <f>Returns!X178</f>
        <v>4.5176465097152887</v>
      </c>
      <c r="O15" s="149">
        <f>Returns!Y178</f>
        <v>2.3296713125415129</v>
      </c>
      <c r="P15" s="149">
        <f>Returns!Z178</f>
        <v>10.460674152164543</v>
      </c>
      <c r="Q15" s="149">
        <f>Returns!AA178</f>
        <v>7.0040465694171434</v>
      </c>
      <c r="R15" s="149">
        <f>Returns!AB178</f>
        <v>12.640003699846893</v>
      </c>
      <c r="S15" s="132"/>
      <c r="T15" s="132"/>
      <c r="U15" s="132"/>
      <c r="V15" s="132"/>
      <c r="W15" s="132"/>
      <c r="X15" s="132"/>
      <c r="Y15" s="132"/>
    </row>
    <row r="16" spans="1:25">
      <c r="B16" s="135" t="s">
        <v>62</v>
      </c>
      <c r="C16" s="133">
        <f>SUM(WtAllocBM)</f>
        <v>100</v>
      </c>
      <c r="D16" s="133">
        <f>SUM(WtAllocPF)</f>
        <v>100</v>
      </c>
      <c r="E16" s="132"/>
      <c r="F16" s="156" t="s">
        <v>111</v>
      </c>
      <c r="G16" s="149">
        <f>Returns!Q179</f>
        <v>2.2581769433361569</v>
      </c>
      <c r="H16" s="149">
        <f>Returns!R179</f>
        <v>2.6836319476985691</v>
      </c>
      <c r="I16" s="149">
        <f>Returns!S179</f>
        <v>1.7069097443325258</v>
      </c>
      <c r="J16" s="149">
        <f>Returns!T179</f>
        <v>0.7471299153959402</v>
      </c>
      <c r="K16" s="149">
        <f>Returns!U179</f>
        <v>2.6836319476985691</v>
      </c>
      <c r="L16" s="149">
        <f>Returns!V179</f>
        <v>1.5199865576140223</v>
      </c>
      <c r="M16" s="149">
        <f>Returns!W179</f>
        <v>1.8354271311158865</v>
      </c>
      <c r="N16" s="149">
        <f>Returns!X179</f>
        <v>2.4749553642648303</v>
      </c>
      <c r="O16" s="149">
        <f>Returns!Y179</f>
        <v>2.4953381970555282</v>
      </c>
      <c r="P16" s="149">
        <f>Returns!Z179</f>
        <v>2.3850942179484207</v>
      </c>
      <c r="Q16" s="149">
        <f>Returns!AA179</f>
        <v>2.5513165770222792</v>
      </c>
      <c r="R16" s="149">
        <f>Returns!AB179</f>
        <v>1.5677747167555269</v>
      </c>
      <c r="S16" s="132"/>
      <c r="T16" s="132"/>
      <c r="U16" s="132"/>
      <c r="V16" s="132"/>
      <c r="W16" s="132"/>
      <c r="X16" s="132"/>
      <c r="Y16" s="132"/>
    </row>
    <row r="17" spans="2:25">
      <c r="B17" s="133"/>
      <c r="C17" s="133"/>
      <c r="D17" s="133"/>
      <c r="E17" s="132"/>
      <c r="F17" s="156" t="s">
        <v>114</v>
      </c>
      <c r="G17" s="149">
        <f>Returns!Q180</f>
        <v>-0.24263579587040507</v>
      </c>
      <c r="H17" s="149">
        <f>Returns!R180</f>
        <v>-0.24263579587040507</v>
      </c>
      <c r="I17" s="149">
        <f>Returns!S180</f>
        <v>-0.81214690877027262</v>
      </c>
      <c r="J17" s="149">
        <f>Returns!T180</f>
        <v>-1.3601444124450857</v>
      </c>
      <c r="K17" s="149">
        <f>Returns!U180</f>
        <v>-0.24263579587040507</v>
      </c>
      <c r="L17" s="149">
        <f>Returns!V180</f>
        <v>-1.2612825038130215</v>
      </c>
      <c r="M17" s="149">
        <f>Returns!W180</f>
        <v>-2.9729144021554021</v>
      </c>
      <c r="N17" s="149">
        <f>Returns!X180</f>
        <v>-2.0469678526377932</v>
      </c>
      <c r="O17" s="149">
        <f>Returns!Y180</f>
        <v>-1.0756807566716931</v>
      </c>
      <c r="P17" s="149">
        <f>Returns!Z180</f>
        <v>-4.0111762054979572</v>
      </c>
      <c r="Q17" s="149">
        <f>Returns!AA180</f>
        <v>-4.2005390115171455</v>
      </c>
      <c r="R17" s="149">
        <f>Returns!AB180</f>
        <v>-9.8253997661012615</v>
      </c>
      <c r="S17" s="132"/>
      <c r="T17" s="132"/>
      <c r="U17" s="132"/>
      <c r="V17" s="132"/>
      <c r="W17" s="132"/>
      <c r="X17" s="132"/>
      <c r="Y17" s="132"/>
    </row>
    <row r="18" spans="2:25">
      <c r="B18" s="143" t="s">
        <v>137</v>
      </c>
      <c r="C18" s="133" t="s">
        <v>139</v>
      </c>
      <c r="D18" s="133"/>
      <c r="E18" s="132"/>
      <c r="F18" s="156" t="s">
        <v>115</v>
      </c>
      <c r="G18" s="149">
        <f>Returns!Q181</f>
        <v>0.54794470916792459</v>
      </c>
      <c r="H18" s="149">
        <f>Returns!R181</f>
        <v>0.54794470916792459</v>
      </c>
      <c r="I18" s="149">
        <f>Returns!S181</f>
        <v>0.77778069820617635</v>
      </c>
      <c r="J18" s="149">
        <f>Returns!T181</f>
        <v>2.1330840501410764</v>
      </c>
      <c r="K18" s="149">
        <f>Returns!U181</f>
        <v>0.54794470916792459</v>
      </c>
      <c r="L18" s="149">
        <f>Returns!V181</f>
        <v>2.0166703168217337</v>
      </c>
      <c r="M18" s="149">
        <f>Returns!W181</f>
        <v>3.4873406073572477</v>
      </c>
      <c r="N18" s="149">
        <f>Returns!X181</f>
        <v>3.6601266926473031</v>
      </c>
      <c r="O18" s="149">
        <f>Returns!Y181</f>
        <v>1.6599125684776839</v>
      </c>
      <c r="P18" s="149">
        <f>Returns!Z181</f>
        <v>11.309119000614043</v>
      </c>
      <c r="Q18" s="149">
        <f>Returns!AA181</f>
        <v>5.3856213409146925</v>
      </c>
      <c r="R18" s="149">
        <f>Returns!AB181</f>
        <v>8.4258508564627022</v>
      </c>
      <c r="S18" s="132"/>
      <c r="T18" s="132"/>
      <c r="U18" s="132"/>
      <c r="V18" s="132"/>
      <c r="W18" s="132"/>
      <c r="X18" s="132"/>
      <c r="Y18" s="132"/>
    </row>
    <row r="19" spans="2:25">
      <c r="B19" s="143" t="s">
        <v>138</v>
      </c>
      <c r="C19" s="133" t="s">
        <v>140</v>
      </c>
      <c r="D19" s="133"/>
      <c r="E19" s="132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2"/>
      <c r="T19" s="132"/>
      <c r="U19" s="132"/>
      <c r="V19" s="132"/>
      <c r="W19" s="132"/>
      <c r="X19" s="132"/>
      <c r="Y19" s="132"/>
    </row>
    <row r="20" spans="2:25">
      <c r="B20" s="143"/>
      <c r="C20" s="133"/>
      <c r="D20" s="133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</row>
    <row r="21" spans="2:25">
      <c r="B21" s="148" t="s">
        <v>130</v>
      </c>
      <c r="C21" s="133"/>
      <c r="D21" s="133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</row>
    <row r="22" spans="2:25" ht="7" customHeight="1"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45"/>
      <c r="O22" s="145"/>
      <c r="P22" s="145"/>
      <c r="Q22" s="145"/>
      <c r="R22" s="145"/>
      <c r="S22" s="132"/>
      <c r="T22" s="132"/>
      <c r="U22" s="132"/>
      <c r="V22" s="132"/>
      <c r="W22" s="132"/>
      <c r="X22" s="132"/>
      <c r="Y22" s="132"/>
    </row>
    <row r="23" spans="2:25" ht="11.15" customHeight="1"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61" t="str">
        <f>IF(Chart_Choice=4,"Each bar represents expected return in scenario "&amp;ScenName&amp;", +/- 1 sd","")</f>
        <v>Each bar represents expected return in scenario ALTERNATIVE - INFLATION, +/- 1 sd</v>
      </c>
      <c r="O23" s="161"/>
      <c r="P23" s="161"/>
      <c r="Q23" s="161"/>
      <c r="R23" s="161"/>
      <c r="S23" s="132"/>
      <c r="T23" s="132"/>
      <c r="U23" s="132"/>
      <c r="V23" s="132"/>
      <c r="W23" s="132"/>
      <c r="X23" s="132"/>
      <c r="Y23" s="132"/>
    </row>
    <row r="24" spans="2:25" ht="22" customHeight="1"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61"/>
      <c r="O24" s="161"/>
      <c r="P24" s="161"/>
      <c r="Q24" s="161"/>
      <c r="R24" s="161"/>
      <c r="S24" s="132"/>
      <c r="T24" s="132"/>
      <c r="U24" s="132"/>
      <c r="V24" s="132"/>
      <c r="W24" s="132"/>
      <c r="X24" s="132"/>
      <c r="Y24" s="132"/>
    </row>
    <row r="25" spans="2:25">
      <c r="B25" s="132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</row>
    <row r="26" spans="2:25"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</row>
    <row r="27" spans="2:25">
      <c r="B27" s="132"/>
      <c r="C27" s="132"/>
      <c r="D27" s="132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</row>
    <row r="28" spans="2:25"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</row>
    <row r="29" spans="2:25"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</row>
    <row r="30" spans="2:25"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</row>
    <row r="31" spans="2:25"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</row>
    <row r="32" spans="2:25"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</row>
    <row r="33" spans="2:2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</row>
    <row r="34" spans="2:2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</row>
    <row r="35" spans="2:25"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</row>
    <row r="36" spans="2:25"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</row>
    <row r="37" spans="2:25"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</row>
    <row r="38" spans="2:25"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</row>
    <row r="39" spans="2:25">
      <c r="B39" s="13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</row>
    <row r="40" spans="2:25">
      <c r="B40" s="13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</row>
    <row r="41" spans="2:25"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</row>
    <row r="42" spans="2:25"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</row>
    <row r="43" spans="2:25">
      <c r="B43" s="132"/>
      <c r="C43" s="132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</row>
    <row r="44" spans="2:25"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</row>
    <row r="45" spans="2:25"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</row>
    <row r="46" spans="2:25"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</row>
    <row r="47" spans="2:25"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</row>
    <row r="48" spans="2:25"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</row>
    <row r="49" spans="2:25"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</row>
    <row r="50" spans="2:25"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</row>
  </sheetData>
  <sheetProtection algorithmName="SHA-512" hashValue="kpS2ov/FnLwVIoIPxMFNZs75NtiPWR61sH+yogdlagXpLR0owKV7j6ZvMb1KLaRWzhx8e7Bh3Fdi7C1IRKjqcQ==" saltValue="zxr9ZNdRrYVwvss3MoAYmQ==" spinCount="100000" sheet="1" objects="1" scenarios="1"/>
  <mergeCells count="1">
    <mergeCell ref="N23:R24"/>
  </mergeCells>
  <conditionalFormatting sqref="G5:R18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8" r:id="rId3" name="Option Button 20">
              <controlPr defaultSize="0" autoFill="0" autoLine="0" autoPict="0" macro="[0]!OptionButton1_Click">
                <anchor moveWithCells="1">
                  <from>
                    <xdr:col>1</xdr:col>
                    <xdr:colOff>1022350</xdr:colOff>
                    <xdr:row>21</xdr:row>
                    <xdr:rowOff>50800</xdr:rowOff>
                  </from>
                  <to>
                    <xdr:col>3</xdr:col>
                    <xdr:colOff>19050</xdr:colOff>
                    <xdr:row>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4" name="Option Button 21">
              <controlPr defaultSize="0" autoFill="0" autoLine="0" autoPict="0" macro="[0]!OptionButton2_Click">
                <anchor moveWithCells="1">
                  <from>
                    <xdr:col>3</xdr:col>
                    <xdr:colOff>469900</xdr:colOff>
                    <xdr:row>21</xdr:row>
                    <xdr:rowOff>50800</xdr:rowOff>
                  </from>
                  <to>
                    <xdr:col>5</xdr:col>
                    <xdr:colOff>933450</xdr:colOff>
                    <xdr:row>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5" name="Option Button 22">
              <controlPr defaultSize="0" autoFill="0" autoLine="0" autoPict="0" macro="[0]!OptionButton4_Click">
                <anchor moveWithCells="1">
                  <from>
                    <xdr:col>6</xdr:col>
                    <xdr:colOff>88900</xdr:colOff>
                    <xdr:row>21</xdr:row>
                    <xdr:rowOff>50800</xdr:rowOff>
                  </from>
                  <to>
                    <xdr:col>8</xdr:col>
                    <xdr:colOff>431800</xdr:colOff>
                    <xdr:row>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6" name="Option Button 23">
              <controlPr defaultSize="0" autoFill="0" autoLine="0" autoPict="0" macro="[0]!OptionButton5_Click">
                <anchor moveWithCells="1">
                  <from>
                    <xdr:col>9</xdr:col>
                    <xdr:colOff>450850</xdr:colOff>
                    <xdr:row>21</xdr:row>
                    <xdr:rowOff>50800</xdr:rowOff>
                  </from>
                  <to>
                    <xdr:col>12</xdr:col>
                    <xdr:colOff>222250</xdr:colOff>
                    <xdr:row>23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91D4C-C2FF-834B-93C4-F4A24C4B40A6}">
  <sheetPr codeName="Sheet6">
    <tabColor theme="4"/>
  </sheetPr>
  <dimension ref="A1:S40"/>
  <sheetViews>
    <sheetView showRowColHeaders="0" topLeftCell="B2" zoomScale="98" zoomScaleNormal="98" workbookViewId="0">
      <selection activeCell="B2" sqref="B2"/>
    </sheetView>
  </sheetViews>
  <sheetFormatPr defaultColWidth="11" defaultRowHeight="15.5"/>
  <cols>
    <col min="1" max="1" width="10.58203125" hidden="1" customWidth="1"/>
    <col min="2" max="2" width="2.75" customWidth="1"/>
    <col min="3" max="3" width="19.75" customWidth="1"/>
    <col min="4" max="4" width="10.83203125" customWidth="1"/>
  </cols>
  <sheetData>
    <row r="1" spans="2:19" ht="21" hidden="1" customHeight="1"/>
    <row r="2" spans="2:19" ht="21">
      <c r="B2" s="132"/>
      <c r="C2" s="153" t="s">
        <v>154</v>
      </c>
      <c r="D2" s="132"/>
      <c r="E2" s="132"/>
      <c r="F2" s="135" t="s">
        <v>136</v>
      </c>
      <c r="G2" s="152" t="str">
        <f>FundName</f>
        <v>Benchmark</v>
      </c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19" ht="18.5">
      <c r="B3" s="132"/>
      <c r="C3" s="132"/>
      <c r="D3" s="132"/>
      <c r="E3" s="132"/>
      <c r="F3" s="135" t="s">
        <v>135</v>
      </c>
      <c r="G3" s="133" t="str">
        <f>ScenName</f>
        <v>ALTERNATIVE - INFLATION</v>
      </c>
      <c r="H3" s="150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</row>
    <row r="4" spans="2:19" ht="20.149999999999999" customHeight="1">
      <c r="B4" s="132"/>
      <c r="C4" s="151" t="s">
        <v>0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</row>
    <row r="5" spans="2:19" ht="20.149999999999999" customHeight="1">
      <c r="B5" s="132"/>
      <c r="C5" s="151" t="s">
        <v>1</v>
      </c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</row>
    <row r="6" spans="2:19" ht="20.149999999999999" customHeight="1">
      <c r="B6" s="132"/>
      <c r="C6" s="143" t="s">
        <v>145</v>
      </c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</row>
    <row r="7" spans="2:19" ht="20.149999999999999" customHeight="1">
      <c r="B7" s="132"/>
      <c r="C7" s="143" t="s">
        <v>155</v>
      </c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</row>
    <row r="8" spans="2:19" ht="20.149999999999999" customHeight="1">
      <c r="B8" s="132"/>
      <c r="C8" s="143" t="s">
        <v>150</v>
      </c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</row>
    <row r="9" spans="2:19" ht="20.149999999999999" customHeight="1">
      <c r="B9" s="132"/>
      <c r="C9" s="143" t="s">
        <v>151</v>
      </c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</row>
    <row r="10" spans="2:19" ht="20.149999999999999" customHeight="1">
      <c r="B10" s="132"/>
      <c r="C10" s="143" t="s">
        <v>6</v>
      </c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</row>
    <row r="11" spans="2:19" ht="20.149999999999999" customHeight="1">
      <c r="B11" s="132"/>
      <c r="C11" s="143" t="s">
        <v>7</v>
      </c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2"/>
    </row>
    <row r="12" spans="2:19" ht="20.149999999999999" customHeight="1">
      <c r="B12" s="132"/>
      <c r="C12" s="143" t="s">
        <v>8</v>
      </c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</row>
    <row r="13" spans="2:19" ht="20.149999999999999" customHeight="1">
      <c r="B13" s="132"/>
      <c r="C13" s="143" t="s">
        <v>146</v>
      </c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</row>
    <row r="14" spans="2:19" ht="20.149999999999999" customHeight="1">
      <c r="B14" s="132"/>
      <c r="C14" s="143" t="s">
        <v>147</v>
      </c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2"/>
    </row>
    <row r="15" spans="2:19" ht="20.149999999999999" customHeight="1">
      <c r="B15" s="132"/>
      <c r="C15" s="143" t="s">
        <v>149</v>
      </c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</row>
    <row r="16" spans="2:19">
      <c r="B16" s="132"/>
      <c r="C16" s="133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2"/>
      <c r="S16" s="132"/>
    </row>
    <row r="17" spans="2:19">
      <c r="B17" s="132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2"/>
    </row>
    <row r="18" spans="2:19">
      <c r="B18" s="132"/>
      <c r="C18" s="132"/>
      <c r="D18" s="132"/>
      <c r="E18" s="132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2"/>
    </row>
    <row r="19" spans="2:19">
      <c r="B19" s="132"/>
      <c r="C19" s="132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2"/>
    </row>
    <row r="20" spans="2:19">
      <c r="B20" s="132"/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</row>
    <row r="21" spans="2:19"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</row>
    <row r="22" spans="2:19"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</row>
    <row r="23" spans="2:19"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</row>
    <row r="24" spans="2:19"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</row>
    <row r="25" spans="2:19">
      <c r="B25" s="132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</row>
    <row r="26" spans="2:19"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</row>
    <row r="27" spans="2:19">
      <c r="B27" s="132"/>
      <c r="C27" s="132"/>
      <c r="D27" s="132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</row>
    <row r="28" spans="2:19"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</row>
    <row r="29" spans="2:19"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</row>
    <row r="30" spans="2:19"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</row>
    <row r="31" spans="2:19"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</row>
    <row r="32" spans="2:19"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</row>
    <row r="33" spans="2:19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</row>
    <row r="34" spans="2:19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</row>
    <row r="35" spans="2:19"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</row>
    <row r="36" spans="2:19"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</row>
    <row r="37" spans="2:19"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</row>
    <row r="38" spans="2:19"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</row>
    <row r="39" spans="2:19">
      <c r="B39" s="13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</row>
    <row r="40" spans="2:19">
      <c r="B40" s="13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</row>
  </sheetData>
  <sheetProtection algorithmName="SHA-512" hashValue="aJgdjeusDIboehN2hD9siB3CJMMchKN4OZIDW+BB0QSRsz75pyccrbx4XBUdLhYkcA1Xbo+AGaJ6xtik3sW87A==" saltValue="MRR3KXMkUuqN4KEvO63L4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>
                <anchor moveWithCells="1">
                  <from>
                    <xdr:col>3</xdr:col>
                    <xdr:colOff>88900</xdr:colOff>
                    <xdr:row>2</xdr:row>
                    <xdr:rowOff>203200</xdr:rowOff>
                  </from>
                  <to>
                    <xdr:col>3</xdr:col>
                    <xdr:colOff>488950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>
                  <from>
                    <xdr:col>3</xdr:col>
                    <xdr:colOff>88900</xdr:colOff>
                    <xdr:row>3</xdr:row>
                    <xdr:rowOff>228600</xdr:rowOff>
                  </from>
                  <to>
                    <xdr:col>3</xdr:col>
                    <xdr:colOff>488950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Option Button 3">
              <controlPr defaultSize="0" autoFill="0" autoLine="0" autoPict="0">
                <anchor moveWithCells="1">
                  <from>
                    <xdr:col>3</xdr:col>
                    <xdr:colOff>88900</xdr:colOff>
                    <xdr:row>5</xdr:row>
                    <xdr:rowOff>0</xdr:rowOff>
                  </from>
                  <to>
                    <xdr:col>3</xdr:col>
                    <xdr:colOff>488950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Option Button 4">
              <controlPr defaultSize="0" autoFill="0" autoLine="0" autoPict="0">
                <anchor moveWithCells="1">
                  <from>
                    <xdr:col>3</xdr:col>
                    <xdr:colOff>88900</xdr:colOff>
                    <xdr:row>5</xdr:row>
                    <xdr:rowOff>241300</xdr:rowOff>
                  </from>
                  <to>
                    <xdr:col>3</xdr:col>
                    <xdr:colOff>488950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Option Button 5">
              <controlPr defaultSize="0" autoFill="0" autoLine="0" autoPict="0">
                <anchor moveWithCells="1">
                  <from>
                    <xdr:col>3</xdr:col>
                    <xdr:colOff>76200</xdr:colOff>
                    <xdr:row>6</xdr:row>
                    <xdr:rowOff>241300</xdr:rowOff>
                  </from>
                  <to>
                    <xdr:col>3</xdr:col>
                    <xdr:colOff>469900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Option Button 6">
              <controlPr defaultSize="0" autoFill="0" autoLine="0" autoPict="0">
                <anchor moveWithCells="1">
                  <from>
                    <xdr:col>3</xdr:col>
                    <xdr:colOff>76200</xdr:colOff>
                    <xdr:row>7</xdr:row>
                    <xdr:rowOff>241300</xdr:rowOff>
                  </from>
                  <to>
                    <xdr:col>3</xdr:col>
                    <xdr:colOff>469900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Option Button 7">
              <controlPr defaultSize="0" autoFill="0" autoLine="0" autoPict="0">
                <anchor moveWithCells="1">
                  <from>
                    <xdr:col>3</xdr:col>
                    <xdr:colOff>69850</xdr:colOff>
                    <xdr:row>8</xdr:row>
                    <xdr:rowOff>241300</xdr:rowOff>
                  </from>
                  <to>
                    <xdr:col>3</xdr:col>
                    <xdr:colOff>457200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Option Button 8">
              <controlPr defaultSize="0" autoFill="0" autoLine="0" autoPict="0">
                <anchor moveWithCells="1">
                  <from>
                    <xdr:col>3</xdr:col>
                    <xdr:colOff>69850</xdr:colOff>
                    <xdr:row>9</xdr:row>
                    <xdr:rowOff>241300</xdr:rowOff>
                  </from>
                  <to>
                    <xdr:col>3</xdr:col>
                    <xdr:colOff>457200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Option Button 9">
              <controlPr defaultSize="0" autoFill="0" autoLine="0" autoPict="0">
                <anchor moveWithCells="1">
                  <from>
                    <xdr:col>3</xdr:col>
                    <xdr:colOff>57150</xdr:colOff>
                    <xdr:row>10</xdr:row>
                    <xdr:rowOff>241300</xdr:rowOff>
                  </from>
                  <to>
                    <xdr:col>3</xdr:col>
                    <xdr:colOff>450850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Option Button 10">
              <controlPr defaultSize="0" autoFill="0" autoLine="0" autoPict="0">
                <anchor moveWithCells="1">
                  <from>
                    <xdr:col>3</xdr:col>
                    <xdr:colOff>50800</xdr:colOff>
                    <xdr:row>11</xdr:row>
                    <xdr:rowOff>228600</xdr:rowOff>
                  </from>
                  <to>
                    <xdr:col>3</xdr:col>
                    <xdr:colOff>450850</xdr:colOff>
                    <xdr:row>13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Option Button 11">
              <controlPr defaultSize="0" autoFill="0" autoLine="0" autoPict="0">
                <anchor moveWithCells="1">
                  <from>
                    <xdr:col>3</xdr:col>
                    <xdr:colOff>38100</xdr:colOff>
                    <xdr:row>12</xdr:row>
                    <xdr:rowOff>228600</xdr:rowOff>
                  </from>
                  <to>
                    <xdr:col>3</xdr:col>
                    <xdr:colOff>431800</xdr:colOff>
                    <xdr:row>14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Option Button 12">
              <controlPr defaultSize="0" autoFill="0" autoLine="0" autoPict="0">
                <anchor moveWithCells="1">
                  <from>
                    <xdr:col>3</xdr:col>
                    <xdr:colOff>38100</xdr:colOff>
                    <xdr:row>13</xdr:row>
                    <xdr:rowOff>228600</xdr:rowOff>
                  </from>
                  <to>
                    <xdr:col>3</xdr:col>
                    <xdr:colOff>431800</xdr:colOff>
                    <xdr:row>15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Forecaster</vt:lpstr>
      <vt:lpstr>Allocator</vt:lpstr>
      <vt:lpstr>Details</vt:lpstr>
      <vt:lpstr>Alloc_Charts</vt:lpstr>
      <vt:lpstr>Ccy</vt:lpstr>
      <vt:lpstr>CcyChoice</vt:lpstr>
      <vt:lpstr>CcyList</vt:lpstr>
      <vt:lpstr>Chart_Choice</vt:lpstr>
      <vt:lpstr>FcastCurve</vt:lpstr>
      <vt:lpstr>Fcasts</vt:lpstr>
      <vt:lpstr>fcastUS3m</vt:lpstr>
      <vt:lpstr>FundChoice</vt:lpstr>
      <vt:lpstr>FundName</vt:lpstr>
      <vt:lpstr>ScenChoice</vt:lpstr>
      <vt:lpstr>ScenFcast</vt:lpstr>
      <vt:lpstr>ScenList</vt:lpstr>
      <vt:lpstr>ScenName</vt:lpstr>
      <vt:lpstr>SpotCurve</vt:lpstr>
      <vt:lpstr>Spots</vt:lpstr>
      <vt:lpstr>WtAllocBM</vt:lpstr>
      <vt:lpstr>WtAllocPF</vt:lpstr>
      <vt:lpstr>WtBM</vt:lpstr>
      <vt:lpstr>WtBMsafe</vt:lpstr>
      <vt:lpstr>WtPF</vt:lpstr>
      <vt:lpstr>WtPFsafe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Cubbon</dc:creator>
  <cp:lastModifiedBy>Alan Cubbon</cp:lastModifiedBy>
  <dcterms:created xsi:type="dcterms:W3CDTF">2020-10-02T13:11:03Z</dcterms:created>
  <dcterms:modified xsi:type="dcterms:W3CDTF">2023-09-27T15:55:08Z</dcterms:modified>
</cp:coreProperties>
</file>