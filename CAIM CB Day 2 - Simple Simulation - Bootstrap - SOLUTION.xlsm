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workbookPr codeName="ThisWorkbook"/>
  <mc:AlternateContent xmlns:mc="http://schemas.openxmlformats.org/markup-compatibility/2006">
    <mc:Choice Requires="x15">
      <x15ac:absPath xmlns:x15ac="http://schemas.microsoft.com/office/spreadsheetml/2010/11/ac" url="/Users/robertsgrava/Library/CloudStorage/OneDrive-Personal/CAIM/2023/2310 CAIM CB Seminar/Day 2/"/>
    </mc:Choice>
  </mc:AlternateContent>
  <xr:revisionPtr revIDLastSave="0" documentId="13_ncr:1_{2B906AC9-FFFD-A642-9A26-5178D919DD79}" xr6:coauthVersionLast="47" xr6:coauthVersionMax="47" xr10:uidLastSave="{00000000-0000-0000-0000-000000000000}"/>
  <workbookProtection workbookAlgorithmName="SHA-512" workbookHashValue="IvRroo2WSbDOHF5ybG0MJPLkyoQILPAcFPAB4+ijv0fzu1Ln0i3rORKZazRIC916Acta6T+CRCwO0qXYpdIZAg==" workbookSaltValue="dZqavk/CdyhlyU5RqWrXOg==" workbookSpinCount="100000" lockStructure="1"/>
  <bookViews>
    <workbookView xWindow="-10780" yWindow="-25920" windowWidth="18140" windowHeight="15380" activeTab="1" xr2:uid="{00000000-000D-0000-FFFF-FFFF00000000}"/>
  </bookViews>
  <sheets>
    <sheet name="DISCLAIMER" sheetId="10" r:id="rId1"/>
    <sheet name="Simple Bootstrap" sheetId="9" r:id="rId2"/>
    <sheet name="Hist Data" sheetId="7" r:id="rId3"/>
  </sheets>
  <externalReferences>
    <externalReference r:id="rId4"/>
  </externalReferences>
  <definedNames>
    <definedName name="assetnames" localSheetId="0">[1]Univariate!$C$12:$L$12</definedName>
    <definedName name="assetnames">'Hist Data'!$C$7:$L$7</definedName>
    <definedName name="chronological">#REF!</definedName>
    <definedName name="confidence">[1]Univariate!$L$3</definedName>
    <definedName name="covmtx">[1]Dependence!$C$19:$L$28</definedName>
    <definedName name="enddate">#REF!</definedName>
    <definedName name="exprets">'Hist Data'!$C$4:$L$4</definedName>
    <definedName name="fill">#REF!</definedName>
    <definedName name="histdata">'Hist Data'!$D$8:$L$139</definedName>
    <definedName name="histdates">'Hist Data'!$N$9:$N$139</definedName>
    <definedName name="histrets">'Hist Data'!$O$9:$X$139</definedName>
    <definedName name="meana">'[1]Risk Measures'!$C$4</definedName>
    <definedName name="meanb">'[1]Risk Measures'!$D$4</definedName>
    <definedName name="monthlyrets">[1]Univariate!$O$14:$X$144</definedName>
    <definedName name="numobs">'Hist Data'!$N$4</definedName>
    <definedName name="period">#REF!</definedName>
    <definedName name="portrets">[1]Multivariate!$O$22:$S$152</definedName>
    <definedName name="portwts">[1]Multivariate!$C$4:$L$8</definedName>
    <definedName name="rollinganndates">[1]Univariate!$Z$25:$Z$144</definedName>
    <definedName name="rollingannrets">[1]Univariate!$AA$25:$AJ$144</definedName>
    <definedName name="showcvar">'[1]Risk Measures'!#REF!</definedName>
    <definedName name="showvar">'[1]Risk Measures'!#REF!</definedName>
    <definedName name="simix">'Simple Bootstrap'!$N$4:$N$503</definedName>
    <definedName name="startdate">#REF!</definedName>
    <definedName name="stdevs">[1]Dependence!$C$34:$L$34</definedName>
    <definedName name="vola">'[1]Risk Measures'!$C$5</definedName>
    <definedName name="volb">'[1]Risk Measures'!$D$5</definedName>
    <definedName name="zmax">'[1]Boiler Room'!$B$2</definedName>
    <definedName name="zmin">'[1]Boiler Room'!$B$1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9" l="1" a="1"/>
  <c r="Q3" i="9" s="1"/>
  <c r="C3" i="9" a="1"/>
  <c r="C3" i="9" s="1"/>
  <c r="N4" i="7"/>
  <c r="N18" i="9" s="1"/>
  <c r="N10" i="7"/>
  <c r="O10" i="7"/>
  <c r="P10" i="7"/>
  <c r="Q10" i="7"/>
  <c r="R10" i="7"/>
  <c r="S10" i="7"/>
  <c r="T10" i="7"/>
  <c r="U10" i="7"/>
  <c r="V10" i="7"/>
  <c r="W10" i="7"/>
  <c r="X10" i="7"/>
  <c r="N11" i="7"/>
  <c r="O11" i="7"/>
  <c r="P11" i="7"/>
  <c r="Q11" i="7"/>
  <c r="R11" i="7"/>
  <c r="S11" i="7"/>
  <c r="T11" i="7"/>
  <c r="U11" i="7"/>
  <c r="V11" i="7"/>
  <c r="W11" i="7"/>
  <c r="X11" i="7"/>
  <c r="N12" i="7"/>
  <c r="O12" i="7"/>
  <c r="P12" i="7"/>
  <c r="Q12" i="7"/>
  <c r="R12" i="7"/>
  <c r="S12" i="7"/>
  <c r="T12" i="7"/>
  <c r="U12" i="7"/>
  <c r="V12" i="7"/>
  <c r="W12" i="7"/>
  <c r="X12" i="7"/>
  <c r="N13" i="7"/>
  <c r="O13" i="7"/>
  <c r="P13" i="7"/>
  <c r="Q13" i="7"/>
  <c r="R13" i="7"/>
  <c r="S13" i="7"/>
  <c r="T13" i="7"/>
  <c r="U13" i="7"/>
  <c r="V13" i="7"/>
  <c r="W13" i="7"/>
  <c r="X13" i="7"/>
  <c r="N14" i="7"/>
  <c r="O14" i="7"/>
  <c r="P14" i="7"/>
  <c r="Q14" i="7"/>
  <c r="R14" i="7"/>
  <c r="S14" i="7"/>
  <c r="T14" i="7"/>
  <c r="U14" i="7"/>
  <c r="V14" i="7"/>
  <c r="W14" i="7"/>
  <c r="X14" i="7"/>
  <c r="N15" i="7"/>
  <c r="O15" i="7"/>
  <c r="P15" i="7"/>
  <c r="Q15" i="7"/>
  <c r="R15" i="7"/>
  <c r="S15" i="7"/>
  <c r="T15" i="7"/>
  <c r="U15" i="7"/>
  <c r="V15" i="7"/>
  <c r="W15" i="7"/>
  <c r="X15" i="7"/>
  <c r="N16" i="7"/>
  <c r="O16" i="7"/>
  <c r="P16" i="7"/>
  <c r="Q16" i="7"/>
  <c r="R16" i="7"/>
  <c r="S16" i="7"/>
  <c r="T16" i="7"/>
  <c r="U16" i="7"/>
  <c r="V16" i="7"/>
  <c r="W16" i="7"/>
  <c r="X16" i="7"/>
  <c r="N17" i="7"/>
  <c r="O17" i="7"/>
  <c r="P17" i="7"/>
  <c r="Q17" i="7"/>
  <c r="R17" i="7"/>
  <c r="S17" i="7"/>
  <c r="T17" i="7"/>
  <c r="U17" i="7"/>
  <c r="V17" i="7"/>
  <c r="W17" i="7"/>
  <c r="X17" i="7"/>
  <c r="N18" i="7"/>
  <c r="O18" i="7"/>
  <c r="P18" i="7"/>
  <c r="Q18" i="7"/>
  <c r="R18" i="7"/>
  <c r="S18" i="7"/>
  <c r="T18" i="7"/>
  <c r="U18" i="7"/>
  <c r="V18" i="7"/>
  <c r="W18" i="7"/>
  <c r="X18" i="7"/>
  <c r="N19" i="7"/>
  <c r="O19" i="7"/>
  <c r="P19" i="7"/>
  <c r="Q19" i="7"/>
  <c r="R19" i="7"/>
  <c r="S19" i="7"/>
  <c r="T19" i="7"/>
  <c r="U19" i="7"/>
  <c r="V19" i="7"/>
  <c r="W19" i="7"/>
  <c r="X19" i="7"/>
  <c r="N20" i="7"/>
  <c r="O20" i="7"/>
  <c r="P20" i="7"/>
  <c r="Q20" i="7"/>
  <c r="R20" i="7"/>
  <c r="S20" i="7"/>
  <c r="T20" i="7"/>
  <c r="U20" i="7"/>
  <c r="V20" i="7"/>
  <c r="W20" i="7"/>
  <c r="X20" i="7"/>
  <c r="N21" i="7"/>
  <c r="O21" i="7"/>
  <c r="P21" i="7"/>
  <c r="Q21" i="7"/>
  <c r="R21" i="7"/>
  <c r="S21" i="7"/>
  <c r="T21" i="7"/>
  <c r="U21" i="7"/>
  <c r="V21" i="7"/>
  <c r="W21" i="7"/>
  <c r="X21" i="7"/>
  <c r="N22" i="7"/>
  <c r="O22" i="7"/>
  <c r="P22" i="7"/>
  <c r="Q22" i="7"/>
  <c r="R22" i="7"/>
  <c r="S22" i="7"/>
  <c r="T22" i="7"/>
  <c r="U22" i="7"/>
  <c r="V22" i="7"/>
  <c r="W22" i="7"/>
  <c r="X22" i="7"/>
  <c r="N23" i="7"/>
  <c r="O23" i="7"/>
  <c r="P23" i="7"/>
  <c r="Q23" i="7"/>
  <c r="R23" i="7"/>
  <c r="S23" i="7"/>
  <c r="T23" i="7"/>
  <c r="U23" i="7"/>
  <c r="V23" i="7"/>
  <c r="W23" i="7"/>
  <c r="X23" i="7"/>
  <c r="N24" i="7"/>
  <c r="O24" i="7"/>
  <c r="P24" i="7"/>
  <c r="Q24" i="7"/>
  <c r="R24" i="7"/>
  <c r="S24" i="7"/>
  <c r="T24" i="7"/>
  <c r="U24" i="7"/>
  <c r="V24" i="7"/>
  <c r="W24" i="7"/>
  <c r="X24" i="7"/>
  <c r="N25" i="7"/>
  <c r="O25" i="7"/>
  <c r="P25" i="7"/>
  <c r="Q25" i="7"/>
  <c r="R25" i="7"/>
  <c r="S25" i="7"/>
  <c r="T25" i="7"/>
  <c r="U25" i="7"/>
  <c r="V25" i="7"/>
  <c r="W25" i="7"/>
  <c r="X25" i="7"/>
  <c r="N26" i="7"/>
  <c r="O26" i="7"/>
  <c r="P26" i="7"/>
  <c r="Q26" i="7"/>
  <c r="R26" i="7"/>
  <c r="S26" i="7"/>
  <c r="T26" i="7"/>
  <c r="U26" i="7"/>
  <c r="V26" i="7"/>
  <c r="W26" i="7"/>
  <c r="X26" i="7"/>
  <c r="N27" i="7"/>
  <c r="O27" i="7"/>
  <c r="P27" i="7"/>
  <c r="Q27" i="7"/>
  <c r="R27" i="7"/>
  <c r="S27" i="7"/>
  <c r="T27" i="7"/>
  <c r="U27" i="7"/>
  <c r="V27" i="7"/>
  <c r="W27" i="7"/>
  <c r="X27" i="7"/>
  <c r="N28" i="7"/>
  <c r="O28" i="7"/>
  <c r="P28" i="7"/>
  <c r="Q28" i="7"/>
  <c r="R28" i="7"/>
  <c r="S28" i="7"/>
  <c r="T28" i="7"/>
  <c r="U28" i="7"/>
  <c r="V28" i="7"/>
  <c r="W28" i="7"/>
  <c r="X28" i="7"/>
  <c r="N29" i="7"/>
  <c r="O29" i="7"/>
  <c r="P29" i="7"/>
  <c r="Q29" i="7"/>
  <c r="R29" i="7"/>
  <c r="S29" i="7"/>
  <c r="T29" i="7"/>
  <c r="U29" i="7"/>
  <c r="V29" i="7"/>
  <c r="W29" i="7"/>
  <c r="X29" i="7"/>
  <c r="N30" i="7"/>
  <c r="O30" i="7"/>
  <c r="P30" i="7"/>
  <c r="Q30" i="7"/>
  <c r="R30" i="7"/>
  <c r="S30" i="7"/>
  <c r="T30" i="7"/>
  <c r="U30" i="7"/>
  <c r="V30" i="7"/>
  <c r="W30" i="7"/>
  <c r="X30" i="7"/>
  <c r="N31" i="7"/>
  <c r="O31" i="7"/>
  <c r="P31" i="7"/>
  <c r="Q31" i="7"/>
  <c r="R31" i="7"/>
  <c r="S31" i="7"/>
  <c r="T31" i="7"/>
  <c r="U31" i="7"/>
  <c r="V31" i="7"/>
  <c r="W31" i="7"/>
  <c r="X31" i="7"/>
  <c r="N32" i="7"/>
  <c r="O32" i="7"/>
  <c r="P32" i="7"/>
  <c r="Q32" i="7"/>
  <c r="R32" i="7"/>
  <c r="S32" i="7"/>
  <c r="T32" i="7"/>
  <c r="U32" i="7"/>
  <c r="V32" i="7"/>
  <c r="W32" i="7"/>
  <c r="X32" i="7"/>
  <c r="N33" i="7"/>
  <c r="O33" i="7"/>
  <c r="P33" i="7"/>
  <c r="Q33" i="7"/>
  <c r="R33" i="7"/>
  <c r="S33" i="7"/>
  <c r="T33" i="7"/>
  <c r="U33" i="7"/>
  <c r="V33" i="7"/>
  <c r="W33" i="7"/>
  <c r="X33" i="7"/>
  <c r="N34" i="7"/>
  <c r="O34" i="7"/>
  <c r="P34" i="7"/>
  <c r="Q34" i="7"/>
  <c r="R34" i="7"/>
  <c r="S34" i="7"/>
  <c r="T34" i="7"/>
  <c r="U34" i="7"/>
  <c r="V34" i="7"/>
  <c r="W34" i="7"/>
  <c r="X34" i="7"/>
  <c r="N35" i="7"/>
  <c r="O35" i="7"/>
  <c r="P35" i="7"/>
  <c r="Q35" i="7"/>
  <c r="R35" i="7"/>
  <c r="S35" i="7"/>
  <c r="T35" i="7"/>
  <c r="U35" i="7"/>
  <c r="V35" i="7"/>
  <c r="W35" i="7"/>
  <c r="X35" i="7"/>
  <c r="N36" i="7"/>
  <c r="O36" i="7"/>
  <c r="P36" i="7"/>
  <c r="Q36" i="7"/>
  <c r="R36" i="7"/>
  <c r="S36" i="7"/>
  <c r="T36" i="7"/>
  <c r="U36" i="7"/>
  <c r="V36" i="7"/>
  <c r="W36" i="7"/>
  <c r="X36" i="7"/>
  <c r="N37" i="7"/>
  <c r="O37" i="7"/>
  <c r="P37" i="7"/>
  <c r="Q37" i="7"/>
  <c r="R37" i="7"/>
  <c r="S37" i="7"/>
  <c r="T37" i="7"/>
  <c r="U37" i="7"/>
  <c r="V37" i="7"/>
  <c r="W37" i="7"/>
  <c r="X37" i="7"/>
  <c r="N38" i="7"/>
  <c r="O38" i="7"/>
  <c r="P38" i="7"/>
  <c r="Q38" i="7"/>
  <c r="R38" i="7"/>
  <c r="S38" i="7"/>
  <c r="T38" i="7"/>
  <c r="U38" i="7"/>
  <c r="V38" i="7"/>
  <c r="W38" i="7"/>
  <c r="X38" i="7"/>
  <c r="N39" i="7"/>
  <c r="O39" i="7"/>
  <c r="P39" i="7"/>
  <c r="Q39" i="7"/>
  <c r="R39" i="7"/>
  <c r="S39" i="7"/>
  <c r="T39" i="7"/>
  <c r="U39" i="7"/>
  <c r="V39" i="7"/>
  <c r="W39" i="7"/>
  <c r="X39" i="7"/>
  <c r="N40" i="7"/>
  <c r="O40" i="7"/>
  <c r="P40" i="7"/>
  <c r="Q40" i="7"/>
  <c r="R40" i="7"/>
  <c r="S40" i="7"/>
  <c r="T40" i="7"/>
  <c r="U40" i="7"/>
  <c r="V40" i="7"/>
  <c r="W40" i="7"/>
  <c r="X40" i="7"/>
  <c r="N41" i="7"/>
  <c r="O41" i="7"/>
  <c r="P41" i="7"/>
  <c r="Q41" i="7"/>
  <c r="R41" i="7"/>
  <c r="S41" i="7"/>
  <c r="T41" i="7"/>
  <c r="U41" i="7"/>
  <c r="V41" i="7"/>
  <c r="W41" i="7"/>
  <c r="X41" i="7"/>
  <c r="N42" i="7"/>
  <c r="O42" i="7"/>
  <c r="P42" i="7"/>
  <c r="Q42" i="7"/>
  <c r="R42" i="7"/>
  <c r="S42" i="7"/>
  <c r="T42" i="7"/>
  <c r="U42" i="7"/>
  <c r="V42" i="7"/>
  <c r="W42" i="7"/>
  <c r="X42" i="7"/>
  <c r="N43" i="7"/>
  <c r="O43" i="7"/>
  <c r="P43" i="7"/>
  <c r="Q43" i="7"/>
  <c r="R43" i="7"/>
  <c r="S43" i="7"/>
  <c r="T43" i="7"/>
  <c r="U43" i="7"/>
  <c r="V43" i="7"/>
  <c r="W43" i="7"/>
  <c r="X43" i="7"/>
  <c r="N44" i="7"/>
  <c r="O44" i="7"/>
  <c r="P44" i="7"/>
  <c r="Q44" i="7"/>
  <c r="R44" i="7"/>
  <c r="S44" i="7"/>
  <c r="T44" i="7"/>
  <c r="U44" i="7"/>
  <c r="V44" i="7"/>
  <c r="W44" i="7"/>
  <c r="X44" i="7"/>
  <c r="N45" i="7"/>
  <c r="O45" i="7"/>
  <c r="P45" i="7"/>
  <c r="Q45" i="7"/>
  <c r="R45" i="7"/>
  <c r="S45" i="7"/>
  <c r="T45" i="7"/>
  <c r="U45" i="7"/>
  <c r="V45" i="7"/>
  <c r="W45" i="7"/>
  <c r="X45" i="7"/>
  <c r="N46" i="7"/>
  <c r="O46" i="7"/>
  <c r="P46" i="7"/>
  <c r="Q46" i="7"/>
  <c r="R46" i="7"/>
  <c r="S46" i="7"/>
  <c r="T46" i="7"/>
  <c r="U46" i="7"/>
  <c r="V46" i="7"/>
  <c r="W46" i="7"/>
  <c r="X46" i="7"/>
  <c r="N47" i="7"/>
  <c r="O47" i="7"/>
  <c r="P47" i="7"/>
  <c r="Q47" i="7"/>
  <c r="R47" i="7"/>
  <c r="S47" i="7"/>
  <c r="T47" i="7"/>
  <c r="U47" i="7"/>
  <c r="V47" i="7"/>
  <c r="W47" i="7"/>
  <c r="X47" i="7"/>
  <c r="N48" i="7"/>
  <c r="O48" i="7"/>
  <c r="P48" i="7"/>
  <c r="Q48" i="7"/>
  <c r="R48" i="7"/>
  <c r="S48" i="7"/>
  <c r="T48" i="7"/>
  <c r="U48" i="7"/>
  <c r="V48" i="7"/>
  <c r="W48" i="7"/>
  <c r="X48" i="7"/>
  <c r="N49" i="7"/>
  <c r="O49" i="7"/>
  <c r="P49" i="7"/>
  <c r="Q49" i="7"/>
  <c r="R49" i="7"/>
  <c r="S49" i="7"/>
  <c r="T49" i="7"/>
  <c r="U49" i="7"/>
  <c r="V49" i="7"/>
  <c r="W49" i="7"/>
  <c r="X49" i="7"/>
  <c r="N50" i="7"/>
  <c r="O50" i="7"/>
  <c r="P50" i="7"/>
  <c r="Q50" i="7"/>
  <c r="R50" i="7"/>
  <c r="S50" i="7"/>
  <c r="T50" i="7"/>
  <c r="U50" i="7"/>
  <c r="V50" i="7"/>
  <c r="W50" i="7"/>
  <c r="X50" i="7"/>
  <c r="N51" i="7"/>
  <c r="O51" i="7"/>
  <c r="P51" i="7"/>
  <c r="Q51" i="7"/>
  <c r="R51" i="7"/>
  <c r="S51" i="7"/>
  <c r="T51" i="7"/>
  <c r="U51" i="7"/>
  <c r="V51" i="7"/>
  <c r="W51" i="7"/>
  <c r="X51" i="7"/>
  <c r="N52" i="7"/>
  <c r="O52" i="7"/>
  <c r="P52" i="7"/>
  <c r="Q52" i="7"/>
  <c r="R52" i="7"/>
  <c r="S52" i="7"/>
  <c r="T52" i="7"/>
  <c r="U52" i="7"/>
  <c r="V52" i="7"/>
  <c r="W52" i="7"/>
  <c r="X52" i="7"/>
  <c r="N53" i="7"/>
  <c r="O53" i="7"/>
  <c r="P53" i="7"/>
  <c r="Q53" i="7"/>
  <c r="R53" i="7"/>
  <c r="S53" i="7"/>
  <c r="T53" i="7"/>
  <c r="U53" i="7"/>
  <c r="V53" i="7"/>
  <c r="W53" i="7"/>
  <c r="X53" i="7"/>
  <c r="N54" i="7"/>
  <c r="O54" i="7"/>
  <c r="P54" i="7"/>
  <c r="Q54" i="7"/>
  <c r="R54" i="7"/>
  <c r="S54" i="7"/>
  <c r="T54" i="7"/>
  <c r="U54" i="7"/>
  <c r="V54" i="7"/>
  <c r="W54" i="7"/>
  <c r="X54" i="7"/>
  <c r="N55" i="7"/>
  <c r="O55" i="7"/>
  <c r="P55" i="7"/>
  <c r="Q55" i="7"/>
  <c r="R55" i="7"/>
  <c r="S55" i="7"/>
  <c r="T55" i="7"/>
  <c r="U55" i="7"/>
  <c r="V55" i="7"/>
  <c r="W55" i="7"/>
  <c r="X55" i="7"/>
  <c r="N56" i="7"/>
  <c r="O56" i="7"/>
  <c r="P56" i="7"/>
  <c r="Q56" i="7"/>
  <c r="R56" i="7"/>
  <c r="S56" i="7"/>
  <c r="T56" i="7"/>
  <c r="U56" i="7"/>
  <c r="V56" i="7"/>
  <c r="W56" i="7"/>
  <c r="X56" i="7"/>
  <c r="N57" i="7"/>
  <c r="O57" i="7"/>
  <c r="P57" i="7"/>
  <c r="Q57" i="7"/>
  <c r="R57" i="7"/>
  <c r="S57" i="7"/>
  <c r="T57" i="7"/>
  <c r="U57" i="7"/>
  <c r="V57" i="7"/>
  <c r="W57" i="7"/>
  <c r="X57" i="7"/>
  <c r="N58" i="7"/>
  <c r="O58" i="7"/>
  <c r="P58" i="7"/>
  <c r="Q58" i="7"/>
  <c r="R58" i="7"/>
  <c r="S58" i="7"/>
  <c r="T58" i="7"/>
  <c r="U58" i="7"/>
  <c r="V58" i="7"/>
  <c r="W58" i="7"/>
  <c r="X58" i="7"/>
  <c r="N59" i="7"/>
  <c r="O59" i="7"/>
  <c r="P59" i="7"/>
  <c r="Q59" i="7"/>
  <c r="R59" i="7"/>
  <c r="S59" i="7"/>
  <c r="T59" i="7"/>
  <c r="U59" i="7"/>
  <c r="V59" i="7"/>
  <c r="W59" i="7"/>
  <c r="X59" i="7"/>
  <c r="N60" i="7"/>
  <c r="O60" i="7"/>
  <c r="P60" i="7"/>
  <c r="Q60" i="7"/>
  <c r="R60" i="7"/>
  <c r="S60" i="7"/>
  <c r="T60" i="7"/>
  <c r="U60" i="7"/>
  <c r="V60" i="7"/>
  <c r="W60" i="7"/>
  <c r="X60" i="7"/>
  <c r="N61" i="7"/>
  <c r="O61" i="7"/>
  <c r="P61" i="7"/>
  <c r="Q61" i="7"/>
  <c r="R61" i="7"/>
  <c r="S61" i="7"/>
  <c r="T61" i="7"/>
  <c r="U61" i="7"/>
  <c r="V61" i="7"/>
  <c r="W61" i="7"/>
  <c r="X61" i="7"/>
  <c r="N62" i="7"/>
  <c r="O62" i="7"/>
  <c r="P62" i="7"/>
  <c r="Q62" i="7"/>
  <c r="R62" i="7"/>
  <c r="S62" i="7"/>
  <c r="T62" i="7"/>
  <c r="U62" i="7"/>
  <c r="V62" i="7"/>
  <c r="W62" i="7"/>
  <c r="X62" i="7"/>
  <c r="N63" i="7"/>
  <c r="O63" i="7"/>
  <c r="P63" i="7"/>
  <c r="Q63" i="7"/>
  <c r="R63" i="7"/>
  <c r="S63" i="7"/>
  <c r="T63" i="7"/>
  <c r="U63" i="7"/>
  <c r="V63" i="7"/>
  <c r="W63" i="7"/>
  <c r="X63" i="7"/>
  <c r="N64" i="7"/>
  <c r="O64" i="7"/>
  <c r="P64" i="7"/>
  <c r="Q64" i="7"/>
  <c r="R64" i="7"/>
  <c r="S64" i="7"/>
  <c r="T64" i="7"/>
  <c r="U64" i="7"/>
  <c r="V64" i="7"/>
  <c r="W64" i="7"/>
  <c r="X64" i="7"/>
  <c r="N65" i="7"/>
  <c r="O65" i="7"/>
  <c r="P65" i="7"/>
  <c r="Q65" i="7"/>
  <c r="R65" i="7"/>
  <c r="S65" i="7"/>
  <c r="T65" i="7"/>
  <c r="U65" i="7"/>
  <c r="V65" i="7"/>
  <c r="W65" i="7"/>
  <c r="X65" i="7"/>
  <c r="N66" i="7"/>
  <c r="O66" i="7"/>
  <c r="P66" i="7"/>
  <c r="Q66" i="7"/>
  <c r="R66" i="7"/>
  <c r="S66" i="7"/>
  <c r="T66" i="7"/>
  <c r="U66" i="7"/>
  <c r="V66" i="7"/>
  <c r="W66" i="7"/>
  <c r="X66" i="7"/>
  <c r="N67" i="7"/>
  <c r="O67" i="7"/>
  <c r="P67" i="7"/>
  <c r="Q67" i="7"/>
  <c r="R67" i="7"/>
  <c r="S67" i="7"/>
  <c r="T67" i="7"/>
  <c r="U67" i="7"/>
  <c r="V67" i="7"/>
  <c r="W67" i="7"/>
  <c r="X67" i="7"/>
  <c r="N68" i="7"/>
  <c r="O68" i="7"/>
  <c r="P68" i="7"/>
  <c r="Q68" i="7"/>
  <c r="R68" i="7"/>
  <c r="S68" i="7"/>
  <c r="T68" i="7"/>
  <c r="U68" i="7"/>
  <c r="V68" i="7"/>
  <c r="W68" i="7"/>
  <c r="X68" i="7"/>
  <c r="N69" i="7"/>
  <c r="O69" i="7"/>
  <c r="P69" i="7"/>
  <c r="Q69" i="7"/>
  <c r="R69" i="7"/>
  <c r="S69" i="7"/>
  <c r="T69" i="7"/>
  <c r="U69" i="7"/>
  <c r="V69" i="7"/>
  <c r="W69" i="7"/>
  <c r="X69" i="7"/>
  <c r="N70" i="7"/>
  <c r="O70" i="7"/>
  <c r="P70" i="7"/>
  <c r="Q70" i="7"/>
  <c r="R70" i="7"/>
  <c r="S70" i="7"/>
  <c r="T70" i="7"/>
  <c r="U70" i="7"/>
  <c r="V70" i="7"/>
  <c r="W70" i="7"/>
  <c r="X70" i="7"/>
  <c r="N71" i="7"/>
  <c r="O71" i="7"/>
  <c r="P71" i="7"/>
  <c r="Q71" i="7"/>
  <c r="R71" i="7"/>
  <c r="S71" i="7"/>
  <c r="T71" i="7"/>
  <c r="U71" i="7"/>
  <c r="V71" i="7"/>
  <c r="W71" i="7"/>
  <c r="X71" i="7"/>
  <c r="N72" i="7"/>
  <c r="O72" i="7"/>
  <c r="P72" i="7"/>
  <c r="Q72" i="7"/>
  <c r="R72" i="7"/>
  <c r="S72" i="7"/>
  <c r="T72" i="7"/>
  <c r="U72" i="7"/>
  <c r="V72" i="7"/>
  <c r="W72" i="7"/>
  <c r="X72" i="7"/>
  <c r="N73" i="7"/>
  <c r="O73" i="7"/>
  <c r="P73" i="7"/>
  <c r="Q73" i="7"/>
  <c r="R73" i="7"/>
  <c r="S73" i="7"/>
  <c r="T73" i="7"/>
  <c r="U73" i="7"/>
  <c r="V73" i="7"/>
  <c r="W73" i="7"/>
  <c r="X73" i="7"/>
  <c r="N74" i="7"/>
  <c r="O74" i="7"/>
  <c r="P74" i="7"/>
  <c r="Q74" i="7"/>
  <c r="R74" i="7"/>
  <c r="S74" i="7"/>
  <c r="T74" i="7"/>
  <c r="U74" i="7"/>
  <c r="V74" i="7"/>
  <c r="W74" i="7"/>
  <c r="X74" i="7"/>
  <c r="N75" i="7"/>
  <c r="O75" i="7"/>
  <c r="P75" i="7"/>
  <c r="Q75" i="7"/>
  <c r="R75" i="7"/>
  <c r="S75" i="7"/>
  <c r="T75" i="7"/>
  <c r="U75" i="7"/>
  <c r="V75" i="7"/>
  <c r="W75" i="7"/>
  <c r="X75" i="7"/>
  <c r="N76" i="7"/>
  <c r="O76" i="7"/>
  <c r="P76" i="7"/>
  <c r="Q76" i="7"/>
  <c r="R76" i="7"/>
  <c r="S76" i="7"/>
  <c r="T76" i="7"/>
  <c r="U76" i="7"/>
  <c r="V76" i="7"/>
  <c r="W76" i="7"/>
  <c r="X76" i="7"/>
  <c r="N77" i="7"/>
  <c r="O77" i="7"/>
  <c r="P77" i="7"/>
  <c r="Q77" i="7"/>
  <c r="R77" i="7"/>
  <c r="S77" i="7"/>
  <c r="T77" i="7"/>
  <c r="U77" i="7"/>
  <c r="V77" i="7"/>
  <c r="W77" i="7"/>
  <c r="X77" i="7"/>
  <c r="N78" i="7"/>
  <c r="O78" i="7"/>
  <c r="P78" i="7"/>
  <c r="Q78" i="7"/>
  <c r="R78" i="7"/>
  <c r="S78" i="7"/>
  <c r="T78" i="7"/>
  <c r="U78" i="7"/>
  <c r="V78" i="7"/>
  <c r="W78" i="7"/>
  <c r="X78" i="7"/>
  <c r="N79" i="7"/>
  <c r="O79" i="7"/>
  <c r="P79" i="7"/>
  <c r="Q79" i="7"/>
  <c r="R79" i="7"/>
  <c r="S79" i="7"/>
  <c r="T79" i="7"/>
  <c r="U79" i="7"/>
  <c r="V79" i="7"/>
  <c r="W79" i="7"/>
  <c r="X79" i="7"/>
  <c r="N80" i="7"/>
  <c r="O80" i="7"/>
  <c r="P80" i="7"/>
  <c r="Q80" i="7"/>
  <c r="R80" i="7"/>
  <c r="S80" i="7"/>
  <c r="T80" i="7"/>
  <c r="U80" i="7"/>
  <c r="V80" i="7"/>
  <c r="W80" i="7"/>
  <c r="X80" i="7"/>
  <c r="N81" i="7"/>
  <c r="O81" i="7"/>
  <c r="P81" i="7"/>
  <c r="Q81" i="7"/>
  <c r="R81" i="7"/>
  <c r="S81" i="7"/>
  <c r="T81" i="7"/>
  <c r="U81" i="7"/>
  <c r="V81" i="7"/>
  <c r="W81" i="7"/>
  <c r="X81" i="7"/>
  <c r="N82" i="7"/>
  <c r="O82" i="7"/>
  <c r="P82" i="7"/>
  <c r="Q82" i="7"/>
  <c r="R82" i="7"/>
  <c r="S82" i="7"/>
  <c r="T82" i="7"/>
  <c r="U82" i="7"/>
  <c r="V82" i="7"/>
  <c r="W82" i="7"/>
  <c r="X82" i="7"/>
  <c r="N83" i="7"/>
  <c r="O83" i="7"/>
  <c r="P83" i="7"/>
  <c r="Q83" i="7"/>
  <c r="R83" i="7"/>
  <c r="S83" i="7"/>
  <c r="T83" i="7"/>
  <c r="U83" i="7"/>
  <c r="V83" i="7"/>
  <c r="W83" i="7"/>
  <c r="X83" i="7"/>
  <c r="N84" i="7"/>
  <c r="O84" i="7"/>
  <c r="P84" i="7"/>
  <c r="Q84" i="7"/>
  <c r="R84" i="7"/>
  <c r="S84" i="7"/>
  <c r="T84" i="7"/>
  <c r="U84" i="7"/>
  <c r="V84" i="7"/>
  <c r="W84" i="7"/>
  <c r="X84" i="7"/>
  <c r="N85" i="7"/>
  <c r="O85" i="7"/>
  <c r="P85" i="7"/>
  <c r="Q85" i="7"/>
  <c r="R85" i="7"/>
  <c r="S85" i="7"/>
  <c r="T85" i="7"/>
  <c r="U85" i="7"/>
  <c r="V85" i="7"/>
  <c r="W85" i="7"/>
  <c r="X85" i="7"/>
  <c r="N86" i="7"/>
  <c r="O86" i="7"/>
  <c r="P86" i="7"/>
  <c r="Q86" i="7"/>
  <c r="R86" i="7"/>
  <c r="S86" i="7"/>
  <c r="T86" i="7"/>
  <c r="U86" i="7"/>
  <c r="V86" i="7"/>
  <c r="W86" i="7"/>
  <c r="X86" i="7"/>
  <c r="N87" i="7"/>
  <c r="O87" i="7"/>
  <c r="P87" i="7"/>
  <c r="Q87" i="7"/>
  <c r="R87" i="7"/>
  <c r="S87" i="7"/>
  <c r="T87" i="7"/>
  <c r="U87" i="7"/>
  <c r="V87" i="7"/>
  <c r="W87" i="7"/>
  <c r="X87" i="7"/>
  <c r="N88" i="7"/>
  <c r="O88" i="7"/>
  <c r="P88" i="7"/>
  <c r="Q88" i="7"/>
  <c r="R88" i="7"/>
  <c r="S88" i="7"/>
  <c r="T88" i="7"/>
  <c r="U88" i="7"/>
  <c r="V88" i="7"/>
  <c r="W88" i="7"/>
  <c r="X88" i="7"/>
  <c r="N89" i="7"/>
  <c r="O89" i="7"/>
  <c r="P89" i="7"/>
  <c r="Q89" i="7"/>
  <c r="R89" i="7"/>
  <c r="S89" i="7"/>
  <c r="T89" i="7"/>
  <c r="U89" i="7"/>
  <c r="V89" i="7"/>
  <c r="W89" i="7"/>
  <c r="X89" i="7"/>
  <c r="N90" i="7"/>
  <c r="O90" i="7"/>
  <c r="P90" i="7"/>
  <c r="Q90" i="7"/>
  <c r="R90" i="7"/>
  <c r="S90" i="7"/>
  <c r="T90" i="7"/>
  <c r="U90" i="7"/>
  <c r="V90" i="7"/>
  <c r="W90" i="7"/>
  <c r="X90" i="7"/>
  <c r="N91" i="7"/>
  <c r="O91" i="7"/>
  <c r="P91" i="7"/>
  <c r="Q91" i="7"/>
  <c r="R91" i="7"/>
  <c r="S91" i="7"/>
  <c r="T91" i="7"/>
  <c r="U91" i="7"/>
  <c r="V91" i="7"/>
  <c r="W91" i="7"/>
  <c r="X91" i="7"/>
  <c r="N92" i="7"/>
  <c r="O92" i="7"/>
  <c r="P92" i="7"/>
  <c r="Q92" i="7"/>
  <c r="R92" i="7"/>
  <c r="S92" i="7"/>
  <c r="T92" i="7"/>
  <c r="U92" i="7"/>
  <c r="V92" i="7"/>
  <c r="W92" i="7"/>
  <c r="X92" i="7"/>
  <c r="N93" i="7"/>
  <c r="O93" i="7"/>
  <c r="P93" i="7"/>
  <c r="Q93" i="7"/>
  <c r="R93" i="7"/>
  <c r="S93" i="7"/>
  <c r="T93" i="7"/>
  <c r="U93" i="7"/>
  <c r="V93" i="7"/>
  <c r="W93" i="7"/>
  <c r="X93" i="7"/>
  <c r="N94" i="7"/>
  <c r="O94" i="7"/>
  <c r="P94" i="7"/>
  <c r="Q94" i="7"/>
  <c r="R94" i="7"/>
  <c r="S94" i="7"/>
  <c r="T94" i="7"/>
  <c r="U94" i="7"/>
  <c r="V94" i="7"/>
  <c r="W94" i="7"/>
  <c r="X94" i="7"/>
  <c r="N95" i="7"/>
  <c r="O95" i="7"/>
  <c r="P95" i="7"/>
  <c r="Q95" i="7"/>
  <c r="R95" i="7"/>
  <c r="S95" i="7"/>
  <c r="T95" i="7"/>
  <c r="U95" i="7"/>
  <c r="V95" i="7"/>
  <c r="W95" i="7"/>
  <c r="X95" i="7"/>
  <c r="N96" i="7"/>
  <c r="O96" i="7"/>
  <c r="P96" i="7"/>
  <c r="Q96" i="7"/>
  <c r="R96" i="7"/>
  <c r="S96" i="7"/>
  <c r="T96" i="7"/>
  <c r="U96" i="7"/>
  <c r="V96" i="7"/>
  <c r="W96" i="7"/>
  <c r="X96" i="7"/>
  <c r="N97" i="7"/>
  <c r="O97" i="7"/>
  <c r="P97" i="7"/>
  <c r="Q97" i="7"/>
  <c r="R97" i="7"/>
  <c r="S97" i="7"/>
  <c r="T97" i="7"/>
  <c r="U97" i="7"/>
  <c r="V97" i="7"/>
  <c r="W97" i="7"/>
  <c r="X97" i="7"/>
  <c r="N98" i="7"/>
  <c r="O98" i="7"/>
  <c r="P98" i="7"/>
  <c r="Q98" i="7"/>
  <c r="R98" i="7"/>
  <c r="S98" i="7"/>
  <c r="T98" i="7"/>
  <c r="U98" i="7"/>
  <c r="V98" i="7"/>
  <c r="W98" i="7"/>
  <c r="X98" i="7"/>
  <c r="N99" i="7"/>
  <c r="O99" i="7"/>
  <c r="P99" i="7"/>
  <c r="Q99" i="7"/>
  <c r="R99" i="7"/>
  <c r="S99" i="7"/>
  <c r="T99" i="7"/>
  <c r="U99" i="7"/>
  <c r="V99" i="7"/>
  <c r="W99" i="7"/>
  <c r="X99" i="7"/>
  <c r="N100" i="7"/>
  <c r="O100" i="7"/>
  <c r="P100" i="7"/>
  <c r="Q100" i="7"/>
  <c r="R100" i="7"/>
  <c r="S100" i="7"/>
  <c r="T100" i="7"/>
  <c r="U100" i="7"/>
  <c r="V100" i="7"/>
  <c r="W100" i="7"/>
  <c r="X100" i="7"/>
  <c r="N101" i="7"/>
  <c r="O101" i="7"/>
  <c r="P101" i="7"/>
  <c r="Q101" i="7"/>
  <c r="R101" i="7"/>
  <c r="S101" i="7"/>
  <c r="T101" i="7"/>
  <c r="U101" i="7"/>
  <c r="V101" i="7"/>
  <c r="W101" i="7"/>
  <c r="X101" i="7"/>
  <c r="N102" i="7"/>
  <c r="O102" i="7"/>
  <c r="P102" i="7"/>
  <c r="Q102" i="7"/>
  <c r="R102" i="7"/>
  <c r="S102" i="7"/>
  <c r="T102" i="7"/>
  <c r="U102" i="7"/>
  <c r="V102" i="7"/>
  <c r="W102" i="7"/>
  <c r="X102" i="7"/>
  <c r="N103" i="7"/>
  <c r="O103" i="7"/>
  <c r="P103" i="7"/>
  <c r="Q103" i="7"/>
  <c r="R103" i="7"/>
  <c r="S103" i="7"/>
  <c r="T103" i="7"/>
  <c r="U103" i="7"/>
  <c r="V103" i="7"/>
  <c r="W103" i="7"/>
  <c r="X103" i="7"/>
  <c r="N104" i="7"/>
  <c r="O104" i="7"/>
  <c r="P104" i="7"/>
  <c r="Q104" i="7"/>
  <c r="R104" i="7"/>
  <c r="S104" i="7"/>
  <c r="T104" i="7"/>
  <c r="U104" i="7"/>
  <c r="V104" i="7"/>
  <c r="W104" i="7"/>
  <c r="X104" i="7"/>
  <c r="N105" i="7"/>
  <c r="O105" i="7"/>
  <c r="P105" i="7"/>
  <c r="Q105" i="7"/>
  <c r="R105" i="7"/>
  <c r="S105" i="7"/>
  <c r="T105" i="7"/>
  <c r="U105" i="7"/>
  <c r="V105" i="7"/>
  <c r="W105" i="7"/>
  <c r="X105" i="7"/>
  <c r="N106" i="7"/>
  <c r="O106" i="7"/>
  <c r="P106" i="7"/>
  <c r="Q106" i="7"/>
  <c r="R106" i="7"/>
  <c r="S106" i="7"/>
  <c r="T106" i="7"/>
  <c r="U106" i="7"/>
  <c r="V106" i="7"/>
  <c r="W106" i="7"/>
  <c r="X106" i="7"/>
  <c r="N107" i="7"/>
  <c r="O107" i="7"/>
  <c r="P107" i="7"/>
  <c r="Q107" i="7"/>
  <c r="R107" i="7"/>
  <c r="S107" i="7"/>
  <c r="T107" i="7"/>
  <c r="U107" i="7"/>
  <c r="V107" i="7"/>
  <c r="W107" i="7"/>
  <c r="X107" i="7"/>
  <c r="N108" i="7"/>
  <c r="O108" i="7"/>
  <c r="P108" i="7"/>
  <c r="Q108" i="7"/>
  <c r="R108" i="7"/>
  <c r="S108" i="7"/>
  <c r="T108" i="7"/>
  <c r="U108" i="7"/>
  <c r="V108" i="7"/>
  <c r="W108" i="7"/>
  <c r="X108" i="7"/>
  <c r="N109" i="7"/>
  <c r="O109" i="7"/>
  <c r="P109" i="7"/>
  <c r="Q109" i="7"/>
  <c r="R109" i="7"/>
  <c r="S109" i="7"/>
  <c r="T109" i="7"/>
  <c r="U109" i="7"/>
  <c r="V109" i="7"/>
  <c r="W109" i="7"/>
  <c r="X109" i="7"/>
  <c r="N110" i="7"/>
  <c r="O110" i="7"/>
  <c r="P110" i="7"/>
  <c r="Q110" i="7"/>
  <c r="R110" i="7"/>
  <c r="S110" i="7"/>
  <c r="T110" i="7"/>
  <c r="U110" i="7"/>
  <c r="V110" i="7"/>
  <c r="W110" i="7"/>
  <c r="X110" i="7"/>
  <c r="N111" i="7"/>
  <c r="O111" i="7"/>
  <c r="P111" i="7"/>
  <c r="Q111" i="7"/>
  <c r="R111" i="7"/>
  <c r="S111" i="7"/>
  <c r="T111" i="7"/>
  <c r="U111" i="7"/>
  <c r="V111" i="7"/>
  <c r="W111" i="7"/>
  <c r="X111" i="7"/>
  <c r="N112" i="7"/>
  <c r="O112" i="7"/>
  <c r="P112" i="7"/>
  <c r="Q112" i="7"/>
  <c r="R112" i="7"/>
  <c r="S112" i="7"/>
  <c r="T112" i="7"/>
  <c r="U112" i="7"/>
  <c r="V112" i="7"/>
  <c r="W112" i="7"/>
  <c r="X112" i="7"/>
  <c r="N113" i="7"/>
  <c r="O113" i="7"/>
  <c r="P113" i="7"/>
  <c r="Q113" i="7"/>
  <c r="R113" i="7"/>
  <c r="S113" i="7"/>
  <c r="T113" i="7"/>
  <c r="U113" i="7"/>
  <c r="V113" i="7"/>
  <c r="W113" i="7"/>
  <c r="X113" i="7"/>
  <c r="N114" i="7"/>
  <c r="O114" i="7"/>
  <c r="P114" i="7"/>
  <c r="Q114" i="7"/>
  <c r="R114" i="7"/>
  <c r="S114" i="7"/>
  <c r="T114" i="7"/>
  <c r="U114" i="7"/>
  <c r="V114" i="7"/>
  <c r="W114" i="7"/>
  <c r="X114" i="7"/>
  <c r="N115" i="7"/>
  <c r="O115" i="7"/>
  <c r="P115" i="7"/>
  <c r="Q115" i="7"/>
  <c r="R115" i="7"/>
  <c r="S115" i="7"/>
  <c r="T115" i="7"/>
  <c r="U115" i="7"/>
  <c r="V115" i="7"/>
  <c r="W115" i="7"/>
  <c r="X115" i="7"/>
  <c r="N116" i="7"/>
  <c r="O116" i="7"/>
  <c r="P116" i="7"/>
  <c r="Q116" i="7"/>
  <c r="R116" i="7"/>
  <c r="S116" i="7"/>
  <c r="T116" i="7"/>
  <c r="U116" i="7"/>
  <c r="V116" i="7"/>
  <c r="W116" i="7"/>
  <c r="X116" i="7"/>
  <c r="N117" i="7"/>
  <c r="O117" i="7"/>
  <c r="P117" i="7"/>
  <c r="Q117" i="7"/>
  <c r="R117" i="7"/>
  <c r="S117" i="7"/>
  <c r="T117" i="7"/>
  <c r="U117" i="7"/>
  <c r="V117" i="7"/>
  <c r="W117" i="7"/>
  <c r="X117" i="7"/>
  <c r="N118" i="7"/>
  <c r="O118" i="7"/>
  <c r="P118" i="7"/>
  <c r="Q118" i="7"/>
  <c r="R118" i="7"/>
  <c r="S118" i="7"/>
  <c r="T118" i="7"/>
  <c r="U118" i="7"/>
  <c r="V118" i="7"/>
  <c r="W118" i="7"/>
  <c r="X118" i="7"/>
  <c r="N119" i="7"/>
  <c r="O119" i="7"/>
  <c r="P119" i="7"/>
  <c r="Q119" i="7"/>
  <c r="R119" i="7"/>
  <c r="S119" i="7"/>
  <c r="T119" i="7"/>
  <c r="U119" i="7"/>
  <c r="V119" i="7"/>
  <c r="W119" i="7"/>
  <c r="X119" i="7"/>
  <c r="N120" i="7"/>
  <c r="O120" i="7"/>
  <c r="P120" i="7"/>
  <c r="Q120" i="7"/>
  <c r="R120" i="7"/>
  <c r="S120" i="7"/>
  <c r="T120" i="7"/>
  <c r="U120" i="7"/>
  <c r="V120" i="7"/>
  <c r="W120" i="7"/>
  <c r="X120" i="7"/>
  <c r="N121" i="7"/>
  <c r="O121" i="7"/>
  <c r="P121" i="7"/>
  <c r="Q121" i="7"/>
  <c r="R121" i="7"/>
  <c r="S121" i="7"/>
  <c r="T121" i="7"/>
  <c r="U121" i="7"/>
  <c r="V121" i="7"/>
  <c r="W121" i="7"/>
  <c r="X121" i="7"/>
  <c r="N122" i="7"/>
  <c r="O122" i="7"/>
  <c r="P122" i="7"/>
  <c r="Q122" i="7"/>
  <c r="R122" i="7"/>
  <c r="S122" i="7"/>
  <c r="T122" i="7"/>
  <c r="U122" i="7"/>
  <c r="V122" i="7"/>
  <c r="W122" i="7"/>
  <c r="X122" i="7"/>
  <c r="N123" i="7"/>
  <c r="O123" i="7"/>
  <c r="P123" i="7"/>
  <c r="Q123" i="7"/>
  <c r="R123" i="7"/>
  <c r="S123" i="7"/>
  <c r="T123" i="7"/>
  <c r="U123" i="7"/>
  <c r="V123" i="7"/>
  <c r="W123" i="7"/>
  <c r="X123" i="7"/>
  <c r="N124" i="7"/>
  <c r="O124" i="7"/>
  <c r="P124" i="7"/>
  <c r="Q124" i="7"/>
  <c r="R124" i="7"/>
  <c r="S124" i="7"/>
  <c r="T124" i="7"/>
  <c r="U124" i="7"/>
  <c r="V124" i="7"/>
  <c r="W124" i="7"/>
  <c r="X124" i="7"/>
  <c r="N125" i="7"/>
  <c r="O125" i="7"/>
  <c r="P125" i="7"/>
  <c r="Q125" i="7"/>
  <c r="R125" i="7"/>
  <c r="S125" i="7"/>
  <c r="T125" i="7"/>
  <c r="U125" i="7"/>
  <c r="V125" i="7"/>
  <c r="W125" i="7"/>
  <c r="X125" i="7"/>
  <c r="N126" i="7"/>
  <c r="O126" i="7"/>
  <c r="P126" i="7"/>
  <c r="Q126" i="7"/>
  <c r="R126" i="7"/>
  <c r="S126" i="7"/>
  <c r="T126" i="7"/>
  <c r="U126" i="7"/>
  <c r="V126" i="7"/>
  <c r="W126" i="7"/>
  <c r="X126" i="7"/>
  <c r="N127" i="7"/>
  <c r="O127" i="7"/>
  <c r="P127" i="7"/>
  <c r="Q127" i="7"/>
  <c r="R127" i="7"/>
  <c r="S127" i="7"/>
  <c r="T127" i="7"/>
  <c r="U127" i="7"/>
  <c r="V127" i="7"/>
  <c r="W127" i="7"/>
  <c r="X127" i="7"/>
  <c r="N128" i="7"/>
  <c r="O128" i="7"/>
  <c r="P128" i="7"/>
  <c r="Q128" i="7"/>
  <c r="R128" i="7"/>
  <c r="S128" i="7"/>
  <c r="T128" i="7"/>
  <c r="U128" i="7"/>
  <c r="V128" i="7"/>
  <c r="W128" i="7"/>
  <c r="X128" i="7"/>
  <c r="N129" i="7"/>
  <c r="O129" i="7"/>
  <c r="P129" i="7"/>
  <c r="Q129" i="7"/>
  <c r="R129" i="7"/>
  <c r="S129" i="7"/>
  <c r="T129" i="7"/>
  <c r="U129" i="7"/>
  <c r="V129" i="7"/>
  <c r="W129" i="7"/>
  <c r="X129" i="7"/>
  <c r="N130" i="7"/>
  <c r="O130" i="7"/>
  <c r="P130" i="7"/>
  <c r="Q130" i="7"/>
  <c r="R130" i="7"/>
  <c r="S130" i="7"/>
  <c r="T130" i="7"/>
  <c r="U130" i="7"/>
  <c r="V130" i="7"/>
  <c r="W130" i="7"/>
  <c r="X130" i="7"/>
  <c r="N131" i="7"/>
  <c r="O131" i="7"/>
  <c r="P131" i="7"/>
  <c r="Q131" i="7"/>
  <c r="R131" i="7"/>
  <c r="S131" i="7"/>
  <c r="T131" i="7"/>
  <c r="U131" i="7"/>
  <c r="V131" i="7"/>
  <c r="W131" i="7"/>
  <c r="X131" i="7"/>
  <c r="N132" i="7"/>
  <c r="O132" i="7"/>
  <c r="P132" i="7"/>
  <c r="Q132" i="7"/>
  <c r="R132" i="7"/>
  <c r="S132" i="7"/>
  <c r="T132" i="7"/>
  <c r="U132" i="7"/>
  <c r="V132" i="7"/>
  <c r="W132" i="7"/>
  <c r="X132" i="7"/>
  <c r="N133" i="7"/>
  <c r="O133" i="7"/>
  <c r="P133" i="7"/>
  <c r="Q133" i="7"/>
  <c r="R133" i="7"/>
  <c r="S133" i="7"/>
  <c r="T133" i="7"/>
  <c r="U133" i="7"/>
  <c r="V133" i="7"/>
  <c r="W133" i="7"/>
  <c r="X133" i="7"/>
  <c r="N134" i="7"/>
  <c r="O134" i="7"/>
  <c r="P134" i="7"/>
  <c r="Q134" i="7"/>
  <c r="R134" i="7"/>
  <c r="S134" i="7"/>
  <c r="T134" i="7"/>
  <c r="U134" i="7"/>
  <c r="V134" i="7"/>
  <c r="W134" i="7"/>
  <c r="X134" i="7"/>
  <c r="N135" i="7"/>
  <c r="O135" i="7"/>
  <c r="P135" i="7"/>
  <c r="Q135" i="7"/>
  <c r="R135" i="7"/>
  <c r="S135" i="7"/>
  <c r="T135" i="7"/>
  <c r="U135" i="7"/>
  <c r="V135" i="7"/>
  <c r="W135" i="7"/>
  <c r="X135" i="7"/>
  <c r="N136" i="7"/>
  <c r="O136" i="7"/>
  <c r="P136" i="7"/>
  <c r="Q136" i="7"/>
  <c r="R136" i="7"/>
  <c r="S136" i="7"/>
  <c r="T136" i="7"/>
  <c r="U136" i="7"/>
  <c r="V136" i="7"/>
  <c r="W136" i="7"/>
  <c r="X136" i="7"/>
  <c r="N137" i="7"/>
  <c r="O137" i="7"/>
  <c r="P137" i="7"/>
  <c r="Q137" i="7"/>
  <c r="R137" i="7"/>
  <c r="S137" i="7"/>
  <c r="T137" i="7"/>
  <c r="U137" i="7"/>
  <c r="V137" i="7"/>
  <c r="W137" i="7"/>
  <c r="X137" i="7"/>
  <c r="N138" i="7"/>
  <c r="O138" i="7"/>
  <c r="P138" i="7"/>
  <c r="Q138" i="7"/>
  <c r="R138" i="7"/>
  <c r="S138" i="7"/>
  <c r="T138" i="7"/>
  <c r="U138" i="7"/>
  <c r="V138" i="7"/>
  <c r="W138" i="7"/>
  <c r="X138" i="7"/>
  <c r="N139" i="7"/>
  <c r="O139" i="7"/>
  <c r="P139" i="7"/>
  <c r="Q139" i="7"/>
  <c r="R139" i="7"/>
  <c r="S139" i="7"/>
  <c r="T139" i="7"/>
  <c r="U139" i="7"/>
  <c r="V139" i="7"/>
  <c r="W139" i="7"/>
  <c r="X139" i="7"/>
  <c r="Q9" i="7"/>
  <c r="R9" i="7"/>
  <c r="S9" i="7"/>
  <c r="T9" i="7"/>
  <c r="U9" i="7"/>
  <c r="V9" i="7"/>
  <c r="W9" i="7"/>
  <c r="X9" i="7"/>
  <c r="P9" i="7"/>
  <c r="O9" i="7"/>
  <c r="C4" i="9" s="1" a="1"/>
  <c r="N9" i="7"/>
  <c r="B4" i="9" s="1" a="1"/>
  <c r="O8" i="7" a="1"/>
  <c r="O8" i="7" s="1"/>
  <c r="B124" i="9" l="1"/>
  <c r="D118" i="9"/>
  <c r="J116" i="9"/>
  <c r="B134" i="9"/>
  <c r="H124" i="9"/>
  <c r="L125" i="9"/>
  <c r="F132" i="9"/>
  <c r="L130" i="9"/>
  <c r="B128" i="9"/>
  <c r="L122" i="9"/>
  <c r="K93" i="9"/>
  <c r="B88" i="9"/>
  <c r="G81" i="9"/>
  <c r="B80" i="9"/>
  <c r="K77" i="9"/>
  <c r="G65" i="9"/>
  <c r="B56" i="9"/>
  <c r="B48" i="9"/>
  <c r="B40" i="9"/>
  <c r="B32" i="9"/>
  <c r="B24" i="9"/>
  <c r="J16" i="9"/>
  <c r="B16" i="9"/>
  <c r="B8" i="9"/>
  <c r="J130" i="9"/>
  <c r="J122" i="9"/>
  <c r="F118" i="9"/>
  <c r="J111" i="9"/>
  <c r="H121" i="9"/>
  <c r="F124" i="9"/>
  <c r="B120" i="9"/>
  <c r="F116" i="9"/>
  <c r="L114" i="9"/>
  <c r="B112" i="9"/>
  <c r="F108" i="9"/>
  <c r="L106" i="9"/>
  <c r="B104" i="9"/>
  <c r="F100" i="9"/>
  <c r="L98" i="9"/>
  <c r="G97" i="9"/>
  <c r="B96" i="9"/>
  <c r="B72" i="9"/>
  <c r="B64" i="9"/>
  <c r="K61" i="9"/>
  <c r="G49" i="9"/>
  <c r="F129" i="9"/>
  <c r="L127" i="9"/>
  <c r="F121" i="9"/>
  <c r="L119" i="9"/>
  <c r="F113" i="9"/>
  <c r="L111" i="9"/>
  <c r="F105" i="9"/>
  <c r="L103" i="9"/>
  <c r="I96" i="9"/>
  <c r="E84" i="9"/>
  <c r="I80" i="9"/>
  <c r="E68" i="9"/>
  <c r="I64" i="9"/>
  <c r="E52" i="9"/>
  <c r="I48" i="9"/>
  <c r="K26" i="9"/>
  <c r="C26" i="9"/>
  <c r="F110" i="9"/>
  <c r="J106" i="9"/>
  <c r="F102" i="9"/>
  <c r="J98" i="9"/>
  <c r="K87" i="9"/>
  <c r="C87" i="9"/>
  <c r="K71" i="9"/>
  <c r="C71" i="9"/>
  <c r="K55" i="9"/>
  <c r="C55" i="9"/>
  <c r="E33" i="9"/>
  <c r="E25" i="9"/>
  <c r="D105" i="9"/>
  <c r="B95" i="9"/>
  <c r="E94" i="9"/>
  <c r="I90" i="9"/>
  <c r="B87" i="9"/>
  <c r="B79" i="9"/>
  <c r="E78" i="9"/>
  <c r="I74" i="9"/>
  <c r="B71" i="9"/>
  <c r="B63" i="9"/>
  <c r="E62" i="9"/>
  <c r="I58" i="9"/>
  <c r="B55" i="9"/>
  <c r="B47" i="9"/>
  <c r="B39" i="9"/>
  <c r="G32" i="9"/>
  <c r="B31" i="9"/>
  <c r="B23" i="9"/>
  <c r="B15" i="9"/>
  <c r="B7" i="9"/>
  <c r="H5" i="9"/>
  <c r="I3" i="9"/>
  <c r="J108" i="9"/>
  <c r="I39" i="9"/>
  <c r="B36" i="9"/>
  <c r="I31" i="9"/>
  <c r="B28" i="9"/>
  <c r="B20" i="9"/>
  <c r="B12" i="9"/>
  <c r="D113" i="9"/>
  <c r="J103" i="9"/>
  <c r="B103" i="9"/>
  <c r="D134" i="9"/>
  <c r="J132" i="9"/>
  <c r="B132" i="9"/>
  <c r="D110" i="9"/>
  <c r="B108" i="9"/>
  <c r="D102" i="9"/>
  <c r="J100" i="9"/>
  <c r="B100" i="9"/>
  <c r="C97" i="9"/>
  <c r="G93" i="9"/>
  <c r="B92" i="9"/>
  <c r="B84" i="9"/>
  <c r="C81" i="9"/>
  <c r="G77" i="9"/>
  <c r="B76" i="9"/>
  <c r="B68" i="9"/>
  <c r="C65" i="9"/>
  <c r="G61" i="9"/>
  <c r="B60" i="9"/>
  <c r="B52" i="9"/>
  <c r="C49" i="9"/>
  <c r="B44" i="9"/>
  <c r="D131" i="9"/>
  <c r="H127" i="9"/>
  <c r="D123" i="9"/>
  <c r="H119" i="9"/>
  <c r="D115" i="9"/>
  <c r="H111" i="9"/>
  <c r="D107" i="9"/>
  <c r="H103" i="9"/>
  <c r="D99" i="9"/>
  <c r="I84" i="9"/>
  <c r="I68" i="9"/>
  <c r="I52" i="9"/>
  <c r="C46" i="9"/>
  <c r="K38" i="9"/>
  <c r="C38" i="9"/>
  <c r="L19" i="9"/>
  <c r="J124" i="9"/>
  <c r="H108" i="9"/>
  <c r="B102" i="9"/>
  <c r="H100" i="9"/>
  <c r="B94" i="9"/>
  <c r="C91" i="9"/>
  <c r="G87" i="9"/>
  <c r="B86" i="9"/>
  <c r="K83" i="9"/>
  <c r="B78" i="9"/>
  <c r="C75" i="9"/>
  <c r="G71" i="9"/>
  <c r="B70" i="9"/>
  <c r="K67" i="9"/>
  <c r="B62" i="9"/>
  <c r="C59" i="9"/>
  <c r="G55" i="9"/>
  <c r="B54" i="9"/>
  <c r="K51" i="9"/>
  <c r="B46" i="9"/>
  <c r="E45" i="9"/>
  <c r="B38" i="9"/>
  <c r="B30" i="9"/>
  <c r="B22" i="9"/>
  <c r="F18" i="9"/>
  <c r="B14" i="9"/>
  <c r="B6" i="9"/>
  <c r="F134" i="9"/>
  <c r="F126" i="9"/>
  <c r="J114" i="9"/>
  <c r="D129" i="9"/>
  <c r="J127" i="9"/>
  <c r="B127" i="9"/>
  <c r="D121" i="9"/>
  <c r="J119" i="9"/>
  <c r="B119" i="9"/>
  <c r="B111" i="9"/>
  <c r="D126" i="9"/>
  <c r="B116" i="9"/>
  <c r="H132" i="9"/>
  <c r="B126" i="9"/>
  <c r="B118" i="9"/>
  <c r="H116" i="9"/>
  <c r="B110" i="9"/>
  <c r="L133" i="9"/>
  <c r="H129" i="9"/>
  <c r="L117" i="9"/>
  <c r="H113" i="9"/>
  <c r="L109" i="9"/>
  <c r="H105" i="9"/>
  <c r="L101" i="9"/>
  <c r="E90" i="9"/>
  <c r="E74" i="9"/>
  <c r="E58" i="9"/>
  <c r="G44" i="9"/>
  <c r="N428" i="9"/>
  <c r="Q428" i="9" s="1"/>
  <c r="N324" i="9"/>
  <c r="N204" i="9"/>
  <c r="Y204" i="9" s="1"/>
  <c r="N196" i="9"/>
  <c r="N500" i="9"/>
  <c r="Q500" i="9" s="1"/>
  <c r="N396" i="9"/>
  <c r="X396" i="9" s="1"/>
  <c r="N300" i="9"/>
  <c r="N180" i="9"/>
  <c r="U180" i="9" s="1"/>
  <c r="N492" i="9"/>
  <c r="Q492" i="9" s="1"/>
  <c r="N388" i="9"/>
  <c r="N276" i="9"/>
  <c r="Q276" i="9" s="1"/>
  <c r="N119" i="9"/>
  <c r="W119" i="9" s="1"/>
  <c r="N468" i="9"/>
  <c r="Q468" i="9" s="1"/>
  <c r="N372" i="9"/>
  <c r="Z372" i="9" s="1"/>
  <c r="N268" i="9"/>
  <c r="N103" i="9"/>
  <c r="Z103" i="9" s="1"/>
  <c r="N460" i="9"/>
  <c r="Z460" i="9" s="1"/>
  <c r="N364" i="9"/>
  <c r="N260" i="9"/>
  <c r="N87" i="9"/>
  <c r="T87" i="9" s="1"/>
  <c r="N308" i="9"/>
  <c r="Q308" i="9" s="1"/>
  <c r="N452" i="9"/>
  <c r="P452" i="9" s="1"/>
  <c r="N340" i="9"/>
  <c r="U340" i="9" s="1"/>
  <c r="N244" i="9"/>
  <c r="W244" i="9" s="1"/>
  <c r="N55" i="9"/>
  <c r="N404" i="9"/>
  <c r="N436" i="9"/>
  <c r="N332" i="9"/>
  <c r="P332" i="9" s="1"/>
  <c r="N212" i="9"/>
  <c r="Q212" i="9" s="1"/>
  <c r="N444" i="9"/>
  <c r="T444" i="9" s="1"/>
  <c r="N380" i="9"/>
  <c r="N316" i="9"/>
  <c r="W316" i="9" s="1"/>
  <c r="N252" i="9"/>
  <c r="N188" i="9"/>
  <c r="U188" i="9" s="1"/>
  <c r="N71" i="9"/>
  <c r="B4" i="9"/>
  <c r="U308" i="9"/>
  <c r="N236" i="9"/>
  <c r="V236" i="9" s="1"/>
  <c r="N167" i="9"/>
  <c r="Z167" i="9" s="1"/>
  <c r="N39" i="9"/>
  <c r="N484" i="9"/>
  <c r="S484" i="9" s="1"/>
  <c r="N420" i="9"/>
  <c r="S420" i="9" s="1"/>
  <c r="N356" i="9"/>
  <c r="N292" i="9"/>
  <c r="P292" i="9" s="1"/>
  <c r="N228" i="9"/>
  <c r="X228" i="9" s="1"/>
  <c r="N151" i="9"/>
  <c r="W151" i="9" s="1"/>
  <c r="N23" i="9"/>
  <c r="X23" i="9" s="1"/>
  <c r="N476" i="9"/>
  <c r="N412" i="9"/>
  <c r="N348" i="9"/>
  <c r="X348" i="9" s="1"/>
  <c r="N284" i="9"/>
  <c r="N220" i="9"/>
  <c r="Q220" i="9" s="1"/>
  <c r="N135" i="9"/>
  <c r="X135" i="9" s="1"/>
  <c r="N7" i="9"/>
  <c r="X404" i="9"/>
  <c r="J4" i="9"/>
  <c r="N499" i="9"/>
  <c r="P499" i="9" s="1"/>
  <c r="N491" i="9"/>
  <c r="P491" i="9" s="1"/>
  <c r="N483" i="9"/>
  <c r="N475" i="9"/>
  <c r="X475" i="9" s="1"/>
  <c r="N467" i="9"/>
  <c r="T467" i="9" s="1"/>
  <c r="N459" i="9"/>
  <c r="T459" i="9" s="1"/>
  <c r="N451" i="9"/>
  <c r="X451" i="9" s="1"/>
  <c r="N443" i="9"/>
  <c r="P443" i="9" s="1"/>
  <c r="N435" i="9"/>
  <c r="P435" i="9" s="1"/>
  <c r="N427" i="9"/>
  <c r="P427" i="9" s="1"/>
  <c r="N419" i="9"/>
  <c r="N411" i="9"/>
  <c r="S411" i="9" s="1"/>
  <c r="N403" i="9"/>
  <c r="U403" i="9" s="1"/>
  <c r="N395" i="9"/>
  <c r="X395" i="9" s="1"/>
  <c r="N387" i="9"/>
  <c r="Z387" i="9" s="1"/>
  <c r="N379" i="9"/>
  <c r="N371" i="9"/>
  <c r="P371" i="9" s="1"/>
  <c r="N363" i="9"/>
  <c r="N355" i="9"/>
  <c r="N347" i="9"/>
  <c r="Y347" i="9" s="1"/>
  <c r="N339" i="9"/>
  <c r="T339" i="9" s="1"/>
  <c r="N331" i="9"/>
  <c r="V331" i="9" s="1"/>
  <c r="N323" i="9"/>
  <c r="P323" i="9" s="1"/>
  <c r="N315" i="9"/>
  <c r="Q315" i="9" s="1"/>
  <c r="N307" i="9"/>
  <c r="P307" i="9" s="1"/>
  <c r="N299" i="9"/>
  <c r="N291" i="9"/>
  <c r="N283" i="9"/>
  <c r="T283" i="9" s="1"/>
  <c r="N275" i="9"/>
  <c r="R275" i="9" s="1"/>
  <c r="N267" i="9"/>
  <c r="X267" i="9" s="1"/>
  <c r="N259" i="9"/>
  <c r="P259" i="9" s="1"/>
  <c r="N251" i="9"/>
  <c r="Q251" i="9" s="1"/>
  <c r="N243" i="9"/>
  <c r="X243" i="9" s="1"/>
  <c r="N235" i="9"/>
  <c r="N227" i="9"/>
  <c r="N219" i="9"/>
  <c r="R219" i="9" s="1"/>
  <c r="N211" i="9"/>
  <c r="Z211" i="9" s="1"/>
  <c r="N203" i="9"/>
  <c r="N195" i="9"/>
  <c r="W195" i="9" s="1"/>
  <c r="N187" i="9"/>
  <c r="Q187" i="9" s="1"/>
  <c r="N179" i="9"/>
  <c r="X179" i="9" s="1"/>
  <c r="N163" i="9"/>
  <c r="N147" i="9"/>
  <c r="N131" i="9"/>
  <c r="N115" i="9"/>
  <c r="V115" i="9" s="1"/>
  <c r="N99" i="9"/>
  <c r="N83" i="9"/>
  <c r="U83" i="9" s="1"/>
  <c r="N67" i="9"/>
  <c r="X67" i="9" s="1"/>
  <c r="N51" i="9"/>
  <c r="W51" i="9" s="1"/>
  <c r="N35" i="9"/>
  <c r="N19" i="9"/>
  <c r="K3" i="9"/>
  <c r="N498" i="9"/>
  <c r="N490" i="9"/>
  <c r="U490" i="9" s="1"/>
  <c r="N482" i="9"/>
  <c r="U482" i="9" s="1"/>
  <c r="N474" i="9"/>
  <c r="X474" i="9" s="1"/>
  <c r="N466" i="9"/>
  <c r="T466" i="9" s="1"/>
  <c r="N458" i="9"/>
  <c r="N450" i="9"/>
  <c r="N442" i="9"/>
  <c r="V442" i="9" s="1"/>
  <c r="N434" i="9"/>
  <c r="N426" i="9"/>
  <c r="S426" i="9" s="1"/>
  <c r="N418" i="9"/>
  <c r="N410" i="9"/>
  <c r="X410" i="9" s="1"/>
  <c r="N402" i="9"/>
  <c r="R402" i="9" s="1"/>
  <c r="N394" i="9"/>
  <c r="N386" i="9"/>
  <c r="N378" i="9"/>
  <c r="X378" i="9" s="1"/>
  <c r="N370" i="9"/>
  <c r="N362" i="9"/>
  <c r="N354" i="9"/>
  <c r="R354" i="9" s="1"/>
  <c r="N346" i="9"/>
  <c r="S346" i="9" s="1"/>
  <c r="N338" i="9"/>
  <c r="P338" i="9" s="1"/>
  <c r="N330" i="9"/>
  <c r="N322" i="9"/>
  <c r="N314" i="9"/>
  <c r="U314" i="9" s="1"/>
  <c r="N306" i="9"/>
  <c r="X306" i="9" s="1"/>
  <c r="N298" i="9"/>
  <c r="W298" i="9" s="1"/>
  <c r="N290" i="9"/>
  <c r="V290" i="9" s="1"/>
  <c r="N282" i="9"/>
  <c r="S282" i="9" s="1"/>
  <c r="N274" i="9"/>
  <c r="Z274" i="9" s="1"/>
  <c r="N266" i="9"/>
  <c r="N258" i="9"/>
  <c r="N250" i="9"/>
  <c r="T250" i="9" s="1"/>
  <c r="N242" i="9"/>
  <c r="U242" i="9" s="1"/>
  <c r="N234" i="9"/>
  <c r="W234" i="9" s="1"/>
  <c r="N226" i="9"/>
  <c r="X226" i="9" s="1"/>
  <c r="N218" i="9"/>
  <c r="S218" i="9" s="1"/>
  <c r="N210" i="9"/>
  <c r="R210" i="9" s="1"/>
  <c r="N202" i="9"/>
  <c r="N194" i="9"/>
  <c r="W194" i="9" s="1"/>
  <c r="N186" i="9"/>
  <c r="N178" i="9"/>
  <c r="Y178" i="9" s="1"/>
  <c r="N162" i="9"/>
  <c r="N146" i="9"/>
  <c r="S146" i="9" s="1"/>
  <c r="N130" i="9"/>
  <c r="U130" i="9" s="1"/>
  <c r="N114" i="9"/>
  <c r="U114" i="9" s="1"/>
  <c r="N98" i="9"/>
  <c r="U98" i="9" s="1"/>
  <c r="N82" i="9"/>
  <c r="P82" i="9" s="1"/>
  <c r="N66" i="9"/>
  <c r="U66" i="9" s="1"/>
  <c r="N50" i="9"/>
  <c r="U50" i="9" s="1"/>
  <c r="N34" i="9"/>
  <c r="S34" i="9" s="1"/>
  <c r="J3" i="9"/>
  <c r="N12" i="9"/>
  <c r="R12" i="9" s="1"/>
  <c r="N20" i="9"/>
  <c r="Q20" i="9" s="1"/>
  <c r="N28" i="9"/>
  <c r="N36" i="9"/>
  <c r="P36" i="9" s="1"/>
  <c r="N44" i="9"/>
  <c r="Z44" i="9" s="1"/>
  <c r="N52" i="9"/>
  <c r="R52" i="9" s="1"/>
  <c r="N60" i="9"/>
  <c r="R60" i="9" s="1"/>
  <c r="N68" i="9"/>
  <c r="P68" i="9" s="1"/>
  <c r="N76" i="9"/>
  <c r="R76" i="9" s="1"/>
  <c r="N84" i="9"/>
  <c r="Z84" i="9" s="1"/>
  <c r="N92" i="9"/>
  <c r="W92" i="9" s="1"/>
  <c r="N100" i="9"/>
  <c r="W100" i="9" s="1"/>
  <c r="N108" i="9"/>
  <c r="Q108" i="9" s="1"/>
  <c r="N116" i="9"/>
  <c r="S116" i="9" s="1"/>
  <c r="N124" i="9"/>
  <c r="W124" i="9" s="1"/>
  <c r="N132" i="9"/>
  <c r="V132" i="9" s="1"/>
  <c r="N140" i="9"/>
  <c r="W140" i="9" s="1"/>
  <c r="N148" i="9"/>
  <c r="W148" i="9" s="1"/>
  <c r="N156" i="9"/>
  <c r="W156" i="9" s="1"/>
  <c r="N164" i="9"/>
  <c r="W164" i="9" s="1"/>
  <c r="N172" i="9"/>
  <c r="S172" i="9" s="1"/>
  <c r="N5" i="9"/>
  <c r="N13" i="9"/>
  <c r="N21" i="9"/>
  <c r="U21" i="9" s="1"/>
  <c r="N29" i="9"/>
  <c r="W29" i="9" s="1"/>
  <c r="N37" i="9"/>
  <c r="R37" i="9" s="1"/>
  <c r="N45" i="9"/>
  <c r="N53" i="9"/>
  <c r="N61" i="9"/>
  <c r="N69" i="9"/>
  <c r="W69" i="9" s="1"/>
  <c r="N77" i="9"/>
  <c r="N85" i="9"/>
  <c r="N93" i="9"/>
  <c r="Z93" i="9" s="1"/>
  <c r="N101" i="9"/>
  <c r="W101" i="9" s="1"/>
  <c r="N109" i="9"/>
  <c r="N117" i="9"/>
  <c r="N125" i="9"/>
  <c r="N133" i="9"/>
  <c r="X133" i="9" s="1"/>
  <c r="N141" i="9"/>
  <c r="S141" i="9" s="1"/>
  <c r="N149" i="9"/>
  <c r="N157" i="9"/>
  <c r="Z157" i="9" s="1"/>
  <c r="N165" i="9"/>
  <c r="R165" i="9" s="1"/>
  <c r="N173" i="9"/>
  <c r="N6" i="9"/>
  <c r="N14" i="9"/>
  <c r="Z14" i="9" s="1"/>
  <c r="N22" i="9"/>
  <c r="Z22" i="9" s="1"/>
  <c r="N30" i="9"/>
  <c r="R30" i="9" s="1"/>
  <c r="N38" i="9"/>
  <c r="S38" i="9" s="1"/>
  <c r="N46" i="9"/>
  <c r="Q46" i="9" s="1"/>
  <c r="N54" i="9"/>
  <c r="T54" i="9" s="1"/>
  <c r="N62" i="9"/>
  <c r="N70" i="9"/>
  <c r="T70" i="9" s="1"/>
  <c r="N78" i="9"/>
  <c r="U78" i="9" s="1"/>
  <c r="N86" i="9"/>
  <c r="W86" i="9" s="1"/>
  <c r="N94" i="9"/>
  <c r="Q94" i="9" s="1"/>
  <c r="N102" i="9"/>
  <c r="T102" i="9" s="1"/>
  <c r="N110" i="9"/>
  <c r="Y110" i="9" s="1"/>
  <c r="N118" i="9"/>
  <c r="S118" i="9" s="1"/>
  <c r="N126" i="9"/>
  <c r="Y126" i="9" s="1"/>
  <c r="N134" i="9"/>
  <c r="Q134" i="9" s="1"/>
  <c r="N142" i="9"/>
  <c r="U142" i="9" s="1"/>
  <c r="N150" i="9"/>
  <c r="U150" i="9" s="1"/>
  <c r="N158" i="9"/>
  <c r="P158" i="9" s="1"/>
  <c r="N166" i="9"/>
  <c r="N174" i="9"/>
  <c r="N8" i="9"/>
  <c r="V8" i="9" s="1"/>
  <c r="N16" i="9"/>
  <c r="W16" i="9" s="1"/>
  <c r="N24" i="9"/>
  <c r="T24" i="9" s="1"/>
  <c r="N32" i="9"/>
  <c r="Y32" i="9" s="1"/>
  <c r="N40" i="9"/>
  <c r="T40" i="9" s="1"/>
  <c r="N48" i="9"/>
  <c r="V48" i="9" s="1"/>
  <c r="N56" i="9"/>
  <c r="Y56" i="9" s="1"/>
  <c r="N64" i="9"/>
  <c r="N72" i="9"/>
  <c r="P72" i="9" s="1"/>
  <c r="N80" i="9"/>
  <c r="V80" i="9" s="1"/>
  <c r="N88" i="9"/>
  <c r="N96" i="9"/>
  <c r="W96" i="9" s="1"/>
  <c r="N104" i="9"/>
  <c r="W104" i="9" s="1"/>
  <c r="N112" i="9"/>
  <c r="S112" i="9" s="1"/>
  <c r="N120" i="9"/>
  <c r="T120" i="9" s="1"/>
  <c r="N128" i="9"/>
  <c r="S128" i="9" s="1"/>
  <c r="N136" i="9"/>
  <c r="S136" i="9" s="1"/>
  <c r="N144" i="9"/>
  <c r="S144" i="9" s="1"/>
  <c r="N152" i="9"/>
  <c r="S152" i="9" s="1"/>
  <c r="N160" i="9"/>
  <c r="N168" i="9"/>
  <c r="W168" i="9" s="1"/>
  <c r="N176" i="9"/>
  <c r="S176" i="9" s="1"/>
  <c r="N497" i="9"/>
  <c r="Z497" i="9" s="1"/>
  <c r="N489" i="9"/>
  <c r="P489" i="9" s="1"/>
  <c r="N481" i="9"/>
  <c r="P481" i="9" s="1"/>
  <c r="N473" i="9"/>
  <c r="P473" i="9" s="1"/>
  <c r="N465" i="9"/>
  <c r="N457" i="9"/>
  <c r="X457" i="9" s="1"/>
  <c r="N449" i="9"/>
  <c r="N441" i="9"/>
  <c r="R441" i="9" s="1"/>
  <c r="N433" i="9"/>
  <c r="Z433" i="9" s="1"/>
  <c r="N425" i="9"/>
  <c r="P425" i="9" s="1"/>
  <c r="N417" i="9"/>
  <c r="P417" i="9" s="1"/>
  <c r="N409" i="9"/>
  <c r="P409" i="9" s="1"/>
  <c r="N401" i="9"/>
  <c r="N393" i="9"/>
  <c r="S393" i="9" s="1"/>
  <c r="N385" i="9"/>
  <c r="N377" i="9"/>
  <c r="N369" i="9"/>
  <c r="U369" i="9" s="1"/>
  <c r="N361" i="9"/>
  <c r="U361" i="9" s="1"/>
  <c r="N353" i="9"/>
  <c r="Y353" i="9" s="1"/>
  <c r="N345" i="9"/>
  <c r="N337" i="9"/>
  <c r="N329" i="9"/>
  <c r="Z329" i="9" s="1"/>
  <c r="N321" i="9"/>
  <c r="N313" i="9"/>
  <c r="N305" i="9"/>
  <c r="T305" i="9" s="1"/>
  <c r="N297" i="9"/>
  <c r="U297" i="9" s="1"/>
  <c r="N289" i="9"/>
  <c r="Y289" i="9" s="1"/>
  <c r="N281" i="9"/>
  <c r="N273" i="9"/>
  <c r="N265" i="9"/>
  <c r="N257" i="9"/>
  <c r="P257" i="9" s="1"/>
  <c r="N249" i="9"/>
  <c r="N241" i="9"/>
  <c r="P241" i="9" s="1"/>
  <c r="N233" i="9"/>
  <c r="N225" i="9"/>
  <c r="Z225" i="9" s="1"/>
  <c r="N217" i="9"/>
  <c r="N209" i="9"/>
  <c r="N201" i="9"/>
  <c r="Z201" i="9" s="1"/>
  <c r="N193" i="9"/>
  <c r="X193" i="9" s="1"/>
  <c r="N185" i="9"/>
  <c r="X185" i="9" s="1"/>
  <c r="N177" i="9"/>
  <c r="V177" i="9" s="1"/>
  <c r="N161" i="9"/>
  <c r="Z161" i="9" s="1"/>
  <c r="N145" i="9"/>
  <c r="W145" i="9" s="1"/>
  <c r="N129" i="9"/>
  <c r="N113" i="9"/>
  <c r="N97" i="9"/>
  <c r="U97" i="9" s="1"/>
  <c r="N81" i="9"/>
  <c r="S81" i="9" s="1"/>
  <c r="N65" i="9"/>
  <c r="N49" i="9"/>
  <c r="N33" i="9"/>
  <c r="V33" i="9" s="1"/>
  <c r="N17" i="9"/>
  <c r="Q17" i="9" s="1"/>
  <c r="N4" i="9"/>
  <c r="Q4" i="9" s="1"/>
  <c r="N496" i="9"/>
  <c r="R496" i="9" s="1"/>
  <c r="N488" i="9"/>
  <c r="X488" i="9" s="1"/>
  <c r="N480" i="9"/>
  <c r="N472" i="9"/>
  <c r="Y472" i="9" s="1"/>
  <c r="N464" i="9"/>
  <c r="Y464" i="9" s="1"/>
  <c r="N456" i="9"/>
  <c r="P456" i="9" s="1"/>
  <c r="N448" i="9"/>
  <c r="R448" i="9" s="1"/>
  <c r="N440" i="9"/>
  <c r="P440" i="9" s="1"/>
  <c r="N432" i="9"/>
  <c r="N424" i="9"/>
  <c r="N416" i="9"/>
  <c r="N408" i="9"/>
  <c r="W408" i="9" s="1"/>
  <c r="N400" i="9"/>
  <c r="U400" i="9" s="1"/>
  <c r="N392" i="9"/>
  <c r="P392" i="9" s="1"/>
  <c r="N384" i="9"/>
  <c r="R384" i="9" s="1"/>
  <c r="N376" i="9"/>
  <c r="P376" i="9" s="1"/>
  <c r="N368" i="9"/>
  <c r="N360" i="9"/>
  <c r="U360" i="9" s="1"/>
  <c r="N352" i="9"/>
  <c r="N344" i="9"/>
  <c r="S344" i="9" s="1"/>
  <c r="N336" i="9"/>
  <c r="Z336" i="9" s="1"/>
  <c r="N328" i="9"/>
  <c r="Y328" i="9" s="1"/>
  <c r="N320" i="9"/>
  <c r="Q320" i="9" s="1"/>
  <c r="N312" i="9"/>
  <c r="Q312" i="9" s="1"/>
  <c r="N304" i="9"/>
  <c r="N296" i="9"/>
  <c r="R296" i="9" s="1"/>
  <c r="N288" i="9"/>
  <c r="W288" i="9" s="1"/>
  <c r="N280" i="9"/>
  <c r="P280" i="9" s="1"/>
  <c r="N272" i="9"/>
  <c r="P272" i="9" s="1"/>
  <c r="N264" i="9"/>
  <c r="Y264" i="9" s="1"/>
  <c r="N256" i="9"/>
  <c r="Q256" i="9" s="1"/>
  <c r="N248" i="9"/>
  <c r="U248" i="9" s="1"/>
  <c r="N240" i="9"/>
  <c r="Q240" i="9" s="1"/>
  <c r="N232" i="9"/>
  <c r="X232" i="9" s="1"/>
  <c r="N224" i="9"/>
  <c r="Z224" i="9" s="1"/>
  <c r="N216" i="9"/>
  <c r="R216" i="9" s="1"/>
  <c r="N208" i="9"/>
  <c r="S208" i="9" s="1"/>
  <c r="N200" i="9"/>
  <c r="Y200" i="9" s="1"/>
  <c r="N192" i="9"/>
  <c r="Q192" i="9" s="1"/>
  <c r="N184" i="9"/>
  <c r="Y184" i="9" s="1"/>
  <c r="N175" i="9"/>
  <c r="N159" i="9"/>
  <c r="N143" i="9"/>
  <c r="Z143" i="9" s="1"/>
  <c r="N127" i="9"/>
  <c r="N111" i="9"/>
  <c r="N95" i="9"/>
  <c r="X95" i="9" s="1"/>
  <c r="N79" i="9"/>
  <c r="Z79" i="9" s="1"/>
  <c r="N63" i="9"/>
  <c r="N47" i="9"/>
  <c r="N31" i="9"/>
  <c r="V31" i="9" s="1"/>
  <c r="N15" i="9"/>
  <c r="X15" i="9" s="1"/>
  <c r="G3" i="9"/>
  <c r="N503" i="9"/>
  <c r="Q503" i="9" s="1"/>
  <c r="N495" i="9"/>
  <c r="P495" i="9" s="1"/>
  <c r="N487" i="9"/>
  <c r="P487" i="9" s="1"/>
  <c r="N479" i="9"/>
  <c r="P479" i="9" s="1"/>
  <c r="N471" i="9"/>
  <c r="N463" i="9"/>
  <c r="N455" i="9"/>
  <c r="V455" i="9" s="1"/>
  <c r="N447" i="9"/>
  <c r="T447" i="9" s="1"/>
  <c r="N439" i="9"/>
  <c r="X439" i="9" s="1"/>
  <c r="N431" i="9"/>
  <c r="P431" i="9" s="1"/>
  <c r="N423" i="9"/>
  <c r="P423" i="9" s="1"/>
  <c r="N415" i="9"/>
  <c r="P415" i="9" s="1"/>
  <c r="N407" i="9"/>
  <c r="N399" i="9"/>
  <c r="N391" i="9"/>
  <c r="N383" i="9"/>
  <c r="Z383" i="9" s="1"/>
  <c r="N375" i="9"/>
  <c r="Q375" i="9" s="1"/>
  <c r="N367" i="9"/>
  <c r="S367" i="9" s="1"/>
  <c r="N359" i="9"/>
  <c r="U359" i="9" s="1"/>
  <c r="N351" i="9"/>
  <c r="W351" i="9" s="1"/>
  <c r="N343" i="9"/>
  <c r="S343" i="9" s="1"/>
  <c r="N335" i="9"/>
  <c r="S335" i="9" s="1"/>
  <c r="N327" i="9"/>
  <c r="N319" i="9"/>
  <c r="N311" i="9"/>
  <c r="R311" i="9" s="1"/>
  <c r="N303" i="9"/>
  <c r="S303" i="9" s="1"/>
  <c r="N295" i="9"/>
  <c r="W295" i="9" s="1"/>
  <c r="N287" i="9"/>
  <c r="U287" i="9" s="1"/>
  <c r="N279" i="9"/>
  <c r="N271" i="9"/>
  <c r="S271" i="9" s="1"/>
  <c r="N263" i="9"/>
  <c r="S263" i="9" s="1"/>
  <c r="N255" i="9"/>
  <c r="Z255" i="9" s="1"/>
  <c r="N247" i="9"/>
  <c r="V247" i="9" s="1"/>
  <c r="N239" i="9"/>
  <c r="S239" i="9" s="1"/>
  <c r="N231" i="9"/>
  <c r="W231" i="9" s="1"/>
  <c r="N223" i="9"/>
  <c r="S223" i="9" s="1"/>
  <c r="N215" i="9"/>
  <c r="N207" i="9"/>
  <c r="Y207" i="9" s="1"/>
  <c r="N199" i="9"/>
  <c r="Z199" i="9" s="1"/>
  <c r="N191" i="9"/>
  <c r="N183" i="9"/>
  <c r="T183" i="9" s="1"/>
  <c r="N171" i="9"/>
  <c r="X171" i="9" s="1"/>
  <c r="N155" i="9"/>
  <c r="P155" i="9" s="1"/>
  <c r="N139" i="9"/>
  <c r="P139" i="9" s="1"/>
  <c r="N123" i="9"/>
  <c r="N107" i="9"/>
  <c r="N91" i="9"/>
  <c r="V91" i="9" s="1"/>
  <c r="N75" i="9"/>
  <c r="U75" i="9" s="1"/>
  <c r="N59" i="9"/>
  <c r="R59" i="9" s="1"/>
  <c r="N43" i="9"/>
  <c r="Z43" i="9" s="1"/>
  <c r="N27" i="9"/>
  <c r="X27" i="9" s="1"/>
  <c r="N11" i="9"/>
  <c r="N502" i="9"/>
  <c r="N494" i="9"/>
  <c r="N486" i="9"/>
  <c r="N478" i="9"/>
  <c r="V478" i="9" s="1"/>
  <c r="N470" i="9"/>
  <c r="S470" i="9" s="1"/>
  <c r="N462" i="9"/>
  <c r="Q462" i="9" s="1"/>
  <c r="N454" i="9"/>
  <c r="X454" i="9" s="1"/>
  <c r="N446" i="9"/>
  <c r="Z446" i="9" s="1"/>
  <c r="N438" i="9"/>
  <c r="X438" i="9" s="1"/>
  <c r="N430" i="9"/>
  <c r="R430" i="9" s="1"/>
  <c r="N422" i="9"/>
  <c r="N414" i="9"/>
  <c r="W414" i="9" s="1"/>
  <c r="N406" i="9"/>
  <c r="S406" i="9" s="1"/>
  <c r="N398" i="9"/>
  <c r="Q398" i="9" s="1"/>
  <c r="N390" i="9"/>
  <c r="Z390" i="9" s="1"/>
  <c r="N382" i="9"/>
  <c r="Q382" i="9" s="1"/>
  <c r="N374" i="9"/>
  <c r="N366" i="9"/>
  <c r="X366" i="9" s="1"/>
  <c r="N358" i="9"/>
  <c r="N350" i="9"/>
  <c r="Q350" i="9" s="1"/>
  <c r="N342" i="9"/>
  <c r="Q342" i="9" s="1"/>
  <c r="N334" i="9"/>
  <c r="S334" i="9" s="1"/>
  <c r="N326" i="9"/>
  <c r="S326" i="9" s="1"/>
  <c r="N318" i="9"/>
  <c r="S318" i="9" s="1"/>
  <c r="N310" i="9"/>
  <c r="N302" i="9"/>
  <c r="N294" i="9"/>
  <c r="N286" i="9"/>
  <c r="W286" i="9" s="1"/>
  <c r="N278" i="9"/>
  <c r="N270" i="9"/>
  <c r="S270" i="9" s="1"/>
  <c r="N262" i="9"/>
  <c r="S262" i="9" s="1"/>
  <c r="N254" i="9"/>
  <c r="S254" i="9" s="1"/>
  <c r="N246" i="9"/>
  <c r="N238" i="9"/>
  <c r="Y238" i="9" s="1"/>
  <c r="N230" i="9"/>
  <c r="Q230" i="9" s="1"/>
  <c r="N222" i="9"/>
  <c r="W222" i="9" s="1"/>
  <c r="N214" i="9"/>
  <c r="N206" i="9"/>
  <c r="N198" i="9"/>
  <c r="S198" i="9" s="1"/>
  <c r="N190" i="9"/>
  <c r="S190" i="9" s="1"/>
  <c r="N182" i="9"/>
  <c r="N170" i="9"/>
  <c r="X170" i="9" s="1"/>
  <c r="N154" i="9"/>
  <c r="Y154" i="9" s="1"/>
  <c r="N138" i="9"/>
  <c r="U138" i="9" s="1"/>
  <c r="N122" i="9"/>
  <c r="N106" i="9"/>
  <c r="U106" i="9" s="1"/>
  <c r="N90" i="9"/>
  <c r="U90" i="9" s="1"/>
  <c r="N74" i="9"/>
  <c r="X74" i="9" s="1"/>
  <c r="N58" i="9"/>
  <c r="X58" i="9" s="1"/>
  <c r="N42" i="9"/>
  <c r="N26" i="9"/>
  <c r="N10" i="9"/>
  <c r="Y10" i="9" s="1"/>
  <c r="D3" i="9"/>
  <c r="L3" i="9"/>
  <c r="E3" i="9"/>
  <c r="F3" i="9"/>
  <c r="H3" i="9"/>
  <c r="N501" i="9"/>
  <c r="X501" i="9" s="1"/>
  <c r="N493" i="9"/>
  <c r="N485" i="9"/>
  <c r="Z485" i="9" s="1"/>
  <c r="N477" i="9"/>
  <c r="S477" i="9" s="1"/>
  <c r="N469" i="9"/>
  <c r="P469" i="9" s="1"/>
  <c r="N461" i="9"/>
  <c r="P461" i="9" s="1"/>
  <c r="N453" i="9"/>
  <c r="P453" i="9" s="1"/>
  <c r="N445" i="9"/>
  <c r="N437" i="9"/>
  <c r="X437" i="9" s="1"/>
  <c r="N429" i="9"/>
  <c r="N421" i="9"/>
  <c r="T421" i="9" s="1"/>
  <c r="N413" i="9"/>
  <c r="V413" i="9" s="1"/>
  <c r="N405" i="9"/>
  <c r="P405" i="9" s="1"/>
  <c r="N397" i="9"/>
  <c r="P397" i="9" s="1"/>
  <c r="N389" i="9"/>
  <c r="P389" i="9" s="1"/>
  <c r="N381" i="9"/>
  <c r="N373" i="9"/>
  <c r="Z373" i="9" s="1"/>
  <c r="N365" i="9"/>
  <c r="U365" i="9" s="1"/>
  <c r="N357" i="9"/>
  <c r="R357" i="9" s="1"/>
  <c r="N349" i="9"/>
  <c r="Z349" i="9" s="1"/>
  <c r="N341" i="9"/>
  <c r="Q341" i="9" s="1"/>
  <c r="N333" i="9"/>
  <c r="V333" i="9" s="1"/>
  <c r="N325" i="9"/>
  <c r="U325" i="9" s="1"/>
  <c r="N317" i="9"/>
  <c r="N309" i="9"/>
  <c r="W309" i="9" s="1"/>
  <c r="N301" i="9"/>
  <c r="N293" i="9"/>
  <c r="T293" i="9" s="1"/>
  <c r="N285" i="9"/>
  <c r="V285" i="9" s="1"/>
  <c r="N277" i="9"/>
  <c r="Q277" i="9" s="1"/>
  <c r="N269" i="9"/>
  <c r="X269" i="9" s="1"/>
  <c r="N261" i="9"/>
  <c r="W261" i="9" s="1"/>
  <c r="N253" i="9"/>
  <c r="N245" i="9"/>
  <c r="S245" i="9" s="1"/>
  <c r="N237" i="9"/>
  <c r="T237" i="9" s="1"/>
  <c r="N229" i="9"/>
  <c r="X229" i="9" s="1"/>
  <c r="N221" i="9"/>
  <c r="T221" i="9" s="1"/>
  <c r="N213" i="9"/>
  <c r="Q213" i="9" s="1"/>
  <c r="N205" i="9"/>
  <c r="Q205" i="9" s="1"/>
  <c r="N197" i="9"/>
  <c r="W197" i="9" s="1"/>
  <c r="N189" i="9"/>
  <c r="N181" i="9"/>
  <c r="Y181" i="9" s="1"/>
  <c r="N169" i="9"/>
  <c r="T169" i="9" s="1"/>
  <c r="N153" i="9"/>
  <c r="N137" i="9"/>
  <c r="Y137" i="9" s="1"/>
  <c r="N121" i="9"/>
  <c r="Z121" i="9" s="1"/>
  <c r="N105" i="9"/>
  <c r="W105" i="9" s="1"/>
  <c r="N89" i="9"/>
  <c r="U89" i="9" s="1"/>
  <c r="N73" i="9"/>
  <c r="Z73" i="9" s="1"/>
  <c r="N57" i="9"/>
  <c r="R57" i="9" s="1"/>
  <c r="N41" i="9"/>
  <c r="N25" i="9"/>
  <c r="S25" i="9" s="1"/>
  <c r="N9" i="9"/>
  <c r="S9" i="9" s="1"/>
  <c r="B133" i="9"/>
  <c r="B125" i="9"/>
  <c r="B117" i="9"/>
  <c r="B109" i="9"/>
  <c r="B101" i="9"/>
  <c r="B93" i="9"/>
  <c r="B85" i="9"/>
  <c r="B77" i="9"/>
  <c r="B69" i="9"/>
  <c r="B61" i="9"/>
  <c r="B53" i="9"/>
  <c r="B45" i="9"/>
  <c r="B37" i="9"/>
  <c r="B29" i="9"/>
  <c r="B21" i="9"/>
  <c r="B13" i="9"/>
  <c r="B5" i="9"/>
  <c r="J133" i="9"/>
  <c r="D132" i="9"/>
  <c r="H130" i="9"/>
  <c r="L128" i="9"/>
  <c r="F127" i="9"/>
  <c r="J125" i="9"/>
  <c r="D124" i="9"/>
  <c r="H122" i="9"/>
  <c r="L120" i="9"/>
  <c r="F119" i="9"/>
  <c r="J117" i="9"/>
  <c r="D116" i="9"/>
  <c r="H114" i="9"/>
  <c r="L112" i="9"/>
  <c r="F111" i="9"/>
  <c r="J109" i="9"/>
  <c r="D108" i="9"/>
  <c r="H106" i="9"/>
  <c r="L104" i="9"/>
  <c r="F103" i="9"/>
  <c r="J101" i="9"/>
  <c r="D100" i="9"/>
  <c r="H98" i="9"/>
  <c r="E96" i="9"/>
  <c r="C93" i="9"/>
  <c r="K89" i="9"/>
  <c r="I86" i="9"/>
  <c r="G83" i="9"/>
  <c r="E80" i="9"/>
  <c r="C77" i="9"/>
  <c r="K73" i="9"/>
  <c r="I70" i="9"/>
  <c r="G67" i="9"/>
  <c r="E64" i="9"/>
  <c r="C61" i="9"/>
  <c r="K57" i="9"/>
  <c r="I54" i="9"/>
  <c r="G51" i="9"/>
  <c r="E48" i="9"/>
  <c r="I43" i="9"/>
  <c r="E37" i="9"/>
  <c r="K30" i="9"/>
  <c r="G24" i="9"/>
  <c r="D15" i="9"/>
  <c r="Z3" i="9"/>
  <c r="H133" i="9"/>
  <c r="L131" i="9"/>
  <c r="F130" i="9"/>
  <c r="J128" i="9"/>
  <c r="D127" i="9"/>
  <c r="H125" i="9"/>
  <c r="L123" i="9"/>
  <c r="F122" i="9"/>
  <c r="J120" i="9"/>
  <c r="D119" i="9"/>
  <c r="H117" i="9"/>
  <c r="L115" i="9"/>
  <c r="F114" i="9"/>
  <c r="J112" i="9"/>
  <c r="D111" i="9"/>
  <c r="H109" i="9"/>
  <c r="L107" i="9"/>
  <c r="F106" i="9"/>
  <c r="J104" i="9"/>
  <c r="D103" i="9"/>
  <c r="H101" i="9"/>
  <c r="L99" i="9"/>
  <c r="F98" i="9"/>
  <c r="K95" i="9"/>
  <c r="I92" i="9"/>
  <c r="G89" i="9"/>
  <c r="E86" i="9"/>
  <c r="C83" i="9"/>
  <c r="K79" i="9"/>
  <c r="I76" i="9"/>
  <c r="G73" i="9"/>
  <c r="E70" i="9"/>
  <c r="C67" i="9"/>
  <c r="K63" i="9"/>
  <c r="I60" i="9"/>
  <c r="G57" i="9"/>
  <c r="E54" i="9"/>
  <c r="C51" i="9"/>
  <c r="K47" i="9"/>
  <c r="K42" i="9"/>
  <c r="G36" i="9"/>
  <c r="C30" i="9"/>
  <c r="I23" i="9"/>
  <c r="H13" i="9"/>
  <c r="X3" i="9"/>
  <c r="B131" i="9"/>
  <c r="B123" i="9"/>
  <c r="B115" i="9"/>
  <c r="B107" i="9"/>
  <c r="B99" i="9"/>
  <c r="B91" i="9"/>
  <c r="B83" i="9"/>
  <c r="B75" i="9"/>
  <c r="B67" i="9"/>
  <c r="B59" i="9"/>
  <c r="B51" i="9"/>
  <c r="B43" i="9"/>
  <c r="B35" i="9"/>
  <c r="B27" i="9"/>
  <c r="B19" i="9"/>
  <c r="B11" i="9"/>
  <c r="L134" i="9"/>
  <c r="F133" i="9"/>
  <c r="J131" i="9"/>
  <c r="D130" i="9"/>
  <c r="H128" i="9"/>
  <c r="L126" i="9"/>
  <c r="F125" i="9"/>
  <c r="J123" i="9"/>
  <c r="D122" i="9"/>
  <c r="H120" i="9"/>
  <c r="L118" i="9"/>
  <c r="F117" i="9"/>
  <c r="J115" i="9"/>
  <c r="D114" i="9"/>
  <c r="H112" i="9"/>
  <c r="L110" i="9"/>
  <c r="F109" i="9"/>
  <c r="J107" i="9"/>
  <c r="D106" i="9"/>
  <c r="H104" i="9"/>
  <c r="L102" i="9"/>
  <c r="F101" i="9"/>
  <c r="J99" i="9"/>
  <c r="D98" i="9"/>
  <c r="G95" i="9"/>
  <c r="E92" i="9"/>
  <c r="C89" i="9"/>
  <c r="K85" i="9"/>
  <c r="I82" i="9"/>
  <c r="G79" i="9"/>
  <c r="E76" i="9"/>
  <c r="C73" i="9"/>
  <c r="K69" i="9"/>
  <c r="I66" i="9"/>
  <c r="G63" i="9"/>
  <c r="E60" i="9"/>
  <c r="C57" i="9"/>
  <c r="K53" i="9"/>
  <c r="I50" i="9"/>
  <c r="G47" i="9"/>
  <c r="C42" i="9"/>
  <c r="I35" i="9"/>
  <c r="E29" i="9"/>
  <c r="K22" i="9"/>
  <c r="L11" i="9"/>
  <c r="V3" i="9"/>
  <c r="B130" i="9"/>
  <c r="B122" i="9"/>
  <c r="B114" i="9"/>
  <c r="B106" i="9"/>
  <c r="B98" i="9"/>
  <c r="B90" i="9"/>
  <c r="B82" i="9"/>
  <c r="B74" i="9"/>
  <c r="B66" i="9"/>
  <c r="B58" i="9"/>
  <c r="B50" i="9"/>
  <c r="B42" i="9"/>
  <c r="B34" i="9"/>
  <c r="B26" i="9"/>
  <c r="B18" i="9"/>
  <c r="B10" i="9"/>
  <c r="J134" i="9"/>
  <c r="D133" i="9"/>
  <c r="H131" i="9"/>
  <c r="L129" i="9"/>
  <c r="F128" i="9"/>
  <c r="J126" i="9"/>
  <c r="D125" i="9"/>
  <c r="H123" i="9"/>
  <c r="L121" i="9"/>
  <c r="F120" i="9"/>
  <c r="J118" i="9"/>
  <c r="D117" i="9"/>
  <c r="H115" i="9"/>
  <c r="L113" i="9"/>
  <c r="F112" i="9"/>
  <c r="J110" i="9"/>
  <c r="D109" i="9"/>
  <c r="H107" i="9"/>
  <c r="L105" i="9"/>
  <c r="F104" i="9"/>
  <c r="J102" i="9"/>
  <c r="D101" i="9"/>
  <c r="H99" i="9"/>
  <c r="L97" i="9"/>
  <c r="C95" i="9"/>
  <c r="K91" i="9"/>
  <c r="I88" i="9"/>
  <c r="G85" i="9"/>
  <c r="E82" i="9"/>
  <c r="C79" i="9"/>
  <c r="K75" i="9"/>
  <c r="I72" i="9"/>
  <c r="G69" i="9"/>
  <c r="E66" i="9"/>
  <c r="C63" i="9"/>
  <c r="K59" i="9"/>
  <c r="I56" i="9"/>
  <c r="G53" i="9"/>
  <c r="E50" i="9"/>
  <c r="C47" i="9"/>
  <c r="E41" i="9"/>
  <c r="K34" i="9"/>
  <c r="G28" i="9"/>
  <c r="C22" i="9"/>
  <c r="F10" i="9"/>
  <c r="T3" i="9"/>
  <c r="B129" i="9"/>
  <c r="B121" i="9"/>
  <c r="B113" i="9"/>
  <c r="B105" i="9"/>
  <c r="B97" i="9"/>
  <c r="B89" i="9"/>
  <c r="B81" i="9"/>
  <c r="B73" i="9"/>
  <c r="B65" i="9"/>
  <c r="B57" i="9"/>
  <c r="B49" i="9"/>
  <c r="B41" i="9"/>
  <c r="B33" i="9"/>
  <c r="B25" i="9"/>
  <c r="B17" i="9"/>
  <c r="B9" i="9"/>
  <c r="H134" i="9"/>
  <c r="L132" i="9"/>
  <c r="F131" i="9"/>
  <c r="J129" i="9"/>
  <c r="D128" i="9"/>
  <c r="H126" i="9"/>
  <c r="L124" i="9"/>
  <c r="F123" i="9"/>
  <c r="J121" i="9"/>
  <c r="D120" i="9"/>
  <c r="H118" i="9"/>
  <c r="L116" i="9"/>
  <c r="F115" i="9"/>
  <c r="J113" i="9"/>
  <c r="D112" i="9"/>
  <c r="H110" i="9"/>
  <c r="L108" i="9"/>
  <c r="F107" i="9"/>
  <c r="J105" i="9"/>
  <c r="D104" i="9"/>
  <c r="H102" i="9"/>
  <c r="L100" i="9"/>
  <c r="F99" i="9"/>
  <c r="J97" i="9"/>
  <c r="I94" i="9"/>
  <c r="G91" i="9"/>
  <c r="E88" i="9"/>
  <c r="C85" i="9"/>
  <c r="K81" i="9"/>
  <c r="I78" i="9"/>
  <c r="G75" i="9"/>
  <c r="E72" i="9"/>
  <c r="C69" i="9"/>
  <c r="K65" i="9"/>
  <c r="I62" i="9"/>
  <c r="G59" i="9"/>
  <c r="E56" i="9"/>
  <c r="C53" i="9"/>
  <c r="K49" i="9"/>
  <c r="I46" i="9"/>
  <c r="G40" i="9"/>
  <c r="C34" i="9"/>
  <c r="I27" i="9"/>
  <c r="E21" i="9"/>
  <c r="J8" i="9"/>
  <c r="R3" i="9"/>
  <c r="D7" i="9"/>
  <c r="R440" i="9"/>
  <c r="R376" i="9"/>
  <c r="R438" i="9"/>
  <c r="W254" i="9"/>
  <c r="Q446" i="9"/>
  <c r="R446" i="9"/>
  <c r="V446" i="9"/>
  <c r="X446" i="9"/>
  <c r="T382" i="9"/>
  <c r="V382" i="9"/>
  <c r="Z382" i="9"/>
  <c r="T374" i="9"/>
  <c r="W190" i="9"/>
  <c r="Q126" i="9"/>
  <c r="P444" i="9"/>
  <c r="R444" i="9"/>
  <c r="Q436" i="9"/>
  <c r="P436" i="9"/>
  <c r="R436" i="9"/>
  <c r="T436" i="9"/>
  <c r="V436" i="9"/>
  <c r="Q404" i="9"/>
  <c r="P404" i="9"/>
  <c r="R404" i="9"/>
  <c r="T404" i="9"/>
  <c r="V404" i="9"/>
  <c r="P396" i="9"/>
  <c r="R396" i="9"/>
  <c r="T396" i="9"/>
  <c r="Q388" i="9"/>
  <c r="P388" i="9"/>
  <c r="R388" i="9"/>
  <c r="T388" i="9"/>
  <c r="V388" i="9"/>
  <c r="Q372" i="9"/>
  <c r="P372" i="9"/>
  <c r="Q364" i="9"/>
  <c r="U364" i="9"/>
  <c r="Q356" i="9"/>
  <c r="U356" i="9"/>
  <c r="Y356" i="9"/>
  <c r="U332" i="9"/>
  <c r="Q324" i="9"/>
  <c r="U324" i="9"/>
  <c r="Y324" i="9"/>
  <c r="U284" i="9"/>
  <c r="Y284" i="9"/>
  <c r="Q260" i="9"/>
  <c r="U260" i="9"/>
  <c r="Y260" i="9"/>
  <c r="Y228" i="9"/>
  <c r="Q204" i="9"/>
  <c r="U204" i="9"/>
  <c r="Q196" i="9"/>
  <c r="U196" i="9"/>
  <c r="Y196" i="9"/>
  <c r="Y188" i="9"/>
  <c r="T440" i="9"/>
  <c r="Z404" i="9"/>
  <c r="Q284" i="9"/>
  <c r="Q458" i="9"/>
  <c r="Z458" i="9"/>
  <c r="P458" i="9"/>
  <c r="R458" i="9"/>
  <c r="Z450" i="9"/>
  <c r="Q394" i="9"/>
  <c r="Z394" i="9"/>
  <c r="P394" i="9"/>
  <c r="R394" i="9"/>
  <c r="Z386" i="9"/>
  <c r="S330" i="9"/>
  <c r="W330" i="9"/>
  <c r="S266" i="9"/>
  <c r="W266" i="9"/>
  <c r="S202" i="9"/>
  <c r="W202" i="9"/>
  <c r="Z388" i="9"/>
  <c r="P382" i="9"/>
  <c r="S194" i="9"/>
  <c r="X458" i="9"/>
  <c r="X394" i="9"/>
  <c r="X388" i="9"/>
  <c r="Y364" i="9"/>
  <c r="Y276" i="9"/>
  <c r="Q440" i="9"/>
  <c r="V440" i="9"/>
  <c r="X440" i="9"/>
  <c r="Z440" i="9"/>
  <c r="Z376" i="9"/>
  <c r="Q368" i="9"/>
  <c r="U304" i="9"/>
  <c r="Q248" i="9"/>
  <c r="Q184" i="9"/>
  <c r="U184" i="9"/>
  <c r="V458" i="9"/>
  <c r="Z436" i="9"/>
  <c r="V394" i="9"/>
  <c r="Y308" i="9"/>
  <c r="U276" i="9"/>
  <c r="T458" i="9"/>
  <c r="X436" i="9"/>
  <c r="T394" i="9"/>
  <c r="V386" i="9"/>
  <c r="Q188" i="9"/>
  <c r="Q363" i="9"/>
  <c r="S363" i="9"/>
  <c r="U363" i="9"/>
  <c r="W363" i="9"/>
  <c r="Y363" i="9"/>
  <c r="U355" i="9"/>
  <c r="Q351" i="9"/>
  <c r="S351" i="9"/>
  <c r="U351" i="9"/>
  <c r="Q345" i="9"/>
  <c r="S345" i="9"/>
  <c r="U345" i="9"/>
  <c r="W345" i="9"/>
  <c r="Y345" i="9"/>
  <c r="U337" i="9"/>
  <c r="Q325" i="9"/>
  <c r="S325" i="9"/>
  <c r="W325" i="9"/>
  <c r="Y325" i="9"/>
  <c r="Q299" i="9"/>
  <c r="S299" i="9"/>
  <c r="U299" i="9"/>
  <c r="W299" i="9"/>
  <c r="Y299" i="9"/>
  <c r="S291" i="9"/>
  <c r="Y291" i="9"/>
  <c r="Q287" i="9"/>
  <c r="S287" i="9"/>
  <c r="Q281" i="9"/>
  <c r="S281" i="9"/>
  <c r="U281" i="9"/>
  <c r="W281" i="9"/>
  <c r="Y281" i="9"/>
  <c r="W279" i="9"/>
  <c r="S273" i="9"/>
  <c r="Y273" i="9"/>
  <c r="S261" i="9"/>
  <c r="U261" i="9"/>
  <c r="U253" i="9"/>
  <c r="Q235" i="9"/>
  <c r="S235" i="9"/>
  <c r="U235" i="9"/>
  <c r="W235" i="9"/>
  <c r="Y235" i="9"/>
  <c r="W227" i="9"/>
  <c r="Q223" i="9"/>
  <c r="Y223" i="9"/>
  <c r="Q217" i="9"/>
  <c r="S217" i="9"/>
  <c r="U217" i="9"/>
  <c r="W217" i="9"/>
  <c r="Y217" i="9"/>
  <c r="Q215" i="9"/>
  <c r="W209" i="9"/>
  <c r="S197" i="9"/>
  <c r="U197" i="9"/>
  <c r="Y189" i="9"/>
  <c r="S175" i="9"/>
  <c r="Y175" i="9"/>
  <c r="Q173" i="9"/>
  <c r="S173" i="9"/>
  <c r="U173" i="9"/>
  <c r="W173" i="9"/>
  <c r="Y173" i="9"/>
  <c r="R173" i="9"/>
  <c r="V173" i="9"/>
  <c r="Z173" i="9"/>
  <c r="Q163" i="9"/>
  <c r="S163" i="9"/>
  <c r="U163" i="9"/>
  <c r="W163" i="9"/>
  <c r="Y163" i="9"/>
  <c r="P163" i="9"/>
  <c r="T163" i="9"/>
  <c r="X163" i="9"/>
  <c r="S147" i="9"/>
  <c r="T147" i="9"/>
  <c r="Q139" i="9"/>
  <c r="S139" i="9"/>
  <c r="U139" i="9"/>
  <c r="W139" i="9"/>
  <c r="Y139" i="9"/>
  <c r="Q129" i="9"/>
  <c r="S129" i="9"/>
  <c r="U129" i="9"/>
  <c r="W129" i="9"/>
  <c r="Y129" i="9"/>
  <c r="R129" i="9"/>
  <c r="V129" i="9"/>
  <c r="Z129" i="9"/>
  <c r="S123" i="9"/>
  <c r="T123" i="9"/>
  <c r="T119" i="9"/>
  <c r="Q117" i="9"/>
  <c r="R117" i="9"/>
  <c r="Q113" i="9"/>
  <c r="R113" i="9"/>
  <c r="Q109" i="9"/>
  <c r="S109" i="9"/>
  <c r="U109" i="9"/>
  <c r="W109" i="9"/>
  <c r="Y109" i="9"/>
  <c r="R109" i="9"/>
  <c r="V109" i="9"/>
  <c r="Z109" i="9"/>
  <c r="T89" i="9"/>
  <c r="V89" i="9"/>
  <c r="X89" i="9"/>
  <c r="Z89" i="9"/>
  <c r="Q89" i="9"/>
  <c r="R87" i="9"/>
  <c r="X87" i="9"/>
  <c r="Z87" i="9"/>
  <c r="P71" i="9"/>
  <c r="R71" i="9"/>
  <c r="T71" i="9"/>
  <c r="V71" i="9"/>
  <c r="X71" i="9"/>
  <c r="Z71" i="9"/>
  <c r="S71" i="9"/>
  <c r="W71" i="9"/>
  <c r="U71" i="9"/>
  <c r="P63" i="9"/>
  <c r="R63" i="9"/>
  <c r="T63" i="9"/>
  <c r="V63" i="9"/>
  <c r="X63" i="9"/>
  <c r="Z63" i="9"/>
  <c r="S63" i="9"/>
  <c r="W63" i="9"/>
  <c r="U63" i="9"/>
  <c r="P53" i="9"/>
  <c r="Z53" i="9"/>
  <c r="Y53" i="9"/>
  <c r="T47" i="9"/>
  <c r="W47" i="9"/>
  <c r="P45" i="9"/>
  <c r="R45" i="9"/>
  <c r="T45" i="9"/>
  <c r="V45" i="9"/>
  <c r="X45" i="9"/>
  <c r="Z45" i="9"/>
  <c r="Q45" i="9"/>
  <c r="U45" i="9"/>
  <c r="Y45" i="9"/>
  <c r="S45" i="9"/>
  <c r="P35" i="9"/>
  <c r="R35" i="9"/>
  <c r="T35" i="9"/>
  <c r="V35" i="9"/>
  <c r="X35" i="9"/>
  <c r="Z35" i="9"/>
  <c r="Q35" i="9"/>
  <c r="U35" i="9"/>
  <c r="Y35" i="9"/>
  <c r="W35" i="9"/>
  <c r="S35" i="9"/>
  <c r="Y19" i="9"/>
  <c r="X19" i="9"/>
  <c r="Q11" i="9"/>
  <c r="S11" i="9"/>
  <c r="U11" i="9"/>
  <c r="W11" i="9"/>
  <c r="Y11" i="9"/>
  <c r="P11" i="9"/>
  <c r="T11" i="9"/>
  <c r="X11" i="9"/>
  <c r="R11" i="9"/>
  <c r="Z11" i="9"/>
  <c r="V11" i="9"/>
  <c r="Y491" i="9"/>
  <c r="W491" i="9"/>
  <c r="U491" i="9"/>
  <c r="S491" i="9"/>
  <c r="Q491" i="9"/>
  <c r="W483" i="9"/>
  <c r="Y479" i="9"/>
  <c r="W479" i="9"/>
  <c r="U479" i="9"/>
  <c r="S479" i="9"/>
  <c r="Q479" i="9"/>
  <c r="Y473" i="9"/>
  <c r="W473" i="9"/>
  <c r="U473" i="9"/>
  <c r="S473" i="9"/>
  <c r="Q473" i="9"/>
  <c r="Y471" i="9"/>
  <c r="S471" i="9"/>
  <c r="Y465" i="9"/>
  <c r="Y453" i="9"/>
  <c r="W453" i="9"/>
  <c r="U453" i="9"/>
  <c r="S453" i="9"/>
  <c r="Q453" i="9"/>
  <c r="S445" i="9"/>
  <c r="Y427" i="9"/>
  <c r="W427" i="9"/>
  <c r="U427" i="9"/>
  <c r="S427" i="9"/>
  <c r="Q427" i="9"/>
  <c r="W419" i="9"/>
  <c r="Y415" i="9"/>
  <c r="W415" i="9"/>
  <c r="U415" i="9"/>
  <c r="S415" i="9"/>
  <c r="Q415" i="9"/>
  <c r="Y409" i="9"/>
  <c r="W409" i="9"/>
  <c r="U409" i="9"/>
  <c r="S409" i="9"/>
  <c r="Q409" i="9"/>
  <c r="Y407" i="9"/>
  <c r="S407" i="9"/>
  <c r="Y401" i="9"/>
  <c r="Y389" i="9"/>
  <c r="W389" i="9"/>
  <c r="U389" i="9"/>
  <c r="S389" i="9"/>
  <c r="Q389" i="9"/>
  <c r="S381" i="9"/>
  <c r="X363" i="9"/>
  <c r="T363" i="9"/>
  <c r="P363" i="9"/>
  <c r="P355" i="9"/>
  <c r="X351" i="9"/>
  <c r="T351" i="9"/>
  <c r="P351" i="9"/>
  <c r="Z345" i="9"/>
  <c r="V345" i="9"/>
  <c r="R345" i="9"/>
  <c r="X343" i="9"/>
  <c r="R337" i="9"/>
  <c r="Z325" i="9"/>
  <c r="V325" i="9"/>
  <c r="R325" i="9"/>
  <c r="V317" i="9"/>
  <c r="X299" i="9"/>
  <c r="T299" i="9"/>
  <c r="P299" i="9"/>
  <c r="T291" i="9"/>
  <c r="X287" i="9"/>
  <c r="T287" i="9"/>
  <c r="P287" i="9"/>
  <c r="Z281" i="9"/>
  <c r="V281" i="9"/>
  <c r="R281" i="9"/>
  <c r="P279" i="9"/>
  <c r="V273" i="9"/>
  <c r="Z261" i="9"/>
  <c r="V261" i="9"/>
  <c r="R261" i="9"/>
  <c r="X235" i="9"/>
  <c r="T235" i="9"/>
  <c r="P235" i="9"/>
  <c r="X223" i="9"/>
  <c r="T223" i="9"/>
  <c r="P223" i="9"/>
  <c r="Z217" i="9"/>
  <c r="V217" i="9"/>
  <c r="R217" i="9"/>
  <c r="T215" i="9"/>
  <c r="Z197" i="9"/>
  <c r="V197" i="9"/>
  <c r="R197" i="9"/>
  <c r="Z189" i="9"/>
  <c r="T173" i="9"/>
  <c r="Z163" i="9"/>
  <c r="R163" i="9"/>
  <c r="R147" i="9"/>
  <c r="Z139" i="9"/>
  <c r="R139" i="9"/>
  <c r="X129" i="9"/>
  <c r="P129" i="9"/>
  <c r="T117" i="9"/>
  <c r="X113" i="9"/>
  <c r="T109" i="9"/>
  <c r="S89" i="9"/>
  <c r="S73" i="9"/>
  <c r="Y71" i="9"/>
  <c r="Q63" i="9"/>
  <c r="W45" i="9"/>
  <c r="T368" i="9"/>
  <c r="Z368" i="9"/>
  <c r="P364" i="9"/>
  <c r="R364" i="9"/>
  <c r="T364" i="9"/>
  <c r="V364" i="9"/>
  <c r="X364" i="9"/>
  <c r="Z364" i="9"/>
  <c r="P356" i="9"/>
  <c r="R356" i="9"/>
  <c r="T356" i="9"/>
  <c r="V356" i="9"/>
  <c r="X356" i="9"/>
  <c r="Z356" i="9"/>
  <c r="T332" i="9"/>
  <c r="V332" i="9"/>
  <c r="P330" i="9"/>
  <c r="R330" i="9"/>
  <c r="T330" i="9"/>
  <c r="V330" i="9"/>
  <c r="X330" i="9"/>
  <c r="Z330" i="9"/>
  <c r="P324" i="9"/>
  <c r="R324" i="9"/>
  <c r="T324" i="9"/>
  <c r="V324" i="9"/>
  <c r="X324" i="9"/>
  <c r="Z324" i="9"/>
  <c r="P322" i="9"/>
  <c r="R322" i="9"/>
  <c r="T322" i="9"/>
  <c r="V322" i="9"/>
  <c r="X322" i="9"/>
  <c r="Z322" i="9"/>
  <c r="P318" i="9"/>
  <c r="R318" i="9"/>
  <c r="T318" i="9"/>
  <c r="V318" i="9"/>
  <c r="X318" i="9"/>
  <c r="Z318" i="9"/>
  <c r="P312" i="9"/>
  <c r="R312" i="9"/>
  <c r="T312" i="9"/>
  <c r="V312" i="9"/>
  <c r="X312" i="9"/>
  <c r="Z312" i="9"/>
  <c r="P310" i="9"/>
  <c r="R310" i="9"/>
  <c r="T310" i="9"/>
  <c r="V310" i="9"/>
  <c r="X310" i="9"/>
  <c r="Z310" i="9"/>
  <c r="P304" i="9"/>
  <c r="R304" i="9"/>
  <c r="T304" i="9"/>
  <c r="V304" i="9"/>
  <c r="X304" i="9"/>
  <c r="Z304" i="9"/>
  <c r="Z292" i="9"/>
  <c r="P284" i="9"/>
  <c r="R284" i="9"/>
  <c r="T284" i="9"/>
  <c r="V284" i="9"/>
  <c r="X284" i="9"/>
  <c r="Z284" i="9"/>
  <c r="P276" i="9"/>
  <c r="R276" i="9"/>
  <c r="T276" i="9"/>
  <c r="V276" i="9"/>
  <c r="X276" i="9"/>
  <c r="Z276" i="9"/>
  <c r="P266" i="9"/>
  <c r="R266" i="9"/>
  <c r="T266" i="9"/>
  <c r="V266" i="9"/>
  <c r="X266" i="9"/>
  <c r="Z266" i="9"/>
  <c r="P260" i="9"/>
  <c r="R260" i="9"/>
  <c r="T260" i="9"/>
  <c r="V260" i="9"/>
  <c r="X260" i="9"/>
  <c r="Z260" i="9"/>
  <c r="P258" i="9"/>
  <c r="R258" i="9"/>
  <c r="T258" i="9"/>
  <c r="V258" i="9"/>
  <c r="X258" i="9"/>
  <c r="Z258" i="9"/>
  <c r="P254" i="9"/>
  <c r="R254" i="9"/>
  <c r="T254" i="9"/>
  <c r="V254" i="9"/>
  <c r="X254" i="9"/>
  <c r="Z254" i="9"/>
  <c r="P248" i="9"/>
  <c r="R248" i="9"/>
  <c r="T248" i="9"/>
  <c r="V248" i="9"/>
  <c r="X248" i="9"/>
  <c r="Z248" i="9"/>
  <c r="P246" i="9"/>
  <c r="R246" i="9"/>
  <c r="T246" i="9"/>
  <c r="V246" i="9"/>
  <c r="X246" i="9"/>
  <c r="Z246" i="9"/>
  <c r="P240" i="9"/>
  <c r="R240" i="9"/>
  <c r="T240" i="9"/>
  <c r="V240" i="9"/>
  <c r="X240" i="9"/>
  <c r="Z240" i="9"/>
  <c r="X212" i="9"/>
  <c r="P204" i="9"/>
  <c r="R204" i="9"/>
  <c r="T204" i="9"/>
  <c r="V204" i="9"/>
  <c r="X204" i="9"/>
  <c r="Z204" i="9"/>
  <c r="P202" i="9"/>
  <c r="R202" i="9"/>
  <c r="T202" i="9"/>
  <c r="V202" i="9"/>
  <c r="X202" i="9"/>
  <c r="Z202" i="9"/>
  <c r="P196" i="9"/>
  <c r="R196" i="9"/>
  <c r="T196" i="9"/>
  <c r="V196" i="9"/>
  <c r="X196" i="9"/>
  <c r="Z196" i="9"/>
  <c r="P194" i="9"/>
  <c r="R194" i="9"/>
  <c r="T194" i="9"/>
  <c r="V194" i="9"/>
  <c r="X194" i="9"/>
  <c r="Z194" i="9"/>
  <c r="P190" i="9"/>
  <c r="R190" i="9"/>
  <c r="T190" i="9"/>
  <c r="V190" i="9"/>
  <c r="X190" i="9"/>
  <c r="Z190" i="9"/>
  <c r="P188" i="9"/>
  <c r="R188" i="9"/>
  <c r="T188" i="9"/>
  <c r="V188" i="9"/>
  <c r="X188" i="9"/>
  <c r="Z188" i="9"/>
  <c r="P184" i="9"/>
  <c r="R184" i="9"/>
  <c r="T184" i="9"/>
  <c r="V184" i="9"/>
  <c r="X184" i="9"/>
  <c r="Z184" i="9"/>
  <c r="P182" i="9"/>
  <c r="R182" i="9"/>
  <c r="T182" i="9"/>
  <c r="V182" i="9"/>
  <c r="X182" i="9"/>
  <c r="Z182" i="9"/>
  <c r="S182" i="9"/>
  <c r="W182" i="9"/>
  <c r="P164" i="9"/>
  <c r="R164" i="9"/>
  <c r="T164" i="9"/>
  <c r="V164" i="9"/>
  <c r="X164" i="9"/>
  <c r="Z164" i="9"/>
  <c r="Q164" i="9"/>
  <c r="U164" i="9"/>
  <c r="Y164" i="9"/>
  <c r="P156" i="9"/>
  <c r="R156" i="9"/>
  <c r="T156" i="9"/>
  <c r="V156" i="9"/>
  <c r="X156" i="9"/>
  <c r="Z156" i="9"/>
  <c r="Q156" i="9"/>
  <c r="U156" i="9"/>
  <c r="Y156" i="9"/>
  <c r="P152" i="9"/>
  <c r="R152" i="9"/>
  <c r="T152" i="9"/>
  <c r="V152" i="9"/>
  <c r="X152" i="9"/>
  <c r="Z152" i="9"/>
  <c r="Q152" i="9"/>
  <c r="U152" i="9"/>
  <c r="Y152" i="9"/>
  <c r="P144" i="9"/>
  <c r="R144" i="9"/>
  <c r="T144" i="9"/>
  <c r="V144" i="9"/>
  <c r="X144" i="9"/>
  <c r="Z144" i="9"/>
  <c r="Q144" i="9"/>
  <c r="U144" i="9"/>
  <c r="Y144" i="9"/>
  <c r="X142" i="9"/>
  <c r="P134" i="9"/>
  <c r="R134" i="9"/>
  <c r="T134" i="9"/>
  <c r="V134" i="9"/>
  <c r="X134" i="9"/>
  <c r="Z134" i="9"/>
  <c r="S134" i="9"/>
  <c r="W134" i="9"/>
  <c r="P126" i="9"/>
  <c r="R126" i="9"/>
  <c r="T126" i="9"/>
  <c r="V126" i="9"/>
  <c r="X126" i="9"/>
  <c r="Z126" i="9"/>
  <c r="S126" i="9"/>
  <c r="W126" i="9"/>
  <c r="P100" i="9"/>
  <c r="R100" i="9"/>
  <c r="T100" i="9"/>
  <c r="V100" i="9"/>
  <c r="X100" i="9"/>
  <c r="Z100" i="9"/>
  <c r="Q100" i="9"/>
  <c r="U100" i="9"/>
  <c r="Y100" i="9"/>
  <c r="P98" i="9"/>
  <c r="R98" i="9"/>
  <c r="T98" i="9"/>
  <c r="V98" i="9"/>
  <c r="X98" i="9"/>
  <c r="Z98" i="9"/>
  <c r="S98" i="9"/>
  <c r="W98" i="9"/>
  <c r="P92" i="9"/>
  <c r="R92" i="9"/>
  <c r="T92" i="9"/>
  <c r="V92" i="9"/>
  <c r="X92" i="9"/>
  <c r="Z92" i="9"/>
  <c r="Q92" i="9"/>
  <c r="U92" i="9"/>
  <c r="Y92" i="9"/>
  <c r="Q88" i="9"/>
  <c r="S88" i="9"/>
  <c r="U88" i="9"/>
  <c r="W88" i="9"/>
  <c r="Y88" i="9"/>
  <c r="P88" i="9"/>
  <c r="T88" i="9"/>
  <c r="X88" i="9"/>
  <c r="R88" i="9"/>
  <c r="Z88" i="9"/>
  <c r="Q82" i="9"/>
  <c r="S82" i="9"/>
  <c r="U82" i="9"/>
  <c r="W82" i="9"/>
  <c r="Y82" i="9"/>
  <c r="R82" i="9"/>
  <c r="V82" i="9"/>
  <c r="Z82" i="9"/>
  <c r="T82" i="9"/>
  <c r="Q80" i="9"/>
  <c r="S80" i="9"/>
  <c r="U80" i="9"/>
  <c r="W80" i="9"/>
  <c r="Y80" i="9"/>
  <c r="P80" i="9"/>
  <c r="T80" i="9"/>
  <c r="X80" i="9"/>
  <c r="R80" i="9"/>
  <c r="Z80" i="9"/>
  <c r="Q74" i="9"/>
  <c r="S74" i="9"/>
  <c r="U74" i="9"/>
  <c r="W74" i="9"/>
  <c r="Y74" i="9"/>
  <c r="R74" i="9"/>
  <c r="V74" i="9"/>
  <c r="Z74" i="9"/>
  <c r="T74" i="9"/>
  <c r="Q70" i="9"/>
  <c r="S70" i="9"/>
  <c r="U70" i="9"/>
  <c r="W70" i="9"/>
  <c r="Y70" i="9"/>
  <c r="R70" i="9"/>
  <c r="V70" i="9"/>
  <c r="Z70" i="9"/>
  <c r="P70" i="9"/>
  <c r="X70" i="9"/>
  <c r="Q62" i="9"/>
  <c r="S62" i="9"/>
  <c r="U62" i="9"/>
  <c r="W62" i="9"/>
  <c r="Y62" i="9"/>
  <c r="R62" i="9"/>
  <c r="V62" i="9"/>
  <c r="Z62" i="9"/>
  <c r="P62" i="9"/>
  <c r="X62" i="9"/>
  <c r="Q58" i="9"/>
  <c r="S58" i="9"/>
  <c r="U58" i="9"/>
  <c r="W58" i="9"/>
  <c r="Y58" i="9"/>
  <c r="R58" i="9"/>
  <c r="V58" i="9"/>
  <c r="Z58" i="9"/>
  <c r="T58" i="9"/>
  <c r="Q36" i="9"/>
  <c r="S36" i="9"/>
  <c r="U36" i="9"/>
  <c r="W36" i="9"/>
  <c r="Y36" i="9"/>
  <c r="R36" i="9"/>
  <c r="V36" i="9"/>
  <c r="Z36" i="9"/>
  <c r="T36" i="9"/>
  <c r="X36" i="9"/>
  <c r="Q28" i="9"/>
  <c r="S28" i="9"/>
  <c r="U28" i="9"/>
  <c r="W28" i="9"/>
  <c r="Y28" i="9"/>
  <c r="R28" i="9"/>
  <c r="V28" i="9"/>
  <c r="Z28" i="9"/>
  <c r="T28" i="9"/>
  <c r="P28" i="9"/>
  <c r="Q24" i="9"/>
  <c r="S24" i="9"/>
  <c r="U24" i="9"/>
  <c r="W24" i="9"/>
  <c r="Y24" i="9"/>
  <c r="R24" i="9"/>
  <c r="V24" i="9"/>
  <c r="Z24" i="9"/>
  <c r="P24" i="9"/>
  <c r="X24" i="9"/>
  <c r="P18" i="9"/>
  <c r="R18" i="9"/>
  <c r="T18" i="9"/>
  <c r="V18" i="9"/>
  <c r="X18" i="9"/>
  <c r="Z18" i="9"/>
  <c r="S18" i="9"/>
  <c r="W18" i="9"/>
  <c r="U18" i="9"/>
  <c r="Y18" i="9"/>
  <c r="Q18" i="9"/>
  <c r="P16" i="9"/>
  <c r="R16" i="9"/>
  <c r="T16" i="9"/>
  <c r="V16" i="9"/>
  <c r="X16" i="9"/>
  <c r="Z16" i="9"/>
  <c r="Q16" i="9"/>
  <c r="U16" i="9"/>
  <c r="Y16" i="9"/>
  <c r="S16" i="9"/>
  <c r="P6" i="9"/>
  <c r="R6" i="9"/>
  <c r="T6" i="9"/>
  <c r="V6" i="9"/>
  <c r="X6" i="9"/>
  <c r="Z6" i="9"/>
  <c r="S6" i="9"/>
  <c r="W6" i="9"/>
  <c r="Q6" i="9"/>
  <c r="Y6" i="9"/>
  <c r="U6" i="9"/>
  <c r="Y502" i="9"/>
  <c r="W502" i="9"/>
  <c r="U502" i="9"/>
  <c r="S502" i="9"/>
  <c r="Y496" i="9"/>
  <c r="W496" i="9"/>
  <c r="U496" i="9"/>
  <c r="S496" i="9"/>
  <c r="Z491" i="9"/>
  <c r="X491" i="9"/>
  <c r="V491" i="9"/>
  <c r="T491" i="9"/>
  <c r="R491" i="9"/>
  <c r="Z483" i="9"/>
  <c r="X483" i="9"/>
  <c r="V483" i="9"/>
  <c r="T483" i="9"/>
  <c r="R483" i="9"/>
  <c r="Z479" i="9"/>
  <c r="X479" i="9"/>
  <c r="V479" i="9"/>
  <c r="T479" i="9"/>
  <c r="R479" i="9"/>
  <c r="Z473" i="9"/>
  <c r="X473" i="9"/>
  <c r="V473" i="9"/>
  <c r="T473" i="9"/>
  <c r="R473" i="9"/>
  <c r="Z471" i="9"/>
  <c r="X471" i="9"/>
  <c r="V471" i="9"/>
  <c r="T471" i="9"/>
  <c r="R471" i="9"/>
  <c r="Z465" i="9"/>
  <c r="X465" i="9"/>
  <c r="V465" i="9"/>
  <c r="T465" i="9"/>
  <c r="R465" i="9"/>
  <c r="Y458" i="9"/>
  <c r="W458" i="9"/>
  <c r="U458" i="9"/>
  <c r="S458" i="9"/>
  <c r="Z453" i="9"/>
  <c r="X453" i="9"/>
  <c r="V453" i="9"/>
  <c r="T453" i="9"/>
  <c r="R453" i="9"/>
  <c r="U452" i="9"/>
  <c r="S452" i="9"/>
  <c r="Y450" i="9"/>
  <c r="W450" i="9"/>
  <c r="U450" i="9"/>
  <c r="S450" i="9"/>
  <c r="Y446" i="9"/>
  <c r="W446" i="9"/>
  <c r="U446" i="9"/>
  <c r="S446" i="9"/>
  <c r="Z445" i="9"/>
  <c r="X445" i="9"/>
  <c r="V445" i="9"/>
  <c r="T445" i="9"/>
  <c r="R445" i="9"/>
  <c r="Y444" i="9"/>
  <c r="W444" i="9"/>
  <c r="U444" i="9"/>
  <c r="S444" i="9"/>
  <c r="Y440" i="9"/>
  <c r="W440" i="9"/>
  <c r="U440" i="9"/>
  <c r="S440" i="9"/>
  <c r="Y438" i="9"/>
  <c r="W438" i="9"/>
  <c r="U438" i="9"/>
  <c r="S438" i="9"/>
  <c r="Y436" i="9"/>
  <c r="W436" i="9"/>
  <c r="U436" i="9"/>
  <c r="S436" i="9"/>
  <c r="Y432" i="9"/>
  <c r="W432" i="9"/>
  <c r="U432" i="9"/>
  <c r="S432" i="9"/>
  <c r="Z427" i="9"/>
  <c r="X427" i="9"/>
  <c r="V427" i="9"/>
  <c r="T427" i="9"/>
  <c r="R427" i="9"/>
  <c r="Z419" i="9"/>
  <c r="X419" i="9"/>
  <c r="V419" i="9"/>
  <c r="T419" i="9"/>
  <c r="R419" i="9"/>
  <c r="Z415" i="9"/>
  <c r="X415" i="9"/>
  <c r="V415" i="9"/>
  <c r="T415" i="9"/>
  <c r="R415" i="9"/>
  <c r="Z409" i="9"/>
  <c r="X409" i="9"/>
  <c r="V409" i="9"/>
  <c r="T409" i="9"/>
  <c r="R409" i="9"/>
  <c r="Z407" i="9"/>
  <c r="X407" i="9"/>
  <c r="V407" i="9"/>
  <c r="T407" i="9"/>
  <c r="R407" i="9"/>
  <c r="Y404" i="9"/>
  <c r="W404" i="9"/>
  <c r="U404" i="9"/>
  <c r="S404" i="9"/>
  <c r="Z401" i="9"/>
  <c r="X401" i="9"/>
  <c r="V401" i="9"/>
  <c r="T401" i="9"/>
  <c r="R401" i="9"/>
  <c r="Y396" i="9"/>
  <c r="W396" i="9"/>
  <c r="Y394" i="9"/>
  <c r="W394" i="9"/>
  <c r="U394" i="9"/>
  <c r="S394" i="9"/>
  <c r="Z389" i="9"/>
  <c r="X389" i="9"/>
  <c r="V389" i="9"/>
  <c r="T389" i="9"/>
  <c r="R389" i="9"/>
  <c r="Y388" i="9"/>
  <c r="W388" i="9"/>
  <c r="U388" i="9"/>
  <c r="S388" i="9"/>
  <c r="Y386" i="9"/>
  <c r="W386" i="9"/>
  <c r="U386" i="9"/>
  <c r="S386" i="9"/>
  <c r="Y382" i="9"/>
  <c r="W382" i="9"/>
  <c r="U382" i="9"/>
  <c r="S382" i="9"/>
  <c r="Z381" i="9"/>
  <c r="X381" i="9"/>
  <c r="V381" i="9"/>
  <c r="T381" i="9"/>
  <c r="R381" i="9"/>
  <c r="Y376" i="9"/>
  <c r="W376" i="9"/>
  <c r="U376" i="9"/>
  <c r="S376" i="9"/>
  <c r="Y374" i="9"/>
  <c r="W374" i="9"/>
  <c r="U374" i="9"/>
  <c r="S374" i="9"/>
  <c r="Y372" i="9"/>
  <c r="W372" i="9"/>
  <c r="W368" i="9"/>
  <c r="S368" i="9"/>
  <c r="W364" i="9"/>
  <c r="S364" i="9"/>
  <c r="Z363" i="9"/>
  <c r="V363" i="9"/>
  <c r="R363" i="9"/>
  <c r="W356" i="9"/>
  <c r="S356" i="9"/>
  <c r="Z355" i="9"/>
  <c r="V355" i="9"/>
  <c r="R355" i="9"/>
  <c r="Z351" i="9"/>
  <c r="V351" i="9"/>
  <c r="R351" i="9"/>
  <c r="X345" i="9"/>
  <c r="T345" i="9"/>
  <c r="P345" i="9"/>
  <c r="Z343" i="9"/>
  <c r="V343" i="9"/>
  <c r="R343" i="9"/>
  <c r="X337" i="9"/>
  <c r="T337" i="9"/>
  <c r="P337" i="9"/>
  <c r="W332" i="9"/>
  <c r="S332" i="9"/>
  <c r="Y330" i="9"/>
  <c r="U330" i="9"/>
  <c r="Q330" i="9"/>
  <c r="X325" i="9"/>
  <c r="T325" i="9"/>
  <c r="P325" i="9"/>
  <c r="W324" i="9"/>
  <c r="S324" i="9"/>
  <c r="Y322" i="9"/>
  <c r="U322" i="9"/>
  <c r="Q322" i="9"/>
  <c r="Y318" i="9"/>
  <c r="U318" i="9"/>
  <c r="Q318" i="9"/>
  <c r="X317" i="9"/>
  <c r="T317" i="9"/>
  <c r="P317" i="9"/>
  <c r="Q314" i="9"/>
  <c r="W312" i="9"/>
  <c r="S312" i="9"/>
  <c r="Y310" i="9"/>
  <c r="U310" i="9"/>
  <c r="Q310" i="9"/>
  <c r="W304" i="9"/>
  <c r="S304" i="9"/>
  <c r="Z299" i="9"/>
  <c r="V299" i="9"/>
  <c r="R299" i="9"/>
  <c r="Z291" i="9"/>
  <c r="V291" i="9"/>
  <c r="R291" i="9"/>
  <c r="Z287" i="9"/>
  <c r="V287" i="9"/>
  <c r="R287" i="9"/>
  <c r="W284" i="9"/>
  <c r="S284" i="9"/>
  <c r="X281" i="9"/>
  <c r="T281" i="9"/>
  <c r="P281" i="9"/>
  <c r="Z279" i="9"/>
  <c r="V279" i="9"/>
  <c r="R279" i="9"/>
  <c r="W276" i="9"/>
  <c r="S276" i="9"/>
  <c r="X273" i="9"/>
  <c r="T273" i="9"/>
  <c r="P273" i="9"/>
  <c r="Y266" i="9"/>
  <c r="U266" i="9"/>
  <c r="Q266" i="9"/>
  <c r="X261" i="9"/>
  <c r="T261" i="9"/>
  <c r="P261" i="9"/>
  <c r="W260" i="9"/>
  <c r="S260" i="9"/>
  <c r="Y258" i="9"/>
  <c r="U258" i="9"/>
  <c r="Q258" i="9"/>
  <c r="Y254" i="9"/>
  <c r="U254" i="9"/>
  <c r="Q254" i="9"/>
  <c r="X253" i="9"/>
  <c r="T253" i="9"/>
  <c r="P253" i="9"/>
  <c r="W248" i="9"/>
  <c r="S248" i="9"/>
  <c r="Y246" i="9"/>
  <c r="U246" i="9"/>
  <c r="Q246" i="9"/>
  <c r="W240" i="9"/>
  <c r="S240" i="9"/>
  <c r="Z235" i="9"/>
  <c r="V235" i="9"/>
  <c r="R235" i="9"/>
  <c r="Z227" i="9"/>
  <c r="V227" i="9"/>
  <c r="R227" i="9"/>
  <c r="Z223" i="9"/>
  <c r="V223" i="9"/>
  <c r="R223" i="9"/>
  <c r="X217" i="9"/>
  <c r="T217" i="9"/>
  <c r="P217" i="9"/>
  <c r="Z215" i="9"/>
  <c r="V215" i="9"/>
  <c r="R215" i="9"/>
  <c r="X209" i="9"/>
  <c r="T209" i="9"/>
  <c r="P209" i="9"/>
  <c r="W204" i="9"/>
  <c r="S204" i="9"/>
  <c r="Y202" i="9"/>
  <c r="U202" i="9"/>
  <c r="Q202" i="9"/>
  <c r="X197" i="9"/>
  <c r="T197" i="9"/>
  <c r="P197" i="9"/>
  <c r="W196" i="9"/>
  <c r="S196" i="9"/>
  <c r="Y194" i="9"/>
  <c r="U194" i="9"/>
  <c r="Q194" i="9"/>
  <c r="Y190" i="9"/>
  <c r="U190" i="9"/>
  <c r="Q190" i="9"/>
  <c r="X189" i="9"/>
  <c r="T189" i="9"/>
  <c r="P189" i="9"/>
  <c r="W188" i="9"/>
  <c r="S188" i="9"/>
  <c r="W184" i="9"/>
  <c r="S184" i="9"/>
  <c r="U182" i="9"/>
  <c r="Z175" i="9"/>
  <c r="R175" i="9"/>
  <c r="X173" i="9"/>
  <c r="P173" i="9"/>
  <c r="S164" i="9"/>
  <c r="V163" i="9"/>
  <c r="S156" i="9"/>
  <c r="W152" i="9"/>
  <c r="V147" i="9"/>
  <c r="W144" i="9"/>
  <c r="V139" i="9"/>
  <c r="U134" i="9"/>
  <c r="T129" i="9"/>
  <c r="U126" i="9"/>
  <c r="V123" i="9"/>
  <c r="X117" i="9"/>
  <c r="P117" i="9"/>
  <c r="T113" i="9"/>
  <c r="X109" i="9"/>
  <c r="P109" i="9"/>
  <c r="S100" i="9"/>
  <c r="Y98" i="9"/>
  <c r="Q98" i="9"/>
  <c r="S92" i="9"/>
  <c r="V88" i="9"/>
  <c r="Q87" i="9"/>
  <c r="X82" i="9"/>
  <c r="P74" i="9"/>
  <c r="Q71" i="9"/>
  <c r="Y63" i="9"/>
  <c r="T62" i="9"/>
  <c r="P58" i="9"/>
  <c r="W53" i="9"/>
  <c r="Y47" i="9"/>
  <c r="X28" i="9"/>
  <c r="V19" i="9"/>
  <c r="W4" i="9"/>
  <c r="S4" i="9"/>
  <c r="Y4" i="9"/>
  <c r="U4" i="9"/>
  <c r="P4" i="9"/>
  <c r="Z4" i="9"/>
  <c r="X4" i="9"/>
  <c r="V4" i="9"/>
  <c r="T4" i="9"/>
  <c r="R4" i="9"/>
  <c r="Y3" i="9"/>
  <c r="W3" i="9"/>
  <c r="U3" i="9"/>
  <c r="S3" i="9"/>
  <c r="K134" i="9"/>
  <c r="I134" i="9"/>
  <c r="G134" i="9"/>
  <c r="E134" i="9"/>
  <c r="C134" i="9"/>
  <c r="K133" i="9"/>
  <c r="I133" i="9"/>
  <c r="G133" i="9"/>
  <c r="E133" i="9"/>
  <c r="C133" i="9"/>
  <c r="K132" i="9"/>
  <c r="I132" i="9"/>
  <c r="G132" i="9"/>
  <c r="E132" i="9"/>
  <c r="C132" i="9"/>
  <c r="K131" i="9"/>
  <c r="I131" i="9"/>
  <c r="G131" i="9"/>
  <c r="E131" i="9"/>
  <c r="C131" i="9"/>
  <c r="K130" i="9"/>
  <c r="I130" i="9"/>
  <c r="G130" i="9"/>
  <c r="E130" i="9"/>
  <c r="C130" i="9"/>
  <c r="K129" i="9"/>
  <c r="I129" i="9"/>
  <c r="G129" i="9"/>
  <c r="E129" i="9"/>
  <c r="C129" i="9"/>
  <c r="K128" i="9"/>
  <c r="I128" i="9"/>
  <c r="G128" i="9"/>
  <c r="E128" i="9"/>
  <c r="C128" i="9"/>
  <c r="K127" i="9"/>
  <c r="I127" i="9"/>
  <c r="G127" i="9"/>
  <c r="E127" i="9"/>
  <c r="C127" i="9"/>
  <c r="K126" i="9"/>
  <c r="I126" i="9"/>
  <c r="G126" i="9"/>
  <c r="E126" i="9"/>
  <c r="C126" i="9"/>
  <c r="K125" i="9"/>
  <c r="I125" i="9"/>
  <c r="G125" i="9"/>
  <c r="E125" i="9"/>
  <c r="C125" i="9"/>
  <c r="K124" i="9"/>
  <c r="I124" i="9"/>
  <c r="G124" i="9"/>
  <c r="E124" i="9"/>
  <c r="C124" i="9"/>
  <c r="K123" i="9"/>
  <c r="I123" i="9"/>
  <c r="G123" i="9"/>
  <c r="E123" i="9"/>
  <c r="C123" i="9"/>
  <c r="K122" i="9"/>
  <c r="I122" i="9"/>
  <c r="G122" i="9"/>
  <c r="E122" i="9"/>
  <c r="C122" i="9"/>
  <c r="K121" i="9"/>
  <c r="I121" i="9"/>
  <c r="G121" i="9"/>
  <c r="E121" i="9"/>
  <c r="C121" i="9"/>
  <c r="K120" i="9"/>
  <c r="I120" i="9"/>
  <c r="G120" i="9"/>
  <c r="E120" i="9"/>
  <c r="C120" i="9"/>
  <c r="K119" i="9"/>
  <c r="I119" i="9"/>
  <c r="G119" i="9"/>
  <c r="E119" i="9"/>
  <c r="C119" i="9"/>
  <c r="K118" i="9"/>
  <c r="I118" i="9"/>
  <c r="G118" i="9"/>
  <c r="E118" i="9"/>
  <c r="C118" i="9"/>
  <c r="K117" i="9"/>
  <c r="I117" i="9"/>
  <c r="G117" i="9"/>
  <c r="E117" i="9"/>
  <c r="C117" i="9"/>
  <c r="K116" i="9"/>
  <c r="I116" i="9"/>
  <c r="G116" i="9"/>
  <c r="E116" i="9"/>
  <c r="C116" i="9"/>
  <c r="K115" i="9"/>
  <c r="I115" i="9"/>
  <c r="G115" i="9"/>
  <c r="E115" i="9"/>
  <c r="C115" i="9"/>
  <c r="K114" i="9"/>
  <c r="I114" i="9"/>
  <c r="G114" i="9"/>
  <c r="E114" i="9"/>
  <c r="C114" i="9"/>
  <c r="K113" i="9"/>
  <c r="I113" i="9"/>
  <c r="G113" i="9"/>
  <c r="E113" i="9"/>
  <c r="C113" i="9"/>
  <c r="K112" i="9"/>
  <c r="I112" i="9"/>
  <c r="G112" i="9"/>
  <c r="E112" i="9"/>
  <c r="C112" i="9"/>
  <c r="K111" i="9"/>
  <c r="I111" i="9"/>
  <c r="G111" i="9"/>
  <c r="E111" i="9"/>
  <c r="C111" i="9"/>
  <c r="K110" i="9"/>
  <c r="I110" i="9"/>
  <c r="G110" i="9"/>
  <c r="E110" i="9"/>
  <c r="C110" i="9"/>
  <c r="K109" i="9"/>
  <c r="I109" i="9"/>
  <c r="G109" i="9"/>
  <c r="E109" i="9"/>
  <c r="C109" i="9"/>
  <c r="K108" i="9"/>
  <c r="I108" i="9"/>
  <c r="G108" i="9"/>
  <c r="E108" i="9"/>
  <c r="C108" i="9"/>
  <c r="K107" i="9"/>
  <c r="I107" i="9"/>
  <c r="G107" i="9"/>
  <c r="E107" i="9"/>
  <c r="C107" i="9"/>
  <c r="K106" i="9"/>
  <c r="I106" i="9"/>
  <c r="G106" i="9"/>
  <c r="E106" i="9"/>
  <c r="C106" i="9"/>
  <c r="K105" i="9"/>
  <c r="I105" i="9"/>
  <c r="G105" i="9"/>
  <c r="E105" i="9"/>
  <c r="C105" i="9"/>
  <c r="K104" i="9"/>
  <c r="I104" i="9"/>
  <c r="G104" i="9"/>
  <c r="E104" i="9"/>
  <c r="C104" i="9"/>
  <c r="K103" i="9"/>
  <c r="I103" i="9"/>
  <c r="G103" i="9"/>
  <c r="E103" i="9"/>
  <c r="C103" i="9"/>
  <c r="K102" i="9"/>
  <c r="I102" i="9"/>
  <c r="G102" i="9"/>
  <c r="E102" i="9"/>
  <c r="C102" i="9"/>
  <c r="K101" i="9"/>
  <c r="I101" i="9"/>
  <c r="G101" i="9"/>
  <c r="E101" i="9"/>
  <c r="C101" i="9"/>
  <c r="K100" i="9"/>
  <c r="I100" i="9"/>
  <c r="G100" i="9"/>
  <c r="E100" i="9"/>
  <c r="C100" i="9"/>
  <c r="K99" i="9"/>
  <c r="I99" i="9"/>
  <c r="G99" i="9"/>
  <c r="E99" i="9"/>
  <c r="C99" i="9"/>
  <c r="K98" i="9"/>
  <c r="I98" i="9"/>
  <c r="G98" i="9"/>
  <c r="E98" i="9"/>
  <c r="C98" i="9"/>
  <c r="K97" i="9"/>
  <c r="I97" i="9"/>
  <c r="E97" i="9"/>
  <c r="K96" i="9"/>
  <c r="G96" i="9"/>
  <c r="C96" i="9"/>
  <c r="I95" i="9"/>
  <c r="E95" i="9"/>
  <c r="K94" i="9"/>
  <c r="G94" i="9"/>
  <c r="C94" i="9"/>
  <c r="I93" i="9"/>
  <c r="E93" i="9"/>
  <c r="K92" i="9"/>
  <c r="G92" i="9"/>
  <c r="C92" i="9"/>
  <c r="I91" i="9"/>
  <c r="E91" i="9"/>
  <c r="K90" i="9"/>
  <c r="G90" i="9"/>
  <c r="C90" i="9"/>
  <c r="I89" i="9"/>
  <c r="E89" i="9"/>
  <c r="K88" i="9"/>
  <c r="G88" i="9"/>
  <c r="C88" i="9"/>
  <c r="I87" i="9"/>
  <c r="E87" i="9"/>
  <c r="K86" i="9"/>
  <c r="G86" i="9"/>
  <c r="C86" i="9"/>
  <c r="I85" i="9"/>
  <c r="E85" i="9"/>
  <c r="K84" i="9"/>
  <c r="G84" i="9"/>
  <c r="C84" i="9"/>
  <c r="I83" i="9"/>
  <c r="E83" i="9"/>
  <c r="K82" i="9"/>
  <c r="G82" i="9"/>
  <c r="C82" i="9"/>
  <c r="I81" i="9"/>
  <c r="E81" i="9"/>
  <c r="K80" i="9"/>
  <c r="G80" i="9"/>
  <c r="C80" i="9"/>
  <c r="I79" i="9"/>
  <c r="E79" i="9"/>
  <c r="K78" i="9"/>
  <c r="G78" i="9"/>
  <c r="C78" i="9"/>
  <c r="I77" i="9"/>
  <c r="E77" i="9"/>
  <c r="K76" i="9"/>
  <c r="G76" i="9"/>
  <c r="C76" i="9"/>
  <c r="I75" i="9"/>
  <c r="E75" i="9"/>
  <c r="K74" i="9"/>
  <c r="G74" i="9"/>
  <c r="C74" i="9"/>
  <c r="I73" i="9"/>
  <c r="E73" i="9"/>
  <c r="K72" i="9"/>
  <c r="G72" i="9"/>
  <c r="C72" i="9"/>
  <c r="I71" i="9"/>
  <c r="E71" i="9"/>
  <c r="K70" i="9"/>
  <c r="G70" i="9"/>
  <c r="C70" i="9"/>
  <c r="I69" i="9"/>
  <c r="E69" i="9"/>
  <c r="K68" i="9"/>
  <c r="G68" i="9"/>
  <c r="C68" i="9"/>
  <c r="I67" i="9"/>
  <c r="E67" i="9"/>
  <c r="K66" i="9"/>
  <c r="G66" i="9"/>
  <c r="C66" i="9"/>
  <c r="I65" i="9"/>
  <c r="E65" i="9"/>
  <c r="K64" i="9"/>
  <c r="G64" i="9"/>
  <c r="C64" i="9"/>
  <c r="I63" i="9"/>
  <c r="E63" i="9"/>
  <c r="K62" i="9"/>
  <c r="G62" i="9"/>
  <c r="C62" i="9"/>
  <c r="I61" i="9"/>
  <c r="E61" i="9"/>
  <c r="K60" i="9"/>
  <c r="G60" i="9"/>
  <c r="C60" i="9"/>
  <c r="I59" i="9"/>
  <c r="E59" i="9"/>
  <c r="K58" i="9"/>
  <c r="G58" i="9"/>
  <c r="C58" i="9"/>
  <c r="I57" i="9"/>
  <c r="E57" i="9"/>
  <c r="K56" i="9"/>
  <c r="G56" i="9"/>
  <c r="C56" i="9"/>
  <c r="I55" i="9"/>
  <c r="E55" i="9"/>
  <c r="K54" i="9"/>
  <c r="G54" i="9"/>
  <c r="C54" i="9"/>
  <c r="I53" i="9"/>
  <c r="E53" i="9"/>
  <c r="K52" i="9"/>
  <c r="G52" i="9"/>
  <c r="C52" i="9"/>
  <c r="I51" i="9"/>
  <c r="E51" i="9"/>
  <c r="K50" i="9"/>
  <c r="G50" i="9"/>
  <c r="C50" i="9"/>
  <c r="I49" i="9"/>
  <c r="E49" i="9"/>
  <c r="K48" i="9"/>
  <c r="G48" i="9"/>
  <c r="C48" i="9"/>
  <c r="I47" i="9"/>
  <c r="E47" i="9"/>
  <c r="K46" i="9"/>
  <c r="G46" i="9"/>
  <c r="I45" i="9"/>
  <c r="K44" i="9"/>
  <c r="C44" i="9"/>
  <c r="E43" i="9"/>
  <c r="G42" i="9"/>
  <c r="I41" i="9"/>
  <c r="K40" i="9"/>
  <c r="C40" i="9"/>
  <c r="E39" i="9"/>
  <c r="G38" i="9"/>
  <c r="I37" i="9"/>
  <c r="K36" i="9"/>
  <c r="C36" i="9"/>
  <c r="E35" i="9"/>
  <c r="G34" i="9"/>
  <c r="I33" i="9"/>
  <c r="K32" i="9"/>
  <c r="C32" i="9"/>
  <c r="E31" i="9"/>
  <c r="G30" i="9"/>
  <c r="I29" i="9"/>
  <c r="K28" i="9"/>
  <c r="C28" i="9"/>
  <c r="E27" i="9"/>
  <c r="G26" i="9"/>
  <c r="I25" i="9"/>
  <c r="K24" i="9"/>
  <c r="C24" i="9"/>
  <c r="E23" i="9"/>
  <c r="G22" i="9"/>
  <c r="I21" i="9"/>
  <c r="J20" i="9"/>
  <c r="D19" i="9"/>
  <c r="H17" i="9"/>
  <c r="L15" i="9"/>
  <c r="F14" i="9"/>
  <c r="J12" i="9"/>
  <c r="D11" i="9"/>
  <c r="H9" i="9"/>
  <c r="L7" i="9"/>
  <c r="F6" i="9"/>
  <c r="C4" i="9"/>
  <c r="E4" i="9"/>
  <c r="G4" i="9"/>
  <c r="I4" i="9"/>
  <c r="K4" i="9"/>
  <c r="C5" i="9"/>
  <c r="E5" i="9"/>
  <c r="G5" i="9"/>
  <c r="I5" i="9"/>
  <c r="K5" i="9"/>
  <c r="C6" i="9"/>
  <c r="E6" i="9"/>
  <c r="G6" i="9"/>
  <c r="I6" i="9"/>
  <c r="K6" i="9"/>
  <c r="C7" i="9"/>
  <c r="E7" i="9"/>
  <c r="G7" i="9"/>
  <c r="I7" i="9"/>
  <c r="K7" i="9"/>
  <c r="C8" i="9"/>
  <c r="E8" i="9"/>
  <c r="G8" i="9"/>
  <c r="I8" i="9"/>
  <c r="K8" i="9"/>
  <c r="C9" i="9"/>
  <c r="E9" i="9"/>
  <c r="G9" i="9"/>
  <c r="I9" i="9"/>
  <c r="K9" i="9"/>
  <c r="C10" i="9"/>
  <c r="E10" i="9"/>
  <c r="G10" i="9"/>
  <c r="I10" i="9"/>
  <c r="K10" i="9"/>
  <c r="C11" i="9"/>
  <c r="E11" i="9"/>
  <c r="G11" i="9"/>
  <c r="I11" i="9"/>
  <c r="K11" i="9"/>
  <c r="C12" i="9"/>
  <c r="E12" i="9"/>
  <c r="G12" i="9"/>
  <c r="I12" i="9"/>
  <c r="K12" i="9"/>
  <c r="C13" i="9"/>
  <c r="E13" i="9"/>
  <c r="G13" i="9"/>
  <c r="I13" i="9"/>
  <c r="K13" i="9"/>
  <c r="C14" i="9"/>
  <c r="E14" i="9"/>
  <c r="G14" i="9"/>
  <c r="I14" i="9"/>
  <c r="K14" i="9"/>
  <c r="C15" i="9"/>
  <c r="E15" i="9"/>
  <c r="G15" i="9"/>
  <c r="I15" i="9"/>
  <c r="K15" i="9"/>
  <c r="C16" i="9"/>
  <c r="E16" i="9"/>
  <c r="G16" i="9"/>
  <c r="I16" i="9"/>
  <c r="K16" i="9"/>
  <c r="C17" i="9"/>
  <c r="E17" i="9"/>
  <c r="G17" i="9"/>
  <c r="I17" i="9"/>
  <c r="K17" i="9"/>
  <c r="C18" i="9"/>
  <c r="E18" i="9"/>
  <c r="G18" i="9"/>
  <c r="I18" i="9"/>
  <c r="K18" i="9"/>
  <c r="C19" i="9"/>
  <c r="E19" i="9"/>
  <c r="G19" i="9"/>
  <c r="I19" i="9"/>
  <c r="K19" i="9"/>
  <c r="C20" i="9"/>
  <c r="E20" i="9"/>
  <c r="G20" i="9"/>
  <c r="I20" i="9"/>
  <c r="K20" i="9"/>
  <c r="D4" i="9"/>
  <c r="H4" i="9"/>
  <c r="L4" i="9"/>
  <c r="F5" i="9"/>
  <c r="J5" i="9"/>
  <c r="D6" i="9"/>
  <c r="H6" i="9"/>
  <c r="L6" i="9"/>
  <c r="F7" i="9"/>
  <c r="J7" i="9"/>
  <c r="D8" i="9"/>
  <c r="H8" i="9"/>
  <c r="L8" i="9"/>
  <c r="F9" i="9"/>
  <c r="J9" i="9"/>
  <c r="D10" i="9"/>
  <c r="H10" i="9"/>
  <c r="L10" i="9"/>
  <c r="F11" i="9"/>
  <c r="J11" i="9"/>
  <c r="D12" i="9"/>
  <c r="H12" i="9"/>
  <c r="L12" i="9"/>
  <c r="F13" i="9"/>
  <c r="J13" i="9"/>
  <c r="D14" i="9"/>
  <c r="H14" i="9"/>
  <c r="L14" i="9"/>
  <c r="F15" i="9"/>
  <c r="J15" i="9"/>
  <c r="D16" i="9"/>
  <c r="H16" i="9"/>
  <c r="L16" i="9"/>
  <c r="F17" i="9"/>
  <c r="J17" i="9"/>
  <c r="D18" i="9"/>
  <c r="H18" i="9"/>
  <c r="L18" i="9"/>
  <c r="F19" i="9"/>
  <c r="J19" i="9"/>
  <c r="D20" i="9"/>
  <c r="H20" i="9"/>
  <c r="L20" i="9"/>
  <c r="D21" i="9"/>
  <c r="F21" i="9"/>
  <c r="H21" i="9"/>
  <c r="J21" i="9"/>
  <c r="L21" i="9"/>
  <c r="D22" i="9"/>
  <c r="F22" i="9"/>
  <c r="H22" i="9"/>
  <c r="J22" i="9"/>
  <c r="L22" i="9"/>
  <c r="D23" i="9"/>
  <c r="F23" i="9"/>
  <c r="H23" i="9"/>
  <c r="J23" i="9"/>
  <c r="L23" i="9"/>
  <c r="D24" i="9"/>
  <c r="F24" i="9"/>
  <c r="H24" i="9"/>
  <c r="J24" i="9"/>
  <c r="L24" i="9"/>
  <c r="D25" i="9"/>
  <c r="F25" i="9"/>
  <c r="H25" i="9"/>
  <c r="J25" i="9"/>
  <c r="L25" i="9"/>
  <c r="D26" i="9"/>
  <c r="F26" i="9"/>
  <c r="H26" i="9"/>
  <c r="J26" i="9"/>
  <c r="L26" i="9"/>
  <c r="D27" i="9"/>
  <c r="F27" i="9"/>
  <c r="H27" i="9"/>
  <c r="J27" i="9"/>
  <c r="L27" i="9"/>
  <c r="D28" i="9"/>
  <c r="F28" i="9"/>
  <c r="H28" i="9"/>
  <c r="J28" i="9"/>
  <c r="L28" i="9"/>
  <c r="D29" i="9"/>
  <c r="F29" i="9"/>
  <c r="H29" i="9"/>
  <c r="J29" i="9"/>
  <c r="L29" i="9"/>
  <c r="D30" i="9"/>
  <c r="F30" i="9"/>
  <c r="H30" i="9"/>
  <c r="J30" i="9"/>
  <c r="L30" i="9"/>
  <c r="D31" i="9"/>
  <c r="F31" i="9"/>
  <c r="H31" i="9"/>
  <c r="J31" i="9"/>
  <c r="L31" i="9"/>
  <c r="D32" i="9"/>
  <c r="F32" i="9"/>
  <c r="H32" i="9"/>
  <c r="J32" i="9"/>
  <c r="L32" i="9"/>
  <c r="D33" i="9"/>
  <c r="F33" i="9"/>
  <c r="H33" i="9"/>
  <c r="J33" i="9"/>
  <c r="L33" i="9"/>
  <c r="D34" i="9"/>
  <c r="F34" i="9"/>
  <c r="H34" i="9"/>
  <c r="J34" i="9"/>
  <c r="L34" i="9"/>
  <c r="D35" i="9"/>
  <c r="F35" i="9"/>
  <c r="H35" i="9"/>
  <c r="J35" i="9"/>
  <c r="L35" i="9"/>
  <c r="D36" i="9"/>
  <c r="F36" i="9"/>
  <c r="H36" i="9"/>
  <c r="J36" i="9"/>
  <c r="L36" i="9"/>
  <c r="D37" i="9"/>
  <c r="F37" i="9"/>
  <c r="H37" i="9"/>
  <c r="J37" i="9"/>
  <c r="L37" i="9"/>
  <c r="D38" i="9"/>
  <c r="F38" i="9"/>
  <c r="H38" i="9"/>
  <c r="J38" i="9"/>
  <c r="L38" i="9"/>
  <c r="D39" i="9"/>
  <c r="F39" i="9"/>
  <c r="H39" i="9"/>
  <c r="J39" i="9"/>
  <c r="L39" i="9"/>
  <c r="D40" i="9"/>
  <c r="F40" i="9"/>
  <c r="H40" i="9"/>
  <c r="J40" i="9"/>
  <c r="L40" i="9"/>
  <c r="D41" i="9"/>
  <c r="F41" i="9"/>
  <c r="H41" i="9"/>
  <c r="J41" i="9"/>
  <c r="L41" i="9"/>
  <c r="D42" i="9"/>
  <c r="F42" i="9"/>
  <c r="H42" i="9"/>
  <c r="J42" i="9"/>
  <c r="L42" i="9"/>
  <c r="D43" i="9"/>
  <c r="F43" i="9"/>
  <c r="H43" i="9"/>
  <c r="J43" i="9"/>
  <c r="L43" i="9"/>
  <c r="D44" i="9"/>
  <c r="F44" i="9"/>
  <c r="H44" i="9"/>
  <c r="J44" i="9"/>
  <c r="L44" i="9"/>
  <c r="D45" i="9"/>
  <c r="F45" i="9"/>
  <c r="H45" i="9"/>
  <c r="J45" i="9"/>
  <c r="L45" i="9"/>
  <c r="D46" i="9"/>
  <c r="F46" i="9"/>
  <c r="F4" i="9"/>
  <c r="D5" i="9"/>
  <c r="L5" i="9"/>
  <c r="J6" i="9"/>
  <c r="H7" i="9"/>
  <c r="F8" i="9"/>
  <c r="D9" i="9"/>
  <c r="L9" i="9"/>
  <c r="J10" i="9"/>
  <c r="H11" i="9"/>
  <c r="F12" i="9"/>
  <c r="D13" i="9"/>
  <c r="L13" i="9"/>
  <c r="J14" i="9"/>
  <c r="H15" i="9"/>
  <c r="F16" i="9"/>
  <c r="D17" i="9"/>
  <c r="L17" i="9"/>
  <c r="J18" i="9"/>
  <c r="H19" i="9"/>
  <c r="F20" i="9"/>
  <c r="C21" i="9"/>
  <c r="G21" i="9"/>
  <c r="K21" i="9"/>
  <c r="E22" i="9"/>
  <c r="I22" i="9"/>
  <c r="C23" i="9"/>
  <c r="G23" i="9"/>
  <c r="K23" i="9"/>
  <c r="E24" i="9"/>
  <c r="I24" i="9"/>
  <c r="C25" i="9"/>
  <c r="G25" i="9"/>
  <c r="K25" i="9"/>
  <c r="E26" i="9"/>
  <c r="I26" i="9"/>
  <c r="C27" i="9"/>
  <c r="G27" i="9"/>
  <c r="K27" i="9"/>
  <c r="E28" i="9"/>
  <c r="I28" i="9"/>
  <c r="C29" i="9"/>
  <c r="G29" i="9"/>
  <c r="K29" i="9"/>
  <c r="E30" i="9"/>
  <c r="I30" i="9"/>
  <c r="C31" i="9"/>
  <c r="G31" i="9"/>
  <c r="K31" i="9"/>
  <c r="E32" i="9"/>
  <c r="I32" i="9"/>
  <c r="C33" i="9"/>
  <c r="G33" i="9"/>
  <c r="K33" i="9"/>
  <c r="E34" i="9"/>
  <c r="I34" i="9"/>
  <c r="C35" i="9"/>
  <c r="G35" i="9"/>
  <c r="K35" i="9"/>
  <c r="E36" i="9"/>
  <c r="I36" i="9"/>
  <c r="C37" i="9"/>
  <c r="G37" i="9"/>
  <c r="K37" i="9"/>
  <c r="E38" i="9"/>
  <c r="I38" i="9"/>
  <c r="C39" i="9"/>
  <c r="G39" i="9"/>
  <c r="K39" i="9"/>
  <c r="E40" i="9"/>
  <c r="I40" i="9"/>
  <c r="C41" i="9"/>
  <c r="G41" i="9"/>
  <c r="K41" i="9"/>
  <c r="E42" i="9"/>
  <c r="I42" i="9"/>
  <c r="C43" i="9"/>
  <c r="G43" i="9"/>
  <c r="K43" i="9"/>
  <c r="E44" i="9"/>
  <c r="I44" i="9"/>
  <c r="C45" i="9"/>
  <c r="G45" i="9"/>
  <c r="K45" i="9"/>
  <c r="E46" i="9"/>
  <c r="H46" i="9"/>
  <c r="J46" i="9"/>
  <c r="L46" i="9"/>
  <c r="D47" i="9"/>
  <c r="F47" i="9"/>
  <c r="H47" i="9"/>
  <c r="J47" i="9"/>
  <c r="L47" i="9"/>
  <c r="D48" i="9"/>
  <c r="F48" i="9"/>
  <c r="H48" i="9"/>
  <c r="J48" i="9"/>
  <c r="L48" i="9"/>
  <c r="D49" i="9"/>
  <c r="F49" i="9"/>
  <c r="H49" i="9"/>
  <c r="J49" i="9"/>
  <c r="L49" i="9"/>
  <c r="D50" i="9"/>
  <c r="F50" i="9"/>
  <c r="H50" i="9"/>
  <c r="J50" i="9"/>
  <c r="L50" i="9"/>
  <c r="D51" i="9"/>
  <c r="F51" i="9"/>
  <c r="H51" i="9"/>
  <c r="J51" i="9"/>
  <c r="L51" i="9"/>
  <c r="D52" i="9"/>
  <c r="F52" i="9"/>
  <c r="H52" i="9"/>
  <c r="J52" i="9"/>
  <c r="L52" i="9"/>
  <c r="D53" i="9"/>
  <c r="F53" i="9"/>
  <c r="H53" i="9"/>
  <c r="J53" i="9"/>
  <c r="L53" i="9"/>
  <c r="D54" i="9"/>
  <c r="F54" i="9"/>
  <c r="H54" i="9"/>
  <c r="J54" i="9"/>
  <c r="L54" i="9"/>
  <c r="D55" i="9"/>
  <c r="F55" i="9"/>
  <c r="H55" i="9"/>
  <c r="J55" i="9"/>
  <c r="L55" i="9"/>
  <c r="D56" i="9"/>
  <c r="F56" i="9"/>
  <c r="H56" i="9"/>
  <c r="J56" i="9"/>
  <c r="L56" i="9"/>
  <c r="D57" i="9"/>
  <c r="F57" i="9"/>
  <c r="H57" i="9"/>
  <c r="J57" i="9"/>
  <c r="L57" i="9"/>
  <c r="D58" i="9"/>
  <c r="F58" i="9"/>
  <c r="H58" i="9"/>
  <c r="J58" i="9"/>
  <c r="L58" i="9"/>
  <c r="D59" i="9"/>
  <c r="F59" i="9"/>
  <c r="H59" i="9"/>
  <c r="J59" i="9"/>
  <c r="L59" i="9"/>
  <c r="D60" i="9"/>
  <c r="F60" i="9"/>
  <c r="H60" i="9"/>
  <c r="J60" i="9"/>
  <c r="L60" i="9"/>
  <c r="D61" i="9"/>
  <c r="F61" i="9"/>
  <c r="H61" i="9"/>
  <c r="J61" i="9"/>
  <c r="L61" i="9"/>
  <c r="D62" i="9"/>
  <c r="F62" i="9"/>
  <c r="H62" i="9"/>
  <c r="J62" i="9"/>
  <c r="L62" i="9"/>
  <c r="D63" i="9"/>
  <c r="F63" i="9"/>
  <c r="H63" i="9"/>
  <c r="J63" i="9"/>
  <c r="L63" i="9"/>
  <c r="D64" i="9"/>
  <c r="F64" i="9"/>
  <c r="H64" i="9"/>
  <c r="J64" i="9"/>
  <c r="L64" i="9"/>
  <c r="D65" i="9"/>
  <c r="F65" i="9"/>
  <c r="H65" i="9"/>
  <c r="J65" i="9"/>
  <c r="L65" i="9"/>
  <c r="D66" i="9"/>
  <c r="F66" i="9"/>
  <c r="H66" i="9"/>
  <c r="J66" i="9"/>
  <c r="L66" i="9"/>
  <c r="D67" i="9"/>
  <c r="F67" i="9"/>
  <c r="H67" i="9"/>
  <c r="J67" i="9"/>
  <c r="L67" i="9"/>
  <c r="D68" i="9"/>
  <c r="F68" i="9"/>
  <c r="H68" i="9"/>
  <c r="J68" i="9"/>
  <c r="L68" i="9"/>
  <c r="D69" i="9"/>
  <c r="F69" i="9"/>
  <c r="H69" i="9"/>
  <c r="J69" i="9"/>
  <c r="L69" i="9"/>
  <c r="D70" i="9"/>
  <c r="F70" i="9"/>
  <c r="H70" i="9"/>
  <c r="J70" i="9"/>
  <c r="L70" i="9"/>
  <c r="D71" i="9"/>
  <c r="F71" i="9"/>
  <c r="H71" i="9"/>
  <c r="J71" i="9"/>
  <c r="L71" i="9"/>
  <c r="D72" i="9"/>
  <c r="F72" i="9"/>
  <c r="H72" i="9"/>
  <c r="J72" i="9"/>
  <c r="L72" i="9"/>
  <c r="D73" i="9"/>
  <c r="F73" i="9"/>
  <c r="H73" i="9"/>
  <c r="J73" i="9"/>
  <c r="L73" i="9"/>
  <c r="D74" i="9"/>
  <c r="F74" i="9"/>
  <c r="H74" i="9"/>
  <c r="J74" i="9"/>
  <c r="L74" i="9"/>
  <c r="D75" i="9"/>
  <c r="F75" i="9"/>
  <c r="H75" i="9"/>
  <c r="J75" i="9"/>
  <c r="L75" i="9"/>
  <c r="D76" i="9"/>
  <c r="F76" i="9"/>
  <c r="H76" i="9"/>
  <c r="J76" i="9"/>
  <c r="L76" i="9"/>
  <c r="D77" i="9"/>
  <c r="F77" i="9"/>
  <c r="H77" i="9"/>
  <c r="J77" i="9"/>
  <c r="L77" i="9"/>
  <c r="D78" i="9"/>
  <c r="F78" i="9"/>
  <c r="H78" i="9"/>
  <c r="J78" i="9"/>
  <c r="L78" i="9"/>
  <c r="D79" i="9"/>
  <c r="F79" i="9"/>
  <c r="H79" i="9"/>
  <c r="J79" i="9"/>
  <c r="L79" i="9"/>
  <c r="D80" i="9"/>
  <c r="F80" i="9"/>
  <c r="H80" i="9"/>
  <c r="J80" i="9"/>
  <c r="L80" i="9"/>
  <c r="D81" i="9"/>
  <c r="F81" i="9"/>
  <c r="H81" i="9"/>
  <c r="J81" i="9"/>
  <c r="L81" i="9"/>
  <c r="D82" i="9"/>
  <c r="F82" i="9"/>
  <c r="H82" i="9"/>
  <c r="J82" i="9"/>
  <c r="L82" i="9"/>
  <c r="D83" i="9"/>
  <c r="F83" i="9"/>
  <c r="H83" i="9"/>
  <c r="J83" i="9"/>
  <c r="L83" i="9"/>
  <c r="D84" i="9"/>
  <c r="F84" i="9"/>
  <c r="H84" i="9"/>
  <c r="J84" i="9"/>
  <c r="L84" i="9"/>
  <c r="D85" i="9"/>
  <c r="F85" i="9"/>
  <c r="H85" i="9"/>
  <c r="J85" i="9"/>
  <c r="L85" i="9"/>
  <c r="D86" i="9"/>
  <c r="F86" i="9"/>
  <c r="H86" i="9"/>
  <c r="J86" i="9"/>
  <c r="L86" i="9"/>
  <c r="D87" i="9"/>
  <c r="F87" i="9"/>
  <c r="H87" i="9"/>
  <c r="J87" i="9"/>
  <c r="L87" i="9"/>
  <c r="D88" i="9"/>
  <c r="F88" i="9"/>
  <c r="H88" i="9"/>
  <c r="J88" i="9"/>
  <c r="L88" i="9"/>
  <c r="D89" i="9"/>
  <c r="F89" i="9"/>
  <c r="H89" i="9"/>
  <c r="J89" i="9"/>
  <c r="L89" i="9"/>
  <c r="D90" i="9"/>
  <c r="F90" i="9"/>
  <c r="H90" i="9"/>
  <c r="J90" i="9"/>
  <c r="L90" i="9"/>
  <c r="D91" i="9"/>
  <c r="F91" i="9"/>
  <c r="H91" i="9"/>
  <c r="J91" i="9"/>
  <c r="L91" i="9"/>
  <c r="D92" i="9"/>
  <c r="F92" i="9"/>
  <c r="H92" i="9"/>
  <c r="J92" i="9"/>
  <c r="L92" i="9"/>
  <c r="D93" i="9"/>
  <c r="F93" i="9"/>
  <c r="H93" i="9"/>
  <c r="J93" i="9"/>
  <c r="L93" i="9"/>
  <c r="D94" i="9"/>
  <c r="F94" i="9"/>
  <c r="H94" i="9"/>
  <c r="J94" i="9"/>
  <c r="L94" i="9"/>
  <c r="D95" i="9"/>
  <c r="F95" i="9"/>
  <c r="H95" i="9"/>
  <c r="J95" i="9"/>
  <c r="L95" i="9"/>
  <c r="D96" i="9"/>
  <c r="F96" i="9"/>
  <c r="H96" i="9"/>
  <c r="J96" i="9"/>
  <c r="L96" i="9"/>
  <c r="D97" i="9"/>
  <c r="F97" i="9"/>
  <c r="H97" i="9"/>
  <c r="X8" i="7"/>
  <c r="V8" i="7"/>
  <c r="T8" i="7"/>
  <c r="R8" i="7"/>
  <c r="P8" i="7"/>
  <c r="W8" i="7"/>
  <c r="U8" i="7"/>
  <c r="S8" i="7"/>
  <c r="Q8" i="7"/>
  <c r="T308" i="9" l="1"/>
  <c r="W228" i="9"/>
  <c r="Q454" i="9"/>
  <c r="X101" i="9"/>
  <c r="Z148" i="9"/>
  <c r="V482" i="9"/>
  <c r="S390" i="9"/>
  <c r="V384" i="9"/>
  <c r="U338" i="9"/>
  <c r="R499" i="9"/>
  <c r="R90" i="9"/>
  <c r="Q353" i="9"/>
  <c r="U307" i="9"/>
  <c r="V274" i="9"/>
  <c r="S384" i="9"/>
  <c r="Z243" i="9"/>
  <c r="Z307" i="9"/>
  <c r="U402" i="9"/>
  <c r="Z118" i="9"/>
  <c r="W481" i="9"/>
  <c r="U210" i="9"/>
  <c r="U118" i="9"/>
  <c r="X54" i="9"/>
  <c r="Z205" i="9"/>
  <c r="R225" i="9"/>
  <c r="R84" i="9"/>
  <c r="R27" i="9"/>
  <c r="R231" i="9"/>
  <c r="V295" i="9"/>
  <c r="R435" i="9"/>
  <c r="T20" i="9"/>
  <c r="T435" i="9"/>
  <c r="P225" i="9"/>
  <c r="P269" i="9"/>
  <c r="T353" i="9"/>
  <c r="T371" i="9"/>
  <c r="Y384" i="9"/>
  <c r="Y390" i="9"/>
  <c r="T397" i="9"/>
  <c r="X435" i="9"/>
  <c r="Y454" i="9"/>
  <c r="S8" i="9"/>
  <c r="W54" i="9"/>
  <c r="R72" i="9"/>
  <c r="X84" i="9"/>
  <c r="T118" i="9"/>
  <c r="U417" i="9"/>
  <c r="S487" i="9"/>
  <c r="X51" i="9"/>
  <c r="X79" i="9"/>
  <c r="U295" i="9"/>
  <c r="V402" i="9"/>
  <c r="R372" i="9"/>
  <c r="V396" i="9"/>
  <c r="R371" i="9"/>
  <c r="W402" i="9"/>
  <c r="V210" i="9"/>
  <c r="P262" i="9"/>
  <c r="S54" i="9"/>
  <c r="T84" i="9"/>
  <c r="W114" i="9"/>
  <c r="Z136" i="9"/>
  <c r="V256" i="9"/>
  <c r="S435" i="9"/>
  <c r="R17" i="9"/>
  <c r="V51" i="9"/>
  <c r="P79" i="9"/>
  <c r="Q269" i="9"/>
  <c r="Q402" i="9"/>
  <c r="Z295" i="9"/>
  <c r="Z359" i="9"/>
  <c r="R397" i="9"/>
  <c r="Y54" i="9"/>
  <c r="T274" i="9"/>
  <c r="X225" i="9"/>
  <c r="Z435" i="9"/>
  <c r="Z8" i="9"/>
  <c r="S256" i="9"/>
  <c r="P289" i="9"/>
  <c r="Z371" i="9"/>
  <c r="X8" i="9"/>
  <c r="X20" i="9"/>
  <c r="Q54" i="9"/>
  <c r="U72" i="9"/>
  <c r="Y84" i="9"/>
  <c r="S114" i="9"/>
  <c r="X136" i="9"/>
  <c r="V198" i="9"/>
  <c r="T256" i="9"/>
  <c r="Z326" i="9"/>
  <c r="X307" i="9"/>
  <c r="U397" i="9"/>
  <c r="U423" i="9"/>
  <c r="U435" i="9"/>
  <c r="Y17" i="9"/>
  <c r="Z37" i="9"/>
  <c r="V101" i="9"/>
  <c r="Y155" i="9"/>
  <c r="U384" i="9"/>
  <c r="Q231" i="9"/>
  <c r="X371" i="9"/>
  <c r="Q114" i="9"/>
  <c r="Q262" i="9"/>
  <c r="W466" i="9"/>
  <c r="S20" i="9"/>
  <c r="S72" i="9"/>
  <c r="W84" i="9"/>
  <c r="Z338" i="9"/>
  <c r="Q371" i="9"/>
  <c r="Y423" i="9"/>
  <c r="X37" i="9"/>
  <c r="Q155" i="9"/>
  <c r="U333" i="9"/>
  <c r="V448" i="9"/>
  <c r="Y118" i="9"/>
  <c r="T499" i="9"/>
  <c r="V118" i="9"/>
  <c r="Y179" i="9"/>
  <c r="Q466" i="9"/>
  <c r="X353" i="9"/>
  <c r="X72" i="9"/>
  <c r="S320" i="9"/>
  <c r="R417" i="9"/>
  <c r="U37" i="9"/>
  <c r="Y79" i="9"/>
  <c r="W192" i="9"/>
  <c r="Y262" i="9"/>
  <c r="Q274" i="9"/>
  <c r="W320" i="9"/>
  <c r="V417" i="9"/>
  <c r="V423" i="9"/>
  <c r="Y448" i="9"/>
  <c r="Y466" i="9"/>
  <c r="X481" i="9"/>
  <c r="Z487" i="9"/>
  <c r="R8" i="9"/>
  <c r="W20" i="9"/>
  <c r="V114" i="9"/>
  <c r="Q165" i="9"/>
  <c r="S225" i="9"/>
  <c r="S289" i="9"/>
  <c r="Z231" i="9"/>
  <c r="W390" i="9"/>
  <c r="W8" i="9"/>
  <c r="R20" i="9"/>
  <c r="R148" i="9"/>
  <c r="U79" i="9"/>
  <c r="V145" i="9"/>
  <c r="Y114" i="9"/>
  <c r="P165" i="9"/>
  <c r="S192" i="9"/>
  <c r="R423" i="9"/>
  <c r="W448" i="9"/>
  <c r="X487" i="9"/>
  <c r="T8" i="9"/>
  <c r="X114" i="9"/>
  <c r="P101" i="9"/>
  <c r="T145" i="9"/>
  <c r="Q210" i="9"/>
  <c r="V243" i="9"/>
  <c r="V307" i="9"/>
  <c r="Q338" i="9"/>
  <c r="X417" i="9"/>
  <c r="X461" i="9"/>
  <c r="Z481" i="9"/>
  <c r="U20" i="9"/>
  <c r="W118" i="9"/>
  <c r="Q148" i="9"/>
  <c r="T192" i="9"/>
  <c r="Z269" i="9"/>
  <c r="V27" i="9"/>
  <c r="Q225" i="9"/>
  <c r="S243" i="9"/>
  <c r="Q289" i="9"/>
  <c r="S353" i="9"/>
  <c r="U205" i="9"/>
  <c r="W198" i="9"/>
  <c r="R390" i="9"/>
  <c r="V105" i="9"/>
  <c r="U105" i="9"/>
  <c r="Y269" i="9"/>
  <c r="R454" i="9"/>
  <c r="R135" i="9"/>
  <c r="U500" i="9"/>
  <c r="Z135" i="9"/>
  <c r="R119" i="9"/>
  <c r="W136" i="9"/>
  <c r="V155" i="9"/>
  <c r="Q198" i="9"/>
  <c r="P205" i="9"/>
  <c r="Y210" i="9"/>
  <c r="X245" i="9"/>
  <c r="U274" i="9"/>
  <c r="T289" i="9"/>
  <c r="S308" i="9"/>
  <c r="Q326" i="9"/>
  <c r="P333" i="9"/>
  <c r="Y338" i="9"/>
  <c r="Y402" i="9"/>
  <c r="Z417" i="9"/>
  <c r="X423" i="9"/>
  <c r="S454" i="9"/>
  <c r="R461" i="9"/>
  <c r="Y468" i="9"/>
  <c r="R481" i="9"/>
  <c r="V499" i="9"/>
  <c r="Y8" i="9"/>
  <c r="P8" i="9"/>
  <c r="Z20" i="9"/>
  <c r="P20" i="9"/>
  <c r="P54" i="9"/>
  <c r="T72" i="9"/>
  <c r="U84" i="9"/>
  <c r="Q90" i="9"/>
  <c r="T114" i="9"/>
  <c r="R118" i="9"/>
  <c r="P148" i="9"/>
  <c r="R192" i="9"/>
  <c r="T198" i="9"/>
  <c r="T210" i="9"/>
  <c r="R228" i="9"/>
  <c r="V320" i="9"/>
  <c r="V326" i="9"/>
  <c r="X338" i="9"/>
  <c r="P105" i="9"/>
  <c r="R179" i="9"/>
  <c r="V225" i="9"/>
  <c r="Z333" i="9"/>
  <c r="S371" i="9"/>
  <c r="Y397" i="9"/>
  <c r="W417" i="9"/>
  <c r="W27" i="9"/>
  <c r="U87" i="9"/>
  <c r="P87" i="9"/>
  <c r="U101" i="9"/>
  <c r="S119" i="9"/>
  <c r="U135" i="9"/>
  <c r="U145" i="9"/>
  <c r="Y165" i="9"/>
  <c r="W179" i="9"/>
  <c r="Q243" i="9"/>
  <c r="Q295" i="9"/>
  <c r="S307" i="9"/>
  <c r="S333" i="9"/>
  <c r="W338" i="9"/>
  <c r="P390" i="9"/>
  <c r="Q390" i="9"/>
  <c r="P384" i="9"/>
  <c r="W468" i="9"/>
  <c r="U119" i="9"/>
  <c r="W135" i="9"/>
  <c r="V500" i="9"/>
  <c r="Y90" i="9"/>
  <c r="Z119" i="9"/>
  <c r="U198" i="9"/>
  <c r="T205" i="9"/>
  <c r="S212" i="9"/>
  <c r="Y274" i="9"/>
  <c r="X289" i="9"/>
  <c r="W308" i="9"/>
  <c r="U326" i="9"/>
  <c r="T333" i="9"/>
  <c r="Z423" i="9"/>
  <c r="S448" i="9"/>
  <c r="U454" i="9"/>
  <c r="T461" i="9"/>
  <c r="S466" i="9"/>
  <c r="T481" i="9"/>
  <c r="X499" i="9"/>
  <c r="U8" i="9"/>
  <c r="V20" i="9"/>
  <c r="Z54" i="9"/>
  <c r="Y72" i="9"/>
  <c r="S84" i="9"/>
  <c r="R114" i="9"/>
  <c r="P118" i="9"/>
  <c r="Y148" i="9"/>
  <c r="P192" i="9"/>
  <c r="P210" i="9"/>
  <c r="P228" i="9"/>
  <c r="Z262" i="9"/>
  <c r="R320" i="9"/>
  <c r="T326" i="9"/>
  <c r="Z332" i="9"/>
  <c r="V338" i="9"/>
  <c r="U51" i="9"/>
  <c r="P145" i="9"/>
  <c r="Z179" i="9"/>
  <c r="X231" i="9"/>
  <c r="R269" i="9"/>
  <c r="V353" i="9"/>
  <c r="Y417" i="9"/>
  <c r="Y27" i="9"/>
  <c r="Q37" i="9"/>
  <c r="W87" i="9"/>
  <c r="Q101" i="9"/>
  <c r="Q119" i="9"/>
  <c r="Q145" i="9"/>
  <c r="U165" i="9"/>
  <c r="U179" i="9"/>
  <c r="Y225" i="9"/>
  <c r="Q307" i="9"/>
  <c r="Y332" i="9"/>
  <c r="T384" i="9"/>
  <c r="Y242" i="9"/>
  <c r="T228" i="9"/>
  <c r="V72" i="9"/>
  <c r="V179" i="9"/>
  <c r="Y198" i="9"/>
  <c r="X205" i="9"/>
  <c r="W212" i="9"/>
  <c r="S228" i="9"/>
  <c r="Y326" i="9"/>
  <c r="V335" i="9"/>
  <c r="P353" i="9"/>
  <c r="R359" i="9"/>
  <c r="U448" i="9"/>
  <c r="W454" i="9"/>
  <c r="V461" i="9"/>
  <c r="U466" i="9"/>
  <c r="V481" i="9"/>
  <c r="Z499" i="9"/>
  <c r="Q8" i="9"/>
  <c r="Y20" i="9"/>
  <c r="R54" i="9"/>
  <c r="W72" i="9"/>
  <c r="V84" i="9"/>
  <c r="Q84" i="9"/>
  <c r="P114" i="9"/>
  <c r="Q136" i="9"/>
  <c r="U148" i="9"/>
  <c r="Z212" i="9"/>
  <c r="X256" i="9"/>
  <c r="X262" i="9"/>
  <c r="X274" i="9"/>
  <c r="V308" i="9"/>
  <c r="P320" i="9"/>
  <c r="R326" i="9"/>
  <c r="X332" i="9"/>
  <c r="X145" i="9"/>
  <c r="V269" i="9"/>
  <c r="T307" i="9"/>
  <c r="Z353" i="9"/>
  <c r="Q435" i="9"/>
  <c r="Z17" i="9"/>
  <c r="U27" i="9"/>
  <c r="S37" i="9"/>
  <c r="S51" i="9"/>
  <c r="S87" i="9"/>
  <c r="Z105" i="9"/>
  <c r="X119" i="9"/>
  <c r="S165" i="9"/>
  <c r="U225" i="9"/>
  <c r="W289" i="9"/>
  <c r="W353" i="9"/>
  <c r="W210" i="9"/>
  <c r="T448" i="9"/>
  <c r="V454" i="9"/>
  <c r="Y212" i="9"/>
  <c r="S500" i="9"/>
  <c r="R308" i="9"/>
  <c r="V119" i="9"/>
  <c r="P119" i="9"/>
  <c r="T135" i="9"/>
  <c r="Z468" i="9"/>
  <c r="V468" i="9"/>
  <c r="S148" i="9"/>
  <c r="X165" i="9"/>
  <c r="T225" i="9"/>
  <c r="V231" i="9"/>
  <c r="R243" i="9"/>
  <c r="W256" i="9"/>
  <c r="R295" i="9"/>
  <c r="R307" i="9"/>
  <c r="V371" i="9"/>
  <c r="W384" i="9"/>
  <c r="U390" i="9"/>
  <c r="S402" i="9"/>
  <c r="T417" i="9"/>
  <c r="V435" i="9"/>
  <c r="S468" i="9"/>
  <c r="W500" i="9"/>
  <c r="U54" i="9"/>
  <c r="Z72" i="9"/>
  <c r="Q72" i="9"/>
  <c r="P84" i="9"/>
  <c r="W90" i="9"/>
  <c r="Z114" i="9"/>
  <c r="X118" i="9"/>
  <c r="V136" i="9"/>
  <c r="X148" i="9"/>
  <c r="Z210" i="9"/>
  <c r="R220" i="9"/>
  <c r="R274" i="9"/>
  <c r="P308" i="9"/>
  <c r="R332" i="9"/>
  <c r="Q79" i="9"/>
  <c r="P243" i="9"/>
  <c r="T295" i="9"/>
  <c r="W435" i="9"/>
  <c r="Q461" i="9"/>
  <c r="W499" i="9"/>
  <c r="W17" i="9"/>
  <c r="P27" i="9"/>
  <c r="P37" i="9"/>
  <c r="T51" i="9"/>
  <c r="T79" i="9"/>
  <c r="V87" i="9"/>
  <c r="Q105" i="9"/>
  <c r="Y119" i="9"/>
  <c r="P135" i="9"/>
  <c r="U155" i="9"/>
  <c r="Y205" i="9"/>
  <c r="Y243" i="9"/>
  <c r="U269" i="9"/>
  <c r="Y256" i="9"/>
  <c r="Y192" i="9"/>
  <c r="V466" i="9"/>
  <c r="X402" i="9"/>
  <c r="W274" i="9"/>
  <c r="R466" i="9"/>
  <c r="Q332" i="9"/>
  <c r="T468" i="9"/>
  <c r="X390" i="9"/>
  <c r="X500" i="9"/>
  <c r="P212" i="9"/>
  <c r="U468" i="9"/>
  <c r="Y500" i="9"/>
  <c r="V90" i="9"/>
  <c r="T136" i="9"/>
  <c r="V148" i="9"/>
  <c r="X192" i="9"/>
  <c r="X198" i="9"/>
  <c r="X210" i="9"/>
  <c r="V228" i="9"/>
  <c r="P274" i="9"/>
  <c r="Y87" i="9"/>
  <c r="T165" i="9"/>
  <c r="V205" i="9"/>
  <c r="X295" i="9"/>
  <c r="Q417" i="9"/>
  <c r="Y435" i="9"/>
  <c r="S461" i="9"/>
  <c r="Q487" i="9"/>
  <c r="Y499" i="9"/>
  <c r="R79" i="9"/>
  <c r="Z101" i="9"/>
  <c r="Y135" i="9"/>
  <c r="Z145" i="9"/>
  <c r="S155" i="9"/>
  <c r="T179" i="9"/>
  <c r="W205" i="9"/>
  <c r="U231" i="9"/>
  <c r="U243" i="9"/>
  <c r="S269" i="9"/>
  <c r="Y307" i="9"/>
  <c r="W333" i="9"/>
  <c r="S359" i="9"/>
  <c r="T402" i="9"/>
  <c r="W262" i="9"/>
  <c r="T500" i="9"/>
  <c r="X466" i="9"/>
  <c r="P402" i="9"/>
  <c r="Z466" i="9"/>
  <c r="T390" i="9"/>
  <c r="T90" i="9"/>
  <c r="V192" i="9"/>
  <c r="Z198" i="9"/>
  <c r="Z256" i="9"/>
  <c r="T320" i="9"/>
  <c r="X326" i="9"/>
  <c r="X105" i="9"/>
  <c r="R205" i="9"/>
  <c r="P295" i="9"/>
  <c r="R353" i="9"/>
  <c r="W397" i="9"/>
  <c r="S417" i="9"/>
  <c r="W423" i="9"/>
  <c r="Y481" i="9"/>
  <c r="V17" i="9"/>
  <c r="T27" i="9"/>
  <c r="W37" i="9"/>
  <c r="Z51" i="9"/>
  <c r="V79" i="9"/>
  <c r="S101" i="9"/>
  <c r="S105" i="9"/>
  <c r="S145" i="9"/>
  <c r="W155" i="9"/>
  <c r="W165" i="9"/>
  <c r="P179" i="9"/>
  <c r="W225" i="9"/>
  <c r="S231" i="9"/>
  <c r="W243" i="9"/>
  <c r="W269" i="9"/>
  <c r="U289" i="9"/>
  <c r="S295" i="9"/>
  <c r="W307" i="9"/>
  <c r="Y333" i="9"/>
  <c r="U353" i="9"/>
  <c r="Q359" i="9"/>
  <c r="W326" i="9"/>
  <c r="Q384" i="9"/>
  <c r="Q448" i="9"/>
  <c r="S210" i="9"/>
  <c r="S338" i="9"/>
  <c r="Z402" i="9"/>
  <c r="P466" i="9"/>
  <c r="Y320" i="9"/>
  <c r="V390" i="9"/>
  <c r="T454" i="9"/>
  <c r="P448" i="9"/>
  <c r="T269" i="9"/>
  <c r="X333" i="9"/>
  <c r="V397" i="9"/>
  <c r="Z461" i="9"/>
  <c r="R487" i="9"/>
  <c r="S90" i="9"/>
  <c r="R136" i="9"/>
  <c r="R198" i="9"/>
  <c r="R256" i="9"/>
  <c r="V262" i="9"/>
  <c r="P326" i="9"/>
  <c r="T338" i="9"/>
  <c r="R155" i="9"/>
  <c r="T243" i="9"/>
  <c r="R289" i="9"/>
  <c r="P359" i="9"/>
  <c r="U371" i="9"/>
  <c r="U461" i="9"/>
  <c r="Q481" i="9"/>
  <c r="U487" i="9"/>
  <c r="Q499" i="9"/>
  <c r="T17" i="9"/>
  <c r="U17" i="9"/>
  <c r="Q27" i="9"/>
  <c r="V37" i="9"/>
  <c r="Y51" i="9"/>
  <c r="R51" i="9"/>
  <c r="W79" i="9"/>
  <c r="R101" i="9"/>
  <c r="R105" i="9"/>
  <c r="R145" i="9"/>
  <c r="X155" i="9"/>
  <c r="Z165" i="9"/>
  <c r="S179" i="9"/>
  <c r="S205" i="9"/>
  <c r="Q333" i="9"/>
  <c r="Y359" i="9"/>
  <c r="P454" i="9"/>
  <c r="S274" i="9"/>
  <c r="R468" i="9"/>
  <c r="Q118" i="9"/>
  <c r="U256" i="9"/>
  <c r="X397" i="9"/>
  <c r="T487" i="9"/>
  <c r="Z90" i="9"/>
  <c r="Y136" i="9"/>
  <c r="P136" i="9"/>
  <c r="P198" i="9"/>
  <c r="P256" i="9"/>
  <c r="T262" i="9"/>
  <c r="Z320" i="9"/>
  <c r="R338" i="9"/>
  <c r="S27" i="9"/>
  <c r="Z155" i="9"/>
  <c r="P231" i="9"/>
  <c r="V289" i="9"/>
  <c r="R333" i="9"/>
  <c r="T359" i="9"/>
  <c r="W371" i="9"/>
  <c r="Q397" i="9"/>
  <c r="Q423" i="9"/>
  <c r="W461" i="9"/>
  <c r="S481" i="9"/>
  <c r="W487" i="9"/>
  <c r="S499" i="9"/>
  <c r="X17" i="9"/>
  <c r="S17" i="9"/>
  <c r="Z27" i="9"/>
  <c r="T37" i="9"/>
  <c r="Q51" i="9"/>
  <c r="P51" i="9"/>
  <c r="S79" i="9"/>
  <c r="Y101" i="9"/>
  <c r="Y105" i="9"/>
  <c r="Y145" i="9"/>
  <c r="T155" i="9"/>
  <c r="V165" i="9"/>
  <c r="Q179" i="9"/>
  <c r="Y231" i="9"/>
  <c r="Y295" i="9"/>
  <c r="W359" i="9"/>
  <c r="U192" i="9"/>
  <c r="Z384" i="9"/>
  <c r="Z448" i="9"/>
  <c r="U320" i="9"/>
  <c r="V444" i="9"/>
  <c r="Z454" i="9"/>
  <c r="P90" i="9"/>
  <c r="T105" i="9"/>
  <c r="U262" i="9"/>
  <c r="V359" i="9"/>
  <c r="Z397" i="9"/>
  <c r="T423" i="9"/>
  <c r="V487" i="9"/>
  <c r="V54" i="9"/>
  <c r="X90" i="9"/>
  <c r="U136" i="9"/>
  <c r="T148" i="9"/>
  <c r="Z192" i="9"/>
  <c r="R262" i="9"/>
  <c r="X320" i="9"/>
  <c r="T101" i="9"/>
  <c r="T231" i="9"/>
  <c r="Z289" i="9"/>
  <c r="X359" i="9"/>
  <c r="Y371" i="9"/>
  <c r="S397" i="9"/>
  <c r="S423" i="9"/>
  <c r="Y461" i="9"/>
  <c r="U481" i="9"/>
  <c r="Y487" i="9"/>
  <c r="U499" i="9"/>
  <c r="P17" i="9"/>
  <c r="Y37" i="9"/>
  <c r="R500" i="9"/>
  <c r="X384" i="9"/>
  <c r="X448" i="9"/>
  <c r="X468" i="9"/>
  <c r="S83" i="9"/>
  <c r="U375" i="9"/>
  <c r="Y259" i="9"/>
  <c r="W311" i="9"/>
  <c r="U102" i="9"/>
  <c r="W241" i="9"/>
  <c r="X102" i="9"/>
  <c r="P271" i="9"/>
  <c r="T323" i="9"/>
  <c r="V195" i="9"/>
  <c r="T68" i="9"/>
  <c r="U470" i="9"/>
  <c r="X120" i="9"/>
  <c r="Q451" i="9"/>
  <c r="Q9" i="9"/>
  <c r="P56" i="9"/>
  <c r="Y387" i="9"/>
  <c r="S451" i="9"/>
  <c r="R137" i="9"/>
  <c r="Z183" i="9"/>
  <c r="R195" i="9"/>
  <c r="X413" i="9"/>
  <c r="V226" i="9"/>
  <c r="W83" i="9"/>
  <c r="Q464" i="9"/>
  <c r="Z83" i="9"/>
  <c r="U241" i="9"/>
  <c r="U311" i="9"/>
  <c r="Y369" i="9"/>
  <c r="T56" i="9"/>
  <c r="W68" i="9"/>
  <c r="W464" i="9"/>
  <c r="V59" i="9"/>
  <c r="Y354" i="9"/>
  <c r="P369" i="9"/>
  <c r="Z132" i="9"/>
  <c r="W433" i="9"/>
  <c r="Z369" i="9"/>
  <c r="T413" i="9"/>
  <c r="V451" i="9"/>
  <c r="Z477" i="9"/>
  <c r="R497" i="9"/>
  <c r="Z226" i="9"/>
  <c r="Z354" i="9"/>
  <c r="U464" i="9"/>
  <c r="W387" i="9"/>
  <c r="V120" i="9"/>
  <c r="V183" i="9"/>
  <c r="Q226" i="9"/>
  <c r="W477" i="9"/>
  <c r="V64" i="9"/>
  <c r="P64" i="9"/>
  <c r="Z412" i="9"/>
  <c r="W412" i="9"/>
  <c r="R412" i="9"/>
  <c r="Q252" i="9"/>
  <c r="T252" i="9"/>
  <c r="Z137" i="9"/>
  <c r="X137" i="9"/>
  <c r="Q137" i="9"/>
  <c r="P137" i="9"/>
  <c r="S137" i="9"/>
  <c r="T137" i="9"/>
  <c r="U137" i="9"/>
  <c r="V137" i="9"/>
  <c r="W137" i="9"/>
  <c r="Q349" i="9"/>
  <c r="S349" i="9"/>
  <c r="R349" i="9"/>
  <c r="X349" i="9"/>
  <c r="T349" i="9"/>
  <c r="P349" i="9"/>
  <c r="U349" i="9"/>
  <c r="W349" i="9"/>
  <c r="Y349" i="9"/>
  <c r="U122" i="9"/>
  <c r="S122" i="9"/>
  <c r="W122" i="9"/>
  <c r="P122" i="9"/>
  <c r="T122" i="9"/>
  <c r="X122" i="9"/>
  <c r="V122" i="9"/>
  <c r="V278" i="9"/>
  <c r="U278" i="9"/>
  <c r="X278" i="9"/>
  <c r="Q278" i="9"/>
  <c r="Z278" i="9"/>
  <c r="S278" i="9"/>
  <c r="R278" i="9"/>
  <c r="Y278" i="9"/>
  <c r="T278" i="9"/>
  <c r="W278" i="9"/>
  <c r="Z470" i="9"/>
  <c r="R470" i="9"/>
  <c r="V470" i="9"/>
  <c r="X470" i="9"/>
  <c r="Y470" i="9"/>
  <c r="Q247" i="9"/>
  <c r="T247" i="9"/>
  <c r="S247" i="9"/>
  <c r="P247" i="9"/>
  <c r="U247" i="9"/>
  <c r="Z247" i="9"/>
  <c r="W247" i="9"/>
  <c r="Y247" i="9"/>
  <c r="R247" i="9"/>
  <c r="P439" i="9"/>
  <c r="Y439" i="9"/>
  <c r="R439" i="9"/>
  <c r="W439" i="9"/>
  <c r="U439" i="9"/>
  <c r="S439" i="9"/>
  <c r="Z439" i="9"/>
  <c r="Q439" i="9"/>
  <c r="V439" i="9"/>
  <c r="S111" i="9"/>
  <c r="V111" i="9"/>
  <c r="U111" i="9"/>
  <c r="W111" i="9"/>
  <c r="Y111" i="9"/>
  <c r="R111" i="9"/>
  <c r="Z111" i="9"/>
  <c r="Q111" i="9"/>
  <c r="P336" i="9"/>
  <c r="R336" i="9"/>
  <c r="Q336" i="9"/>
  <c r="T336" i="9"/>
  <c r="U336" i="9"/>
  <c r="X336" i="9"/>
  <c r="W336" i="9"/>
  <c r="Y336" i="9"/>
  <c r="V336" i="9"/>
  <c r="X49" i="9"/>
  <c r="Z49" i="9"/>
  <c r="Q49" i="9"/>
  <c r="U49" i="9"/>
  <c r="P49" i="9"/>
  <c r="T49" i="9"/>
  <c r="V49" i="9"/>
  <c r="R49" i="9"/>
  <c r="Y49" i="9"/>
  <c r="U305" i="9"/>
  <c r="W305" i="9"/>
  <c r="Y305" i="9"/>
  <c r="P305" i="9"/>
  <c r="Z305" i="9"/>
  <c r="Q305" i="9"/>
  <c r="P497" i="9"/>
  <c r="Y497" i="9"/>
  <c r="W497" i="9"/>
  <c r="X497" i="9"/>
  <c r="T497" i="9"/>
  <c r="V497" i="9"/>
  <c r="U497" i="9"/>
  <c r="Q166" i="9"/>
  <c r="W166" i="9"/>
  <c r="U166" i="9"/>
  <c r="P166" i="9"/>
  <c r="R166" i="9"/>
  <c r="Y166" i="9"/>
  <c r="T166" i="9"/>
  <c r="V166" i="9"/>
  <c r="Z166" i="9"/>
  <c r="V85" i="9"/>
  <c r="X85" i="9"/>
  <c r="Z85" i="9"/>
  <c r="Q85" i="9"/>
  <c r="T85" i="9"/>
  <c r="Y85" i="9"/>
  <c r="S85" i="9"/>
  <c r="U85" i="9"/>
  <c r="W85" i="9"/>
  <c r="Z68" i="9"/>
  <c r="Q68" i="9"/>
  <c r="V68" i="9"/>
  <c r="S68" i="9"/>
  <c r="U68" i="9"/>
  <c r="R68" i="9"/>
  <c r="Y68" i="9"/>
  <c r="W226" i="9"/>
  <c r="S226" i="9"/>
  <c r="P226" i="9"/>
  <c r="Y226" i="9"/>
  <c r="U226" i="9"/>
  <c r="T226" i="9"/>
  <c r="X418" i="9"/>
  <c r="V418" i="9"/>
  <c r="P418" i="9"/>
  <c r="U418" i="9"/>
  <c r="R418" i="9"/>
  <c r="S418" i="9"/>
  <c r="T418" i="9"/>
  <c r="Y418" i="9"/>
  <c r="W418" i="9"/>
  <c r="Q418" i="9"/>
  <c r="Z418" i="9"/>
  <c r="S323" i="9"/>
  <c r="U323" i="9"/>
  <c r="Z323" i="9"/>
  <c r="W323" i="9"/>
  <c r="V323" i="9"/>
  <c r="Y323" i="9"/>
  <c r="Q323" i="9"/>
  <c r="X323" i="9"/>
  <c r="S166" i="9"/>
  <c r="R208" i="9"/>
  <c r="X290" i="9"/>
  <c r="Q122" i="9"/>
  <c r="P285" i="9"/>
  <c r="V443" i="9"/>
  <c r="Z451" i="9"/>
  <c r="U38" i="9"/>
  <c r="Z122" i="9"/>
  <c r="W146" i="9"/>
  <c r="X166" i="9"/>
  <c r="P208" i="9"/>
  <c r="P278" i="9"/>
  <c r="R285" i="9"/>
  <c r="V305" i="9"/>
  <c r="W49" i="9"/>
  <c r="P85" i="9"/>
  <c r="T111" i="9"/>
  <c r="Z177" i="9"/>
  <c r="Z174" i="9"/>
  <c r="X174" i="9"/>
  <c r="P379" i="9"/>
  <c r="S379" i="9"/>
  <c r="X484" i="9"/>
  <c r="U484" i="9"/>
  <c r="Y9" i="9"/>
  <c r="R9" i="9"/>
  <c r="V9" i="9"/>
  <c r="W9" i="9"/>
  <c r="P9" i="9"/>
  <c r="X9" i="9"/>
  <c r="Z9" i="9"/>
  <c r="T9" i="9"/>
  <c r="P221" i="9"/>
  <c r="Q221" i="9"/>
  <c r="S221" i="9"/>
  <c r="U221" i="9"/>
  <c r="X221" i="9"/>
  <c r="Z221" i="9"/>
  <c r="W221" i="9"/>
  <c r="Y221" i="9"/>
  <c r="R221" i="9"/>
  <c r="P413" i="9"/>
  <c r="Q413" i="9"/>
  <c r="R413" i="9"/>
  <c r="Y413" i="9"/>
  <c r="W413" i="9"/>
  <c r="U413" i="9"/>
  <c r="S413" i="9"/>
  <c r="Z413" i="9"/>
  <c r="W214" i="9"/>
  <c r="U214" i="9"/>
  <c r="P214" i="9"/>
  <c r="Q214" i="9"/>
  <c r="R214" i="9"/>
  <c r="T214" i="9"/>
  <c r="S214" i="9"/>
  <c r="V214" i="9"/>
  <c r="Y214" i="9"/>
  <c r="Z214" i="9"/>
  <c r="Q406" i="9"/>
  <c r="R406" i="9"/>
  <c r="X406" i="9"/>
  <c r="Y406" i="9"/>
  <c r="U406" i="9"/>
  <c r="X59" i="9"/>
  <c r="U59" i="9"/>
  <c r="Z59" i="9"/>
  <c r="S59" i="9"/>
  <c r="W59" i="9"/>
  <c r="Q59" i="9"/>
  <c r="Y59" i="9"/>
  <c r="P59" i="9"/>
  <c r="Y311" i="9"/>
  <c r="T311" i="9"/>
  <c r="P311" i="9"/>
  <c r="Z311" i="9"/>
  <c r="X311" i="9"/>
  <c r="Q311" i="9"/>
  <c r="V311" i="9"/>
  <c r="S311" i="9"/>
  <c r="P503" i="9"/>
  <c r="W503" i="9"/>
  <c r="U503" i="9"/>
  <c r="Z503" i="9"/>
  <c r="S503" i="9"/>
  <c r="X503" i="9"/>
  <c r="T503" i="9"/>
  <c r="R503" i="9"/>
  <c r="Y272" i="9"/>
  <c r="R272" i="9"/>
  <c r="T272" i="9"/>
  <c r="V272" i="9"/>
  <c r="W272" i="9"/>
  <c r="Z272" i="9"/>
  <c r="S272" i="9"/>
  <c r="Q272" i="9"/>
  <c r="U272" i="9"/>
  <c r="P464" i="9"/>
  <c r="T464" i="9"/>
  <c r="V464" i="9"/>
  <c r="S464" i="9"/>
  <c r="X464" i="9"/>
  <c r="Z464" i="9"/>
  <c r="R464" i="9"/>
  <c r="Q241" i="9"/>
  <c r="S241" i="9"/>
  <c r="Y241" i="9"/>
  <c r="X241" i="9"/>
  <c r="T241" i="9"/>
  <c r="V241" i="9"/>
  <c r="Z241" i="9"/>
  <c r="R241" i="9"/>
  <c r="P433" i="9"/>
  <c r="V433" i="9"/>
  <c r="T433" i="9"/>
  <c r="Y433" i="9"/>
  <c r="R433" i="9"/>
  <c r="U433" i="9"/>
  <c r="Q433" i="9"/>
  <c r="S433" i="9"/>
  <c r="X433" i="9"/>
  <c r="S56" i="9"/>
  <c r="Z56" i="9"/>
  <c r="U56" i="9"/>
  <c r="W56" i="9"/>
  <c r="V56" i="9"/>
  <c r="X56" i="9"/>
  <c r="R56" i="9"/>
  <c r="Q56" i="9"/>
  <c r="Q102" i="9"/>
  <c r="Z102" i="9"/>
  <c r="S102" i="9"/>
  <c r="W102" i="9"/>
  <c r="Y102" i="9"/>
  <c r="R102" i="9"/>
  <c r="P102" i="9"/>
  <c r="V102" i="9"/>
  <c r="V149" i="9"/>
  <c r="Z149" i="9"/>
  <c r="X149" i="9"/>
  <c r="Q149" i="9"/>
  <c r="T149" i="9"/>
  <c r="P149" i="9"/>
  <c r="S149" i="9"/>
  <c r="U149" i="9"/>
  <c r="W149" i="9"/>
  <c r="Y149" i="9"/>
  <c r="R149" i="9"/>
  <c r="W132" i="9"/>
  <c r="U132" i="9"/>
  <c r="P132" i="9"/>
  <c r="Y132" i="9"/>
  <c r="R132" i="9"/>
  <c r="T132" i="9"/>
  <c r="S132" i="9"/>
  <c r="X132" i="9"/>
  <c r="W290" i="9"/>
  <c r="P290" i="9"/>
  <c r="R290" i="9"/>
  <c r="S290" i="9"/>
  <c r="Z290" i="9"/>
  <c r="Y290" i="9"/>
  <c r="Y195" i="9"/>
  <c r="X195" i="9"/>
  <c r="P195" i="9"/>
  <c r="Q195" i="9"/>
  <c r="S195" i="9"/>
  <c r="Z195" i="9"/>
  <c r="U195" i="9"/>
  <c r="W38" i="9"/>
  <c r="R226" i="9"/>
  <c r="Q290" i="9"/>
  <c r="S336" i="9"/>
  <c r="W406" i="9"/>
  <c r="R122" i="9"/>
  <c r="T290" i="9"/>
  <c r="Q497" i="9"/>
  <c r="Y503" i="9"/>
  <c r="P111" i="9"/>
  <c r="S206" i="9"/>
  <c r="R206" i="9"/>
  <c r="U233" i="9"/>
  <c r="R233" i="9"/>
  <c r="R55" i="9"/>
  <c r="P55" i="9"/>
  <c r="U285" i="9"/>
  <c r="W285" i="9"/>
  <c r="Y285" i="9"/>
  <c r="Q285" i="9"/>
  <c r="S285" i="9"/>
  <c r="Z285" i="9"/>
  <c r="P477" i="9"/>
  <c r="Q477" i="9"/>
  <c r="V477" i="9"/>
  <c r="T477" i="9"/>
  <c r="R477" i="9"/>
  <c r="Y477" i="9"/>
  <c r="W342" i="9"/>
  <c r="X342" i="9"/>
  <c r="Z342" i="9"/>
  <c r="S342" i="9"/>
  <c r="R342" i="9"/>
  <c r="Y342" i="9"/>
  <c r="T342" i="9"/>
  <c r="V342" i="9"/>
  <c r="U342" i="9"/>
  <c r="R183" i="9"/>
  <c r="Q183" i="9"/>
  <c r="P183" i="9"/>
  <c r="S183" i="9"/>
  <c r="X183" i="9"/>
  <c r="U183" i="9"/>
  <c r="W183" i="9"/>
  <c r="Y183" i="9"/>
  <c r="P375" i="9"/>
  <c r="T375" i="9"/>
  <c r="R375" i="9"/>
  <c r="Y375" i="9"/>
  <c r="Z375" i="9"/>
  <c r="X375" i="9"/>
  <c r="V375" i="9"/>
  <c r="W375" i="9"/>
  <c r="Z208" i="9"/>
  <c r="Q208" i="9"/>
  <c r="W208" i="9"/>
  <c r="U208" i="9"/>
  <c r="T208" i="9"/>
  <c r="V208" i="9"/>
  <c r="X208" i="9"/>
  <c r="P400" i="9"/>
  <c r="Q400" i="9"/>
  <c r="S400" i="9"/>
  <c r="V400" i="9"/>
  <c r="X400" i="9"/>
  <c r="Z400" i="9"/>
  <c r="W400" i="9"/>
  <c r="T400" i="9"/>
  <c r="Q177" i="9"/>
  <c r="S177" i="9"/>
  <c r="U177" i="9"/>
  <c r="X177" i="9"/>
  <c r="W177" i="9"/>
  <c r="T177" i="9"/>
  <c r="Y177" i="9"/>
  <c r="R177" i="9"/>
  <c r="X369" i="9"/>
  <c r="V369" i="9"/>
  <c r="T369" i="9"/>
  <c r="R369" i="9"/>
  <c r="Q369" i="9"/>
  <c r="S369" i="9"/>
  <c r="S120" i="9"/>
  <c r="Q120" i="9"/>
  <c r="U120" i="9"/>
  <c r="P120" i="9"/>
  <c r="Y120" i="9"/>
  <c r="Z120" i="9"/>
  <c r="W120" i="9"/>
  <c r="R120" i="9"/>
  <c r="Z38" i="9"/>
  <c r="P38" i="9"/>
  <c r="T38" i="9"/>
  <c r="X38" i="9"/>
  <c r="Y38" i="9"/>
  <c r="V38" i="9"/>
  <c r="R38" i="9"/>
  <c r="Q38" i="9"/>
  <c r="S21" i="9"/>
  <c r="W21" i="9"/>
  <c r="P21" i="9"/>
  <c r="Q21" i="9"/>
  <c r="R21" i="9"/>
  <c r="Y21" i="9"/>
  <c r="V21" i="9"/>
  <c r="T21" i="9"/>
  <c r="X21" i="9"/>
  <c r="Z21" i="9"/>
  <c r="U146" i="9"/>
  <c r="T146" i="9"/>
  <c r="V146" i="9"/>
  <c r="X146" i="9"/>
  <c r="Q146" i="9"/>
  <c r="Y146" i="9"/>
  <c r="P146" i="9"/>
  <c r="Z146" i="9"/>
  <c r="W354" i="9"/>
  <c r="T354" i="9"/>
  <c r="V354" i="9"/>
  <c r="S354" i="9"/>
  <c r="X354" i="9"/>
  <c r="U354" i="9"/>
  <c r="Q354" i="9"/>
  <c r="P354" i="9"/>
  <c r="X482" i="9"/>
  <c r="T482" i="9"/>
  <c r="S482" i="9"/>
  <c r="Q482" i="9"/>
  <c r="Z482" i="9"/>
  <c r="P482" i="9"/>
  <c r="Y482" i="9"/>
  <c r="R482" i="9"/>
  <c r="W482" i="9"/>
  <c r="R83" i="9"/>
  <c r="Y83" i="9"/>
  <c r="T83" i="9"/>
  <c r="V83" i="9"/>
  <c r="X83" i="9"/>
  <c r="Q83" i="9"/>
  <c r="P83" i="9"/>
  <c r="Q259" i="9"/>
  <c r="Z259" i="9"/>
  <c r="V259" i="9"/>
  <c r="R259" i="9"/>
  <c r="S259" i="9"/>
  <c r="X259" i="9"/>
  <c r="U259" i="9"/>
  <c r="T259" i="9"/>
  <c r="W259" i="9"/>
  <c r="P387" i="9"/>
  <c r="U387" i="9"/>
  <c r="V387" i="9"/>
  <c r="T387" i="9"/>
  <c r="S387" i="9"/>
  <c r="Q387" i="9"/>
  <c r="R387" i="9"/>
  <c r="P451" i="9"/>
  <c r="T451" i="9"/>
  <c r="R451" i="9"/>
  <c r="Y451" i="9"/>
  <c r="W451" i="9"/>
  <c r="U451" i="9"/>
  <c r="Z476" i="9"/>
  <c r="V476" i="9"/>
  <c r="Z39" i="9"/>
  <c r="X39" i="9"/>
  <c r="S49" i="9"/>
  <c r="X305" i="9"/>
  <c r="R323" i="9"/>
  <c r="X387" i="9"/>
  <c r="W470" i="9"/>
  <c r="T195" i="9"/>
  <c r="R305" i="9"/>
  <c r="T59" i="9"/>
  <c r="R85" i="9"/>
  <c r="X111" i="9"/>
  <c r="S305" i="9"/>
  <c r="Y122" i="9"/>
  <c r="T285" i="9"/>
  <c r="X285" i="9"/>
  <c r="U290" i="9"/>
  <c r="Y400" i="9"/>
  <c r="T439" i="9"/>
  <c r="X477" i="9"/>
  <c r="V503" i="9"/>
  <c r="X68" i="9"/>
  <c r="Q132" i="9"/>
  <c r="R146" i="9"/>
  <c r="X214" i="9"/>
  <c r="X272" i="9"/>
  <c r="P342" i="9"/>
  <c r="P177" i="9"/>
  <c r="V221" i="9"/>
  <c r="X247" i="9"/>
  <c r="V349" i="9"/>
  <c r="W369" i="9"/>
  <c r="S375" i="9"/>
  <c r="U477" i="9"/>
  <c r="S497" i="9"/>
  <c r="U9" i="9"/>
  <c r="Y208" i="9"/>
  <c r="U162" i="9"/>
  <c r="R162" i="9"/>
  <c r="Z444" i="9"/>
  <c r="X444" i="9"/>
  <c r="Q444" i="9"/>
  <c r="R452" i="9"/>
  <c r="T452" i="9"/>
  <c r="X452" i="9"/>
  <c r="Y452" i="9"/>
  <c r="V452" i="9"/>
  <c r="Z452" i="9"/>
  <c r="W452" i="9"/>
  <c r="T372" i="9"/>
  <c r="U372" i="9"/>
  <c r="V372" i="9"/>
  <c r="X372" i="9"/>
  <c r="S372" i="9"/>
  <c r="Z396" i="9"/>
  <c r="U396" i="9"/>
  <c r="S396" i="9"/>
  <c r="Q396" i="9"/>
  <c r="T60" i="9"/>
  <c r="Q452" i="9"/>
  <c r="V212" i="9"/>
  <c r="V135" i="9"/>
  <c r="S135" i="9"/>
  <c r="P500" i="9"/>
  <c r="Z500" i="9"/>
  <c r="U228" i="9"/>
  <c r="P468" i="9"/>
  <c r="W66" i="9"/>
  <c r="T212" i="9"/>
  <c r="Z228" i="9"/>
  <c r="Z308" i="9"/>
  <c r="Q135" i="9"/>
  <c r="U212" i="9"/>
  <c r="Q228" i="9"/>
  <c r="R212" i="9"/>
  <c r="X308" i="9"/>
  <c r="Q106" i="9"/>
  <c r="Y412" i="9"/>
  <c r="P412" i="9"/>
  <c r="V484" i="9"/>
  <c r="Y252" i="9"/>
  <c r="Q412" i="9"/>
  <c r="R460" i="9"/>
  <c r="T484" i="9"/>
  <c r="R484" i="9"/>
  <c r="Q303" i="9"/>
  <c r="P484" i="9"/>
  <c r="S252" i="9"/>
  <c r="U410" i="9"/>
  <c r="W484" i="9"/>
  <c r="X412" i="9"/>
  <c r="Q484" i="9"/>
  <c r="R405" i="9"/>
  <c r="S412" i="9"/>
  <c r="Y484" i="9"/>
  <c r="X460" i="9"/>
  <c r="V412" i="9"/>
  <c r="Z484" i="9"/>
  <c r="Q55" i="9"/>
  <c r="P233" i="9"/>
  <c r="U412" i="9"/>
  <c r="Q33" i="9"/>
  <c r="U55" i="9"/>
  <c r="Q410" i="9"/>
  <c r="T412" i="9"/>
  <c r="P492" i="9"/>
  <c r="T492" i="9"/>
  <c r="U252" i="9"/>
  <c r="P460" i="9"/>
  <c r="T476" i="9"/>
  <c r="U234" i="9"/>
  <c r="Y350" i="9"/>
  <c r="S428" i="9"/>
  <c r="U492" i="9"/>
  <c r="T48" i="9"/>
  <c r="P94" i="9"/>
  <c r="P252" i="9"/>
  <c r="P344" i="9"/>
  <c r="W39" i="9"/>
  <c r="T39" i="9"/>
  <c r="S55" i="9"/>
  <c r="Q197" i="9"/>
  <c r="Q261" i="9"/>
  <c r="V428" i="9"/>
  <c r="Q460" i="9"/>
  <c r="R476" i="9"/>
  <c r="X382" i="9"/>
  <c r="T446" i="9"/>
  <c r="S39" i="9"/>
  <c r="R39" i="9"/>
  <c r="Z55" i="9"/>
  <c r="V492" i="9"/>
  <c r="T428" i="9"/>
  <c r="P476" i="9"/>
  <c r="S222" i="9"/>
  <c r="X428" i="9"/>
  <c r="W252" i="9"/>
  <c r="Y39" i="9"/>
  <c r="X55" i="9"/>
  <c r="X476" i="9"/>
  <c r="R428" i="9"/>
  <c r="Q476" i="9"/>
  <c r="T138" i="9"/>
  <c r="W55" i="9"/>
  <c r="W492" i="9"/>
  <c r="W30" i="9"/>
  <c r="U176" i="9"/>
  <c r="Z350" i="9"/>
  <c r="U460" i="9"/>
  <c r="S476" i="9"/>
  <c r="P39" i="9"/>
  <c r="W176" i="9"/>
  <c r="Y230" i="9"/>
  <c r="Y428" i="9"/>
  <c r="W460" i="9"/>
  <c r="U476" i="9"/>
  <c r="Y478" i="9"/>
  <c r="Q34" i="9"/>
  <c r="Z252" i="9"/>
  <c r="X286" i="9"/>
  <c r="P298" i="9"/>
  <c r="Y55" i="9"/>
  <c r="U39" i="9"/>
  <c r="V55" i="9"/>
  <c r="Y73" i="9"/>
  <c r="W89" i="9"/>
  <c r="R89" i="9"/>
  <c r="X139" i="9"/>
  <c r="W223" i="9"/>
  <c r="Y287" i="9"/>
  <c r="Q331" i="9"/>
  <c r="Z428" i="9"/>
  <c r="R492" i="9"/>
  <c r="Y312" i="9"/>
  <c r="X376" i="9"/>
  <c r="Z492" i="9"/>
  <c r="P428" i="9"/>
  <c r="R382" i="9"/>
  <c r="R252" i="9"/>
  <c r="U428" i="9"/>
  <c r="S460" i="9"/>
  <c r="T255" i="9"/>
  <c r="W428" i="9"/>
  <c r="Y492" i="9"/>
  <c r="R34" i="9"/>
  <c r="Q222" i="9"/>
  <c r="X421" i="9"/>
  <c r="Y460" i="9"/>
  <c r="W476" i="9"/>
  <c r="T10" i="9"/>
  <c r="X124" i="9"/>
  <c r="T222" i="9"/>
  <c r="X252" i="9"/>
  <c r="Q39" i="9"/>
  <c r="T55" i="9"/>
  <c r="P73" i="9"/>
  <c r="Y89" i="9"/>
  <c r="P89" i="9"/>
  <c r="T139" i="9"/>
  <c r="Y197" i="9"/>
  <c r="U223" i="9"/>
  <c r="Y261" i="9"/>
  <c r="W287" i="9"/>
  <c r="Y351" i="9"/>
  <c r="Y248" i="9"/>
  <c r="U312" i="9"/>
  <c r="V376" i="9"/>
  <c r="P446" i="9"/>
  <c r="V460" i="9"/>
  <c r="W318" i="9"/>
  <c r="S492" i="9"/>
  <c r="V39" i="9"/>
  <c r="R112" i="9"/>
  <c r="S178" i="9"/>
  <c r="X216" i="9"/>
  <c r="Q178" i="9"/>
  <c r="U286" i="9"/>
  <c r="Y298" i="9"/>
  <c r="R383" i="9"/>
  <c r="Y476" i="9"/>
  <c r="V252" i="9"/>
  <c r="Q376" i="9"/>
  <c r="T376" i="9"/>
  <c r="T460" i="9"/>
  <c r="X492" i="9"/>
  <c r="W31" i="9"/>
  <c r="S108" i="9"/>
  <c r="W78" i="9"/>
  <c r="P314" i="9"/>
  <c r="V378" i="9"/>
  <c r="Q250" i="9"/>
  <c r="Z271" i="9"/>
  <c r="R501" i="9"/>
  <c r="Z232" i="9"/>
  <c r="T271" i="9"/>
  <c r="T57" i="9"/>
  <c r="U335" i="9"/>
  <c r="V501" i="9"/>
  <c r="Y475" i="9"/>
  <c r="Y170" i="9"/>
  <c r="W378" i="9"/>
  <c r="R475" i="9"/>
  <c r="X31" i="9"/>
  <c r="R181" i="9"/>
  <c r="U271" i="9"/>
  <c r="Q296" i="9"/>
  <c r="R207" i="9"/>
  <c r="X373" i="9"/>
  <c r="V475" i="9"/>
  <c r="V207" i="9"/>
  <c r="U245" i="9"/>
  <c r="P133" i="9"/>
  <c r="Y309" i="9"/>
  <c r="X309" i="9"/>
  <c r="P309" i="9"/>
  <c r="Q309" i="9"/>
  <c r="Z309" i="9"/>
  <c r="S309" i="9"/>
  <c r="V309" i="9"/>
  <c r="X42" i="9"/>
  <c r="Q42" i="9"/>
  <c r="R42" i="9"/>
  <c r="S42" i="9"/>
  <c r="Z42" i="9"/>
  <c r="U42" i="9"/>
  <c r="V42" i="9"/>
  <c r="W42" i="9"/>
  <c r="Y42" i="9"/>
  <c r="S302" i="9"/>
  <c r="T302" i="9"/>
  <c r="V302" i="9"/>
  <c r="X302" i="9"/>
  <c r="Z302" i="9"/>
  <c r="Y302" i="9"/>
  <c r="Q494" i="9"/>
  <c r="Z494" i="9"/>
  <c r="X494" i="9"/>
  <c r="V494" i="9"/>
  <c r="T494" i="9"/>
  <c r="Y494" i="9"/>
  <c r="R494" i="9"/>
  <c r="W494" i="9"/>
  <c r="P399" i="9"/>
  <c r="Y399" i="9"/>
  <c r="W399" i="9"/>
  <c r="X399" i="9"/>
  <c r="U399" i="9"/>
  <c r="V399" i="9"/>
  <c r="S399" i="9"/>
  <c r="T399" i="9"/>
  <c r="Q399" i="9"/>
  <c r="R399" i="9"/>
  <c r="Y232" i="9"/>
  <c r="U232" i="9"/>
  <c r="Q232" i="9"/>
  <c r="P232" i="9"/>
  <c r="R232" i="9"/>
  <c r="T232" i="9"/>
  <c r="V232" i="9"/>
  <c r="R488" i="9"/>
  <c r="Z488" i="9"/>
  <c r="Y488" i="9"/>
  <c r="W488" i="9"/>
  <c r="U488" i="9"/>
  <c r="T488" i="9"/>
  <c r="Q488" i="9"/>
  <c r="P488" i="9"/>
  <c r="S488" i="9"/>
  <c r="S265" i="9"/>
  <c r="U265" i="9"/>
  <c r="W265" i="9"/>
  <c r="Y265" i="9"/>
  <c r="Z265" i="9"/>
  <c r="V265" i="9"/>
  <c r="S160" i="9"/>
  <c r="X160" i="9"/>
  <c r="Z160" i="9"/>
  <c r="Q160" i="9"/>
  <c r="U160" i="9"/>
  <c r="P160" i="9"/>
  <c r="Y160" i="9"/>
  <c r="R160" i="9"/>
  <c r="Y142" i="9"/>
  <c r="S142" i="9"/>
  <c r="W142" i="9"/>
  <c r="P142" i="9"/>
  <c r="R142" i="9"/>
  <c r="Q142" i="9"/>
  <c r="T142" i="9"/>
  <c r="V142" i="9"/>
  <c r="W172" i="9"/>
  <c r="U172" i="9"/>
  <c r="P172" i="9"/>
  <c r="Y172" i="9"/>
  <c r="R172" i="9"/>
  <c r="T172" i="9"/>
  <c r="V172" i="9"/>
  <c r="X172" i="9"/>
  <c r="W250" i="9"/>
  <c r="V250" i="9"/>
  <c r="X250" i="9"/>
  <c r="Z250" i="9"/>
  <c r="P250" i="9"/>
  <c r="U219" i="9"/>
  <c r="W219" i="9"/>
  <c r="Y219" i="9"/>
  <c r="X219" i="9"/>
  <c r="T219" i="9"/>
  <c r="P219" i="9"/>
  <c r="R103" i="9"/>
  <c r="R143" i="9"/>
  <c r="P193" i="9"/>
  <c r="Z207" i="9"/>
  <c r="V219" i="9"/>
  <c r="U250" i="9"/>
  <c r="V275" i="9"/>
  <c r="Z339" i="9"/>
  <c r="T437" i="9"/>
  <c r="R32" i="9"/>
  <c r="T42" i="9"/>
  <c r="Z170" i="9"/>
  <c r="R250" i="9"/>
  <c r="U309" i="9"/>
  <c r="V488" i="9"/>
  <c r="S250" i="9"/>
  <c r="V181" i="9"/>
  <c r="Z181" i="9"/>
  <c r="Q181" i="9"/>
  <c r="S181" i="9"/>
  <c r="T181" i="9"/>
  <c r="U181" i="9"/>
  <c r="W181" i="9"/>
  <c r="P373" i="9"/>
  <c r="V373" i="9"/>
  <c r="Y373" i="9"/>
  <c r="W373" i="9"/>
  <c r="R373" i="9"/>
  <c r="U373" i="9"/>
  <c r="S373" i="9"/>
  <c r="Q373" i="9"/>
  <c r="P501" i="9"/>
  <c r="S501" i="9"/>
  <c r="T501" i="9"/>
  <c r="Q501" i="9"/>
  <c r="Y501" i="9"/>
  <c r="Z501" i="9"/>
  <c r="W238" i="9"/>
  <c r="T238" i="9"/>
  <c r="V238" i="9"/>
  <c r="X238" i="9"/>
  <c r="Z238" i="9"/>
  <c r="V430" i="9"/>
  <c r="S430" i="9"/>
  <c r="X430" i="9"/>
  <c r="Z430" i="9"/>
  <c r="P430" i="9"/>
  <c r="Q430" i="9"/>
  <c r="Y430" i="9"/>
  <c r="W107" i="9"/>
  <c r="Y107" i="9"/>
  <c r="P107" i="9"/>
  <c r="T107" i="9"/>
  <c r="Z107" i="9"/>
  <c r="X107" i="9"/>
  <c r="R107" i="9"/>
  <c r="Q107" i="9"/>
  <c r="W271" i="9"/>
  <c r="Y271" i="9"/>
  <c r="Q271" i="9"/>
  <c r="X271" i="9"/>
  <c r="P463" i="9"/>
  <c r="Y463" i="9"/>
  <c r="Z463" i="9"/>
  <c r="W463" i="9"/>
  <c r="X463" i="9"/>
  <c r="U463" i="9"/>
  <c r="V463" i="9"/>
  <c r="Y159" i="9"/>
  <c r="P159" i="9"/>
  <c r="T159" i="9"/>
  <c r="X159" i="9"/>
  <c r="Q159" i="9"/>
  <c r="V159" i="9"/>
  <c r="S159" i="9"/>
  <c r="Y360" i="9"/>
  <c r="Q360" i="9"/>
  <c r="R360" i="9"/>
  <c r="T360" i="9"/>
  <c r="V360" i="9"/>
  <c r="X360" i="9"/>
  <c r="W360" i="9"/>
  <c r="Z360" i="9"/>
  <c r="S360" i="9"/>
  <c r="R424" i="9"/>
  <c r="Z424" i="9"/>
  <c r="T424" i="9"/>
  <c r="P424" i="9"/>
  <c r="Y424" i="9"/>
  <c r="W424" i="9"/>
  <c r="Q424" i="9"/>
  <c r="U424" i="9"/>
  <c r="W97" i="9"/>
  <c r="X97" i="9"/>
  <c r="Y97" i="9"/>
  <c r="P97" i="9"/>
  <c r="R97" i="9"/>
  <c r="V97" i="9"/>
  <c r="Z97" i="9"/>
  <c r="Q97" i="9"/>
  <c r="Q329" i="9"/>
  <c r="V329" i="9"/>
  <c r="S329" i="9"/>
  <c r="R329" i="9"/>
  <c r="U329" i="9"/>
  <c r="W329" i="9"/>
  <c r="X329" i="9"/>
  <c r="Y329" i="9"/>
  <c r="T329" i="9"/>
  <c r="P329" i="9"/>
  <c r="P457" i="9"/>
  <c r="S457" i="9"/>
  <c r="T457" i="9"/>
  <c r="Q457" i="9"/>
  <c r="Y457" i="9"/>
  <c r="Z457" i="9"/>
  <c r="S96" i="9"/>
  <c r="Q96" i="9"/>
  <c r="U96" i="9"/>
  <c r="P96" i="9"/>
  <c r="Y96" i="9"/>
  <c r="R96" i="9"/>
  <c r="T96" i="9"/>
  <c r="V96" i="9"/>
  <c r="Y78" i="9"/>
  <c r="R78" i="9"/>
  <c r="V78" i="9"/>
  <c r="Z78" i="9"/>
  <c r="Q78" i="9"/>
  <c r="P78" i="9"/>
  <c r="S78" i="9"/>
  <c r="X78" i="9"/>
  <c r="S125" i="9"/>
  <c r="U125" i="9"/>
  <c r="W125" i="9"/>
  <c r="Y125" i="9"/>
  <c r="R125" i="9"/>
  <c r="V125" i="9"/>
  <c r="T125" i="9"/>
  <c r="W108" i="9"/>
  <c r="P108" i="9"/>
  <c r="Y108" i="9"/>
  <c r="R108" i="9"/>
  <c r="T108" i="9"/>
  <c r="V108" i="9"/>
  <c r="X108" i="9"/>
  <c r="Z108" i="9"/>
  <c r="P66" i="9"/>
  <c r="Y66" i="9"/>
  <c r="R66" i="9"/>
  <c r="V66" i="9"/>
  <c r="Z66" i="9"/>
  <c r="Q66" i="9"/>
  <c r="T66" i="9"/>
  <c r="S66" i="9"/>
  <c r="S314" i="9"/>
  <c r="R314" i="9"/>
  <c r="T314" i="9"/>
  <c r="V314" i="9"/>
  <c r="W314" i="9"/>
  <c r="X314" i="9"/>
  <c r="Z314" i="9"/>
  <c r="Y314" i="9"/>
  <c r="T442" i="9"/>
  <c r="Q442" i="9"/>
  <c r="X442" i="9"/>
  <c r="Z442" i="9"/>
  <c r="P442" i="9"/>
  <c r="R442" i="9"/>
  <c r="Y442" i="9"/>
  <c r="W442" i="9"/>
  <c r="X347" i="9"/>
  <c r="T347" i="9"/>
  <c r="Q347" i="9"/>
  <c r="P347" i="9"/>
  <c r="Z347" i="9"/>
  <c r="S347" i="9"/>
  <c r="V347" i="9"/>
  <c r="U347" i="9"/>
  <c r="R347" i="9"/>
  <c r="W347" i="9"/>
  <c r="U7" i="9"/>
  <c r="W7" i="9"/>
  <c r="Y7" i="9"/>
  <c r="P7" i="9"/>
  <c r="T7" i="9"/>
  <c r="X7" i="9"/>
  <c r="Y236" i="9"/>
  <c r="X236" i="9"/>
  <c r="Z236" i="9"/>
  <c r="Q236" i="9"/>
  <c r="P236" i="9"/>
  <c r="U236" i="9"/>
  <c r="R236" i="9"/>
  <c r="T300" i="9"/>
  <c r="P300" i="9"/>
  <c r="T97" i="9"/>
  <c r="P125" i="9"/>
  <c r="R159" i="9"/>
  <c r="R167" i="9"/>
  <c r="S180" i="9"/>
  <c r="T193" i="9"/>
  <c r="R199" i="9"/>
  <c r="R211" i="9"/>
  <c r="Z219" i="9"/>
  <c r="W224" i="9"/>
  <c r="S236" i="9"/>
  <c r="Y250" i="9"/>
  <c r="Q302" i="9"/>
  <c r="S424" i="9"/>
  <c r="S442" i="9"/>
  <c r="P42" i="9"/>
  <c r="T236" i="9"/>
  <c r="R265" i="9"/>
  <c r="S97" i="9"/>
  <c r="S219" i="9"/>
  <c r="Q265" i="9"/>
  <c r="X424" i="9"/>
  <c r="V57" i="9"/>
  <c r="X57" i="9"/>
  <c r="Z57" i="9"/>
  <c r="S57" i="9"/>
  <c r="Q57" i="9"/>
  <c r="U57" i="9"/>
  <c r="P57" i="9"/>
  <c r="Y57" i="9"/>
  <c r="W245" i="9"/>
  <c r="Y245" i="9"/>
  <c r="Z245" i="9"/>
  <c r="V245" i="9"/>
  <c r="R245" i="9"/>
  <c r="Q245" i="9"/>
  <c r="P437" i="9"/>
  <c r="V437" i="9"/>
  <c r="Y437" i="9"/>
  <c r="R437" i="9"/>
  <c r="W437" i="9"/>
  <c r="U437" i="9"/>
  <c r="S437" i="9"/>
  <c r="U170" i="9"/>
  <c r="S170" i="9"/>
  <c r="W170" i="9"/>
  <c r="P170" i="9"/>
  <c r="R170" i="9"/>
  <c r="T170" i="9"/>
  <c r="V170" i="9"/>
  <c r="W366" i="9"/>
  <c r="Z366" i="9"/>
  <c r="S366" i="9"/>
  <c r="P366" i="9"/>
  <c r="Y366" i="9"/>
  <c r="R366" i="9"/>
  <c r="U366" i="9"/>
  <c r="T366" i="9"/>
  <c r="Q366" i="9"/>
  <c r="X207" i="9"/>
  <c r="Q207" i="9"/>
  <c r="T207" i="9"/>
  <c r="S207" i="9"/>
  <c r="P207" i="9"/>
  <c r="U207" i="9"/>
  <c r="W207" i="9"/>
  <c r="W335" i="9"/>
  <c r="Z335" i="9"/>
  <c r="Y335" i="9"/>
  <c r="X335" i="9"/>
  <c r="T335" i="9"/>
  <c r="R335" i="9"/>
  <c r="P335" i="9"/>
  <c r="Q335" i="9"/>
  <c r="Z31" i="9"/>
  <c r="Q31" i="9"/>
  <c r="U31" i="9"/>
  <c r="P31" i="9"/>
  <c r="Y31" i="9"/>
  <c r="R31" i="9"/>
  <c r="S31" i="9"/>
  <c r="T31" i="9"/>
  <c r="Y296" i="9"/>
  <c r="T296" i="9"/>
  <c r="V296" i="9"/>
  <c r="X296" i="9"/>
  <c r="Z296" i="9"/>
  <c r="U296" i="9"/>
  <c r="W296" i="9"/>
  <c r="Y201" i="9"/>
  <c r="V201" i="9"/>
  <c r="R201" i="9"/>
  <c r="Q201" i="9"/>
  <c r="S201" i="9"/>
  <c r="P393" i="9"/>
  <c r="Y393" i="9"/>
  <c r="Z393" i="9"/>
  <c r="W393" i="9"/>
  <c r="X393" i="9"/>
  <c r="U393" i="9"/>
  <c r="V393" i="9"/>
  <c r="V32" i="9"/>
  <c r="Z32" i="9"/>
  <c r="Q32" i="9"/>
  <c r="P32" i="9"/>
  <c r="S32" i="9"/>
  <c r="X32" i="9"/>
  <c r="U32" i="9"/>
  <c r="T32" i="9"/>
  <c r="W32" i="9"/>
  <c r="S14" i="9"/>
  <c r="W14" i="9"/>
  <c r="P14" i="9"/>
  <c r="Q14" i="9"/>
  <c r="R14" i="9"/>
  <c r="Y14" i="9"/>
  <c r="T14" i="9"/>
  <c r="U14" i="9"/>
  <c r="V14" i="9"/>
  <c r="U61" i="9"/>
  <c r="P61" i="9"/>
  <c r="Y61" i="9"/>
  <c r="W61" i="9"/>
  <c r="R61" i="9"/>
  <c r="S61" i="9"/>
  <c r="T61" i="9"/>
  <c r="V61" i="9"/>
  <c r="X61" i="9"/>
  <c r="R44" i="9"/>
  <c r="Q44" i="9"/>
  <c r="V44" i="9"/>
  <c r="S44" i="9"/>
  <c r="U44" i="9"/>
  <c r="W44" i="9"/>
  <c r="Y44" i="9"/>
  <c r="P44" i="9"/>
  <c r="S186" i="9"/>
  <c r="P186" i="9"/>
  <c r="W186" i="9"/>
  <c r="R186" i="9"/>
  <c r="T186" i="9"/>
  <c r="V186" i="9"/>
  <c r="X186" i="9"/>
  <c r="T378" i="9"/>
  <c r="S378" i="9"/>
  <c r="Q378" i="9"/>
  <c r="Z378" i="9"/>
  <c r="P378" i="9"/>
  <c r="R378" i="9"/>
  <c r="Y378" i="9"/>
  <c r="S131" i="9"/>
  <c r="U131" i="9"/>
  <c r="Z131" i="9"/>
  <c r="W131" i="9"/>
  <c r="R131" i="9"/>
  <c r="Y131" i="9"/>
  <c r="P131" i="9"/>
  <c r="T131" i="9"/>
  <c r="Q283" i="9"/>
  <c r="S283" i="9"/>
  <c r="U283" i="9"/>
  <c r="W283" i="9"/>
  <c r="Y283" i="9"/>
  <c r="X283" i="9"/>
  <c r="Z283" i="9"/>
  <c r="P475" i="9"/>
  <c r="U475" i="9"/>
  <c r="T475" i="9"/>
  <c r="S475" i="9"/>
  <c r="Q475" i="9"/>
  <c r="Z475" i="9"/>
  <c r="Y151" i="9"/>
  <c r="P151" i="9"/>
  <c r="T151" i="9"/>
  <c r="X151" i="9"/>
  <c r="Q151" i="9"/>
  <c r="S151" i="9"/>
  <c r="Q268" i="9"/>
  <c r="R268" i="9"/>
  <c r="Z7" i="9"/>
  <c r="X125" i="9"/>
  <c r="Z159" i="9"/>
  <c r="P181" i="9"/>
  <c r="V211" i="9"/>
  <c r="S232" i="9"/>
  <c r="W236" i="9"/>
  <c r="S244" i="9"/>
  <c r="U302" i="9"/>
  <c r="Z399" i="9"/>
  <c r="Z437" i="9"/>
  <c r="U442" i="9"/>
  <c r="S494" i="9"/>
  <c r="X14" i="9"/>
  <c r="X44" i="9"/>
  <c r="Z96" i="9"/>
  <c r="Q172" i="9"/>
  <c r="R238" i="9"/>
  <c r="V244" i="9"/>
  <c r="P296" i="9"/>
  <c r="P360" i="9"/>
  <c r="V366" i="9"/>
  <c r="R7" i="9"/>
  <c r="Q61" i="9"/>
  <c r="U107" i="9"/>
  <c r="Z125" i="9"/>
  <c r="U151" i="9"/>
  <c r="W201" i="9"/>
  <c r="Q219" i="9"/>
  <c r="V424" i="9"/>
  <c r="P494" i="9"/>
  <c r="Q380" i="9"/>
  <c r="Z380" i="9"/>
  <c r="S380" i="9"/>
  <c r="T380" i="9"/>
  <c r="R151" i="9"/>
  <c r="W160" i="9"/>
  <c r="X181" i="9"/>
  <c r="Q186" i="9"/>
  <c r="P201" i="9"/>
  <c r="W232" i="9"/>
  <c r="P265" i="9"/>
  <c r="R393" i="9"/>
  <c r="U494" i="9"/>
  <c r="T44" i="9"/>
  <c r="X96" i="9"/>
  <c r="Z172" i="9"/>
  <c r="P238" i="9"/>
  <c r="Q437" i="9"/>
  <c r="Q463" i="9"/>
  <c r="U501" i="9"/>
  <c r="V7" i="9"/>
  <c r="Z61" i="9"/>
  <c r="S107" i="9"/>
  <c r="Q125" i="9"/>
  <c r="W159" i="9"/>
  <c r="U201" i="9"/>
  <c r="S238" i="9"/>
  <c r="T265" i="9"/>
  <c r="R271" i="9"/>
  <c r="R283" i="9"/>
  <c r="S296" i="9"/>
  <c r="T393" i="9"/>
  <c r="U430" i="9"/>
  <c r="R457" i="9"/>
  <c r="R463" i="9"/>
  <c r="V160" i="9"/>
  <c r="R302" i="9"/>
  <c r="U457" i="9"/>
  <c r="S463" i="9"/>
  <c r="W501" i="9"/>
  <c r="S7" i="9"/>
  <c r="X131" i="9"/>
  <c r="U159" i="9"/>
  <c r="X301" i="9"/>
  <c r="U301" i="9"/>
  <c r="P411" i="9"/>
  <c r="Z411" i="9"/>
  <c r="Y411" i="9"/>
  <c r="X411" i="9"/>
  <c r="W411" i="9"/>
  <c r="V411" i="9"/>
  <c r="U411" i="9"/>
  <c r="T411" i="9"/>
  <c r="X50" i="9"/>
  <c r="T78" i="9"/>
  <c r="Z151" i="9"/>
  <c r="U186" i="9"/>
  <c r="T201" i="9"/>
  <c r="Q238" i="9"/>
  <c r="Q242" i="9"/>
  <c r="P245" i="9"/>
  <c r="X66" i="9"/>
  <c r="V107" i="9"/>
  <c r="V131" i="9"/>
  <c r="Q170" i="9"/>
  <c r="Y186" i="9"/>
  <c r="X201" i="9"/>
  <c r="U238" i="9"/>
  <c r="T245" i="9"/>
  <c r="X265" i="9"/>
  <c r="V271" i="9"/>
  <c r="V283" i="9"/>
  <c r="T309" i="9"/>
  <c r="T373" i="9"/>
  <c r="U378" i="9"/>
  <c r="R411" i="9"/>
  <c r="W430" i="9"/>
  <c r="V457" i="9"/>
  <c r="T463" i="9"/>
  <c r="U108" i="9"/>
  <c r="Z142" i="9"/>
  <c r="T160" i="9"/>
  <c r="Z186" i="9"/>
  <c r="P302" i="9"/>
  <c r="V151" i="9"/>
  <c r="P283" i="9"/>
  <c r="R309" i="9"/>
  <c r="Q393" i="9"/>
  <c r="Q411" i="9"/>
  <c r="W457" i="9"/>
  <c r="W475" i="9"/>
  <c r="Q7" i="9"/>
  <c r="W57" i="9"/>
  <c r="Q131" i="9"/>
  <c r="T430" i="9"/>
  <c r="W302" i="9"/>
  <c r="Z406" i="9"/>
  <c r="T470" i="9"/>
  <c r="R400" i="9"/>
  <c r="V406" i="9"/>
  <c r="Q470" i="9"/>
  <c r="P406" i="9"/>
  <c r="T406" i="9"/>
  <c r="P470" i="9"/>
  <c r="P41" i="9"/>
  <c r="U41" i="9"/>
  <c r="R41" i="9"/>
  <c r="Q41" i="9"/>
  <c r="T41" i="9"/>
  <c r="V41" i="9"/>
  <c r="X41" i="9"/>
  <c r="Z41" i="9"/>
  <c r="S41" i="9"/>
  <c r="Y41" i="9"/>
  <c r="R169" i="9"/>
  <c r="X169" i="9"/>
  <c r="V169" i="9"/>
  <c r="P169" i="9"/>
  <c r="Z169" i="9"/>
  <c r="Q169" i="9"/>
  <c r="S169" i="9"/>
  <c r="U169" i="9"/>
  <c r="W169" i="9"/>
  <c r="S237" i="9"/>
  <c r="U237" i="9"/>
  <c r="W237" i="9"/>
  <c r="Y237" i="9"/>
  <c r="Z237" i="9"/>
  <c r="V237" i="9"/>
  <c r="W301" i="9"/>
  <c r="Y301" i="9"/>
  <c r="Z301" i="9"/>
  <c r="Q301" i="9"/>
  <c r="V301" i="9"/>
  <c r="T301" i="9"/>
  <c r="S301" i="9"/>
  <c r="R301" i="9"/>
  <c r="W365" i="9"/>
  <c r="P365" i="9"/>
  <c r="Y365" i="9"/>
  <c r="Z365" i="9"/>
  <c r="V365" i="9"/>
  <c r="Q365" i="9"/>
  <c r="R365" i="9"/>
  <c r="S365" i="9"/>
  <c r="X365" i="9"/>
  <c r="P429" i="9"/>
  <c r="Z429" i="9"/>
  <c r="Y429" i="9"/>
  <c r="X429" i="9"/>
  <c r="W429" i="9"/>
  <c r="V429" i="9"/>
  <c r="U429" i="9"/>
  <c r="T429" i="9"/>
  <c r="S429" i="9"/>
  <c r="R429" i="9"/>
  <c r="Q429" i="9"/>
  <c r="P493" i="9"/>
  <c r="Y493" i="9"/>
  <c r="W493" i="9"/>
  <c r="Z493" i="9"/>
  <c r="U493" i="9"/>
  <c r="X493" i="9"/>
  <c r="S493" i="9"/>
  <c r="V493" i="9"/>
  <c r="Q493" i="9"/>
  <c r="T493" i="9"/>
  <c r="R493" i="9"/>
  <c r="X26" i="9"/>
  <c r="Q26" i="9"/>
  <c r="R26" i="9"/>
  <c r="S26" i="9"/>
  <c r="Z26" i="9"/>
  <c r="U26" i="9"/>
  <c r="V26" i="9"/>
  <c r="W26" i="9"/>
  <c r="Y26" i="9"/>
  <c r="P26" i="9"/>
  <c r="U154" i="9"/>
  <c r="S154" i="9"/>
  <c r="W154" i="9"/>
  <c r="P154" i="9"/>
  <c r="R154" i="9"/>
  <c r="T154" i="9"/>
  <c r="V154" i="9"/>
  <c r="X154" i="9"/>
  <c r="S230" i="9"/>
  <c r="P230" i="9"/>
  <c r="R230" i="9"/>
  <c r="T230" i="9"/>
  <c r="V230" i="9"/>
  <c r="X230" i="9"/>
  <c r="Z230" i="9"/>
  <c r="S294" i="9"/>
  <c r="W294" i="9"/>
  <c r="V294" i="9"/>
  <c r="X294" i="9"/>
  <c r="U294" i="9"/>
  <c r="Z294" i="9"/>
  <c r="P294" i="9"/>
  <c r="R294" i="9"/>
  <c r="S358" i="9"/>
  <c r="W358" i="9"/>
  <c r="R358" i="9"/>
  <c r="T358" i="9"/>
  <c r="V358" i="9"/>
  <c r="X358" i="9"/>
  <c r="Y358" i="9"/>
  <c r="Z358" i="9"/>
  <c r="Q358" i="9"/>
  <c r="X422" i="9"/>
  <c r="Z422" i="9"/>
  <c r="Y422" i="9"/>
  <c r="W422" i="9"/>
  <c r="U422" i="9"/>
  <c r="Q422" i="9"/>
  <c r="S422" i="9"/>
  <c r="R422" i="9"/>
  <c r="T422" i="9"/>
  <c r="P422" i="9"/>
  <c r="Q486" i="9"/>
  <c r="R486" i="9"/>
  <c r="Y486" i="9"/>
  <c r="T486" i="9"/>
  <c r="W486" i="9"/>
  <c r="V486" i="9"/>
  <c r="U486" i="9"/>
  <c r="X486" i="9"/>
  <c r="S486" i="9"/>
  <c r="Z486" i="9"/>
  <c r="U91" i="9"/>
  <c r="Z91" i="9"/>
  <c r="W91" i="9"/>
  <c r="R91" i="9"/>
  <c r="Y91" i="9"/>
  <c r="P91" i="9"/>
  <c r="T91" i="9"/>
  <c r="X91" i="9"/>
  <c r="Q91" i="9"/>
  <c r="U199" i="9"/>
  <c r="W199" i="9"/>
  <c r="Y199" i="9"/>
  <c r="X199" i="9"/>
  <c r="T199" i="9"/>
  <c r="P199" i="9"/>
  <c r="Q199" i="9"/>
  <c r="U263" i="9"/>
  <c r="W263" i="9"/>
  <c r="Y263" i="9"/>
  <c r="X263" i="9"/>
  <c r="T263" i="9"/>
  <c r="V263" i="9"/>
  <c r="Q263" i="9"/>
  <c r="P263" i="9"/>
  <c r="Y327" i="9"/>
  <c r="Z327" i="9"/>
  <c r="V327" i="9"/>
  <c r="R327" i="9"/>
  <c r="X327" i="9"/>
  <c r="Q327" i="9"/>
  <c r="T327" i="9"/>
  <c r="S327" i="9"/>
  <c r="P327" i="9"/>
  <c r="U327" i="9"/>
  <c r="P391" i="9"/>
  <c r="Y391" i="9"/>
  <c r="Z391" i="9"/>
  <c r="W391" i="9"/>
  <c r="X391" i="9"/>
  <c r="U391" i="9"/>
  <c r="V391" i="9"/>
  <c r="S391" i="9"/>
  <c r="T391" i="9"/>
  <c r="Q391" i="9"/>
  <c r="R391" i="9"/>
  <c r="P455" i="9"/>
  <c r="T455" i="9"/>
  <c r="Y455" i="9"/>
  <c r="R455" i="9"/>
  <c r="W455" i="9"/>
  <c r="U455" i="9"/>
  <c r="S455" i="9"/>
  <c r="Q455" i="9"/>
  <c r="Z455" i="9"/>
  <c r="X455" i="9"/>
  <c r="Q15" i="9"/>
  <c r="V15" i="9"/>
  <c r="S15" i="9"/>
  <c r="Z15" i="9"/>
  <c r="U15" i="9"/>
  <c r="R15" i="9"/>
  <c r="W15" i="9"/>
  <c r="Y15" i="9"/>
  <c r="P15" i="9"/>
  <c r="T15" i="9"/>
  <c r="S143" i="9"/>
  <c r="U143" i="9"/>
  <c r="W143" i="9"/>
  <c r="Y143" i="9"/>
  <c r="P143" i="9"/>
  <c r="T143" i="9"/>
  <c r="V143" i="9"/>
  <c r="X143" i="9"/>
  <c r="Q224" i="9"/>
  <c r="U224" i="9"/>
  <c r="Y224" i="9"/>
  <c r="P224" i="9"/>
  <c r="R224" i="9"/>
  <c r="T224" i="9"/>
  <c r="V224" i="9"/>
  <c r="X224" i="9"/>
  <c r="Q288" i="9"/>
  <c r="P288" i="9"/>
  <c r="R288" i="9"/>
  <c r="Y288" i="9"/>
  <c r="T288" i="9"/>
  <c r="U288" i="9"/>
  <c r="V288" i="9"/>
  <c r="S288" i="9"/>
  <c r="X288" i="9"/>
  <c r="Q352" i="9"/>
  <c r="Y352" i="9"/>
  <c r="P352" i="9"/>
  <c r="W352" i="9"/>
  <c r="R352" i="9"/>
  <c r="S352" i="9"/>
  <c r="U352" i="9"/>
  <c r="T352" i="9"/>
  <c r="V352" i="9"/>
  <c r="X352" i="9"/>
  <c r="Z352" i="9"/>
  <c r="T416" i="9"/>
  <c r="Q416" i="9"/>
  <c r="R416" i="9"/>
  <c r="V416" i="9"/>
  <c r="X416" i="9"/>
  <c r="Y416" i="9"/>
  <c r="Z416" i="9"/>
  <c r="W416" i="9"/>
  <c r="U416" i="9"/>
  <c r="T480" i="9"/>
  <c r="X480" i="9"/>
  <c r="P480" i="9"/>
  <c r="Z480" i="9"/>
  <c r="Y480" i="9"/>
  <c r="W480" i="9"/>
  <c r="R480" i="9"/>
  <c r="U480" i="9"/>
  <c r="S480" i="9"/>
  <c r="Q480" i="9"/>
  <c r="V81" i="9"/>
  <c r="X81" i="9"/>
  <c r="Z81" i="9"/>
  <c r="Q81" i="9"/>
  <c r="U81" i="9"/>
  <c r="P81" i="9"/>
  <c r="Y81" i="9"/>
  <c r="R81" i="9"/>
  <c r="W81" i="9"/>
  <c r="W193" i="9"/>
  <c r="Y193" i="9"/>
  <c r="Z193" i="9"/>
  <c r="Q193" i="9"/>
  <c r="V193" i="9"/>
  <c r="S193" i="9"/>
  <c r="R193" i="9"/>
  <c r="W257" i="9"/>
  <c r="Y257" i="9"/>
  <c r="Q257" i="9"/>
  <c r="Z257" i="9"/>
  <c r="S257" i="9"/>
  <c r="V257" i="9"/>
  <c r="X321" i="9"/>
  <c r="T321" i="9"/>
  <c r="Q321" i="9"/>
  <c r="P321" i="9"/>
  <c r="S321" i="9"/>
  <c r="Z321" i="9"/>
  <c r="U321" i="9"/>
  <c r="V321" i="9"/>
  <c r="W321" i="9"/>
  <c r="R321" i="9"/>
  <c r="P385" i="9"/>
  <c r="T385" i="9"/>
  <c r="Y385" i="9"/>
  <c r="R385" i="9"/>
  <c r="W385" i="9"/>
  <c r="U385" i="9"/>
  <c r="S385" i="9"/>
  <c r="Q385" i="9"/>
  <c r="Z385" i="9"/>
  <c r="X385" i="9"/>
  <c r="P449" i="9"/>
  <c r="Y449" i="9"/>
  <c r="Z449" i="9"/>
  <c r="W449" i="9"/>
  <c r="X449" i="9"/>
  <c r="U449" i="9"/>
  <c r="V449" i="9"/>
  <c r="S449" i="9"/>
  <c r="T449" i="9"/>
  <c r="Q449" i="9"/>
  <c r="R449" i="9"/>
  <c r="S168" i="9"/>
  <c r="X168" i="9"/>
  <c r="Z168" i="9"/>
  <c r="Q168" i="9"/>
  <c r="U168" i="9"/>
  <c r="P168" i="9"/>
  <c r="Y168" i="9"/>
  <c r="R168" i="9"/>
  <c r="T168" i="9"/>
  <c r="S104" i="9"/>
  <c r="V104" i="9"/>
  <c r="X104" i="9"/>
  <c r="Z104" i="9"/>
  <c r="Q104" i="9"/>
  <c r="U104" i="9"/>
  <c r="P104" i="9"/>
  <c r="Y104" i="9"/>
  <c r="R104" i="9"/>
  <c r="R40" i="9"/>
  <c r="V40" i="9"/>
  <c r="Z40" i="9"/>
  <c r="Q40" i="9"/>
  <c r="P40" i="9"/>
  <c r="S40" i="9"/>
  <c r="X40" i="9"/>
  <c r="U40" i="9"/>
  <c r="W40" i="9"/>
  <c r="Q150" i="9"/>
  <c r="Z150" i="9"/>
  <c r="S150" i="9"/>
  <c r="W150" i="9"/>
  <c r="P150" i="9"/>
  <c r="R150" i="9"/>
  <c r="Y150" i="9"/>
  <c r="T150" i="9"/>
  <c r="V150" i="9"/>
  <c r="T86" i="9"/>
  <c r="Y86" i="9"/>
  <c r="R86" i="9"/>
  <c r="V86" i="9"/>
  <c r="Z86" i="9"/>
  <c r="Q86" i="9"/>
  <c r="P86" i="9"/>
  <c r="S86" i="9"/>
  <c r="X86" i="9"/>
  <c r="U86" i="9"/>
  <c r="U22" i="9"/>
  <c r="W22" i="9"/>
  <c r="Y22" i="9"/>
  <c r="P22" i="9"/>
  <c r="T22" i="9"/>
  <c r="X22" i="9"/>
  <c r="Q22" i="9"/>
  <c r="V22" i="9"/>
  <c r="Q133" i="9"/>
  <c r="S133" i="9"/>
  <c r="U133" i="9"/>
  <c r="W133" i="9"/>
  <c r="T133" i="9"/>
  <c r="Y133" i="9"/>
  <c r="R133" i="9"/>
  <c r="V133" i="9"/>
  <c r="Z69" i="9"/>
  <c r="Q69" i="9"/>
  <c r="U69" i="9"/>
  <c r="P69" i="9"/>
  <c r="Y69" i="9"/>
  <c r="R69" i="9"/>
  <c r="S69" i="9"/>
  <c r="T69" i="9"/>
  <c r="V69" i="9"/>
  <c r="R5" i="9"/>
  <c r="V5" i="9"/>
  <c r="Z5" i="9"/>
  <c r="P5" i="9"/>
  <c r="Q5" i="9"/>
  <c r="T5" i="9"/>
  <c r="S5" i="9"/>
  <c r="X5" i="9"/>
  <c r="U5" i="9"/>
  <c r="W5" i="9"/>
  <c r="W116" i="9"/>
  <c r="Q116" i="9"/>
  <c r="U116" i="9"/>
  <c r="P116" i="9"/>
  <c r="Y116" i="9"/>
  <c r="R116" i="9"/>
  <c r="T116" i="9"/>
  <c r="V116" i="9"/>
  <c r="X116" i="9"/>
  <c r="Z52" i="9"/>
  <c r="Y52" i="9"/>
  <c r="P52" i="9"/>
  <c r="T52" i="9"/>
  <c r="X52" i="9"/>
  <c r="Q52" i="9"/>
  <c r="V52" i="9"/>
  <c r="S52" i="9"/>
  <c r="U52" i="9"/>
  <c r="P50" i="9"/>
  <c r="W50" i="9"/>
  <c r="Y50" i="9"/>
  <c r="R50" i="9"/>
  <c r="V50" i="9"/>
  <c r="Z50" i="9"/>
  <c r="Q50" i="9"/>
  <c r="T50" i="9"/>
  <c r="S50" i="9"/>
  <c r="U178" i="9"/>
  <c r="W178" i="9"/>
  <c r="P178" i="9"/>
  <c r="R178" i="9"/>
  <c r="T178" i="9"/>
  <c r="V178" i="9"/>
  <c r="X178" i="9"/>
  <c r="Z178" i="9"/>
  <c r="P242" i="9"/>
  <c r="R242" i="9"/>
  <c r="S242" i="9"/>
  <c r="T242" i="9"/>
  <c r="W242" i="9"/>
  <c r="V242" i="9"/>
  <c r="X242" i="9"/>
  <c r="Z306" i="9"/>
  <c r="Y306" i="9"/>
  <c r="U306" i="9"/>
  <c r="P306" i="9"/>
  <c r="Q306" i="9"/>
  <c r="R306" i="9"/>
  <c r="T306" i="9"/>
  <c r="S306" i="9"/>
  <c r="V306" i="9"/>
  <c r="T370" i="9"/>
  <c r="P370" i="9"/>
  <c r="Y370" i="9"/>
  <c r="V370" i="9"/>
  <c r="R370" i="9"/>
  <c r="W370" i="9"/>
  <c r="U370" i="9"/>
  <c r="S370" i="9"/>
  <c r="X370" i="9"/>
  <c r="Q370" i="9"/>
  <c r="T434" i="9"/>
  <c r="Q434" i="9"/>
  <c r="Y434" i="9"/>
  <c r="Z434" i="9"/>
  <c r="W434" i="9"/>
  <c r="P434" i="9"/>
  <c r="U434" i="9"/>
  <c r="R434" i="9"/>
  <c r="S434" i="9"/>
  <c r="X434" i="9"/>
  <c r="V434" i="9"/>
  <c r="Q498" i="9"/>
  <c r="Z498" i="9"/>
  <c r="V498" i="9"/>
  <c r="Y498" i="9"/>
  <c r="X498" i="9"/>
  <c r="W498" i="9"/>
  <c r="R498" i="9"/>
  <c r="U498" i="9"/>
  <c r="S498" i="9"/>
  <c r="P498" i="9"/>
  <c r="Y115" i="9"/>
  <c r="P115" i="9"/>
  <c r="T115" i="9"/>
  <c r="X115" i="9"/>
  <c r="Z115" i="9"/>
  <c r="Q115" i="9"/>
  <c r="R115" i="9"/>
  <c r="S115" i="9"/>
  <c r="U115" i="9"/>
  <c r="T211" i="9"/>
  <c r="Q211" i="9"/>
  <c r="P211" i="9"/>
  <c r="S211" i="9"/>
  <c r="U211" i="9"/>
  <c r="W211" i="9"/>
  <c r="Y211" i="9"/>
  <c r="Q275" i="9"/>
  <c r="P275" i="9"/>
  <c r="S275" i="9"/>
  <c r="U275" i="9"/>
  <c r="W275" i="9"/>
  <c r="Y275" i="9"/>
  <c r="Z275" i="9"/>
  <c r="X275" i="9"/>
  <c r="U339" i="9"/>
  <c r="P339" i="9"/>
  <c r="V339" i="9"/>
  <c r="W339" i="9"/>
  <c r="R339" i="9"/>
  <c r="Y339" i="9"/>
  <c r="Q339" i="9"/>
  <c r="X339" i="9"/>
  <c r="P403" i="9"/>
  <c r="S403" i="9"/>
  <c r="Q403" i="9"/>
  <c r="Z403" i="9"/>
  <c r="X403" i="9"/>
  <c r="V403" i="9"/>
  <c r="T403" i="9"/>
  <c r="Y403" i="9"/>
  <c r="R403" i="9"/>
  <c r="W403" i="9"/>
  <c r="P467" i="9"/>
  <c r="Q467" i="9"/>
  <c r="R467" i="9"/>
  <c r="Y467" i="9"/>
  <c r="Z467" i="9"/>
  <c r="W467" i="9"/>
  <c r="X467" i="9"/>
  <c r="U467" i="9"/>
  <c r="V467" i="9"/>
  <c r="S23" i="9"/>
  <c r="R23" i="9"/>
  <c r="Q167" i="9"/>
  <c r="W167" i="9"/>
  <c r="Q316" i="9"/>
  <c r="V316" i="9"/>
  <c r="X316" i="9"/>
  <c r="Z316" i="9"/>
  <c r="U316" i="9"/>
  <c r="Y316" i="9"/>
  <c r="P316" i="9"/>
  <c r="S316" i="9"/>
  <c r="R316" i="9"/>
  <c r="Q244" i="9"/>
  <c r="X244" i="9"/>
  <c r="Z244" i="9"/>
  <c r="P244" i="9"/>
  <c r="U244" i="9"/>
  <c r="R244" i="9"/>
  <c r="Y244" i="9"/>
  <c r="T244" i="9"/>
  <c r="U103" i="9"/>
  <c r="W103" i="9"/>
  <c r="Y103" i="9"/>
  <c r="P103" i="9"/>
  <c r="T103" i="9"/>
  <c r="V103" i="9"/>
  <c r="X103" i="9"/>
  <c r="Q103" i="9"/>
  <c r="W180" i="9"/>
  <c r="P180" i="9"/>
  <c r="Y180" i="9"/>
  <c r="R180" i="9"/>
  <c r="T180" i="9"/>
  <c r="V180" i="9"/>
  <c r="X180" i="9"/>
  <c r="Z180" i="9"/>
  <c r="Q180" i="9"/>
  <c r="V199" i="9"/>
  <c r="S224" i="9"/>
  <c r="T257" i="9"/>
  <c r="R263" i="9"/>
  <c r="R22" i="9"/>
  <c r="W52" i="9"/>
  <c r="T316" i="9"/>
  <c r="X211" i="9"/>
  <c r="R237" i="9"/>
  <c r="T275" i="9"/>
  <c r="X69" i="9"/>
  <c r="Q143" i="9"/>
  <c r="S199" i="9"/>
  <c r="W327" i="9"/>
  <c r="V480" i="9"/>
  <c r="T498" i="9"/>
  <c r="X257" i="9"/>
  <c r="Z263" i="9"/>
  <c r="Q294" i="9"/>
  <c r="T365" i="9"/>
  <c r="S22" i="9"/>
  <c r="Y40" i="9"/>
  <c r="Z116" i="9"/>
  <c r="X150" i="9"/>
  <c r="V168" i="9"/>
  <c r="W115" i="9"/>
  <c r="W306" i="9"/>
  <c r="Y294" i="9"/>
  <c r="V385" i="9"/>
  <c r="Z288" i="9"/>
  <c r="T294" i="9"/>
  <c r="S339" i="9"/>
  <c r="P486" i="9"/>
  <c r="Q154" i="9"/>
  <c r="Z154" i="9"/>
  <c r="P358" i="9"/>
  <c r="S467" i="9"/>
  <c r="Y169" i="9"/>
  <c r="P237" i="9"/>
  <c r="P301" i="9"/>
  <c r="T26" i="9"/>
  <c r="Z242" i="9"/>
  <c r="W41" i="9"/>
  <c r="U257" i="9"/>
  <c r="P416" i="9"/>
  <c r="T81" i="9"/>
  <c r="S91" i="9"/>
  <c r="U193" i="9"/>
  <c r="Y321" i="9"/>
  <c r="W230" i="9"/>
  <c r="V422" i="9"/>
  <c r="U230" i="9"/>
  <c r="X237" i="9"/>
  <c r="U358" i="9"/>
  <c r="S416" i="9"/>
  <c r="T104" i="9"/>
  <c r="R257" i="9"/>
  <c r="Y5" i="9"/>
  <c r="S103" i="9"/>
  <c r="Z133" i="9"/>
  <c r="Q237" i="9"/>
  <c r="Z370" i="9"/>
  <c r="V379" i="9"/>
  <c r="X495" i="9"/>
  <c r="R64" i="9"/>
  <c r="X110" i="9"/>
  <c r="R130" i="9"/>
  <c r="W174" i="9"/>
  <c r="T220" i="9"/>
  <c r="T268" i="9"/>
  <c r="R300" i="9"/>
  <c r="X328" i="9"/>
  <c r="T346" i="9"/>
  <c r="X121" i="9"/>
  <c r="T33" i="9"/>
  <c r="T95" i="9"/>
  <c r="V380" i="9"/>
  <c r="Y300" i="9"/>
  <c r="Y270" i="9"/>
  <c r="U346" i="9"/>
  <c r="P361" i="9"/>
  <c r="U380" i="9"/>
  <c r="R431" i="9"/>
  <c r="R469" i="9"/>
  <c r="U474" i="9"/>
  <c r="Q64" i="9"/>
  <c r="V76" i="9"/>
  <c r="P220" i="9"/>
  <c r="P268" i="9"/>
  <c r="X292" i="9"/>
  <c r="Z340" i="9"/>
  <c r="Y379" i="9"/>
  <c r="U431" i="9"/>
  <c r="W469" i="9"/>
  <c r="S233" i="9"/>
  <c r="Q367" i="9"/>
  <c r="Y220" i="9"/>
  <c r="Y292" i="9"/>
  <c r="R380" i="9"/>
  <c r="Q110" i="9"/>
  <c r="S220" i="9"/>
  <c r="S300" i="9"/>
  <c r="W380" i="9"/>
  <c r="W392" i="9"/>
  <c r="X431" i="9"/>
  <c r="X489" i="9"/>
  <c r="Z46" i="9"/>
  <c r="P76" i="9"/>
  <c r="Z218" i="9"/>
  <c r="R270" i="9"/>
  <c r="V292" i="9"/>
  <c r="X340" i="9"/>
  <c r="R171" i="9"/>
  <c r="X43" i="9"/>
  <c r="V157" i="9"/>
  <c r="U220" i="9"/>
  <c r="U292" i="9"/>
  <c r="P380" i="9"/>
  <c r="W220" i="9"/>
  <c r="U282" i="9"/>
  <c r="S292" i="9"/>
  <c r="W300" i="9"/>
  <c r="Y380" i="9"/>
  <c r="W456" i="9"/>
  <c r="Y12" i="9"/>
  <c r="U46" i="9"/>
  <c r="Q76" i="9"/>
  <c r="S106" i="9"/>
  <c r="U140" i="9"/>
  <c r="X200" i="9"/>
  <c r="T218" i="9"/>
  <c r="Z282" i="9"/>
  <c r="T292" i="9"/>
  <c r="Z300" i="9"/>
  <c r="V340" i="9"/>
  <c r="X187" i="9"/>
  <c r="X251" i="9"/>
  <c r="R297" i="9"/>
  <c r="S489" i="9"/>
  <c r="V161" i="9"/>
  <c r="X380" i="9"/>
  <c r="Q292" i="9"/>
  <c r="Y340" i="9"/>
  <c r="Y206" i="9"/>
  <c r="S268" i="9"/>
  <c r="W292" i="9"/>
  <c r="V12" i="9"/>
  <c r="V106" i="9"/>
  <c r="X128" i="9"/>
  <c r="X140" i="9"/>
  <c r="Z220" i="9"/>
  <c r="Z268" i="9"/>
  <c r="T282" i="9"/>
  <c r="R292" i="9"/>
  <c r="X300" i="9"/>
  <c r="R334" i="9"/>
  <c r="T340" i="9"/>
  <c r="P161" i="9"/>
  <c r="W405" i="9"/>
  <c r="S29" i="9"/>
  <c r="V121" i="9"/>
  <c r="Q239" i="9"/>
  <c r="W206" i="9"/>
  <c r="U300" i="9"/>
  <c r="W268" i="9"/>
  <c r="P297" i="9"/>
  <c r="S340" i="9"/>
  <c r="X425" i="9"/>
  <c r="P12" i="9"/>
  <c r="R128" i="9"/>
  <c r="X220" i="9"/>
  <c r="X264" i="9"/>
  <c r="X268" i="9"/>
  <c r="V300" i="9"/>
  <c r="R340" i="9"/>
  <c r="S297" i="9"/>
  <c r="U268" i="9"/>
  <c r="Q300" i="9"/>
  <c r="U218" i="9"/>
  <c r="Y334" i="9"/>
  <c r="W340" i="9"/>
  <c r="R495" i="9"/>
  <c r="W110" i="9"/>
  <c r="X130" i="9"/>
  <c r="V220" i="9"/>
  <c r="V268" i="9"/>
  <c r="P340" i="9"/>
  <c r="Z346" i="9"/>
  <c r="X315" i="9"/>
  <c r="R361" i="9"/>
  <c r="S425" i="9"/>
  <c r="Y443" i="9"/>
  <c r="U495" i="9"/>
  <c r="V67" i="9"/>
  <c r="V93" i="9"/>
  <c r="T171" i="9"/>
  <c r="S361" i="9"/>
  <c r="Q474" i="9"/>
  <c r="Y268" i="9"/>
  <c r="Q340" i="9"/>
  <c r="U153" i="9"/>
  <c r="W153" i="9"/>
  <c r="Y153" i="9"/>
  <c r="X153" i="9"/>
  <c r="R153" i="9"/>
  <c r="P153" i="9"/>
  <c r="Z153" i="9"/>
  <c r="Q153" i="9"/>
  <c r="Q357" i="9"/>
  <c r="S357" i="9"/>
  <c r="U357" i="9"/>
  <c r="Z357" i="9"/>
  <c r="W357" i="9"/>
  <c r="V357" i="9"/>
  <c r="P485" i="9"/>
  <c r="Y485" i="9"/>
  <c r="W485" i="9"/>
  <c r="U485" i="9"/>
  <c r="Q485" i="9"/>
  <c r="T414" i="9"/>
  <c r="V414" i="9"/>
  <c r="X414" i="9"/>
  <c r="Z414" i="9"/>
  <c r="Q414" i="9"/>
  <c r="P414" i="9"/>
  <c r="V75" i="9"/>
  <c r="X75" i="9"/>
  <c r="Z75" i="9"/>
  <c r="S75" i="9"/>
  <c r="P75" i="9"/>
  <c r="Q75" i="9"/>
  <c r="R75" i="9"/>
  <c r="Y75" i="9"/>
  <c r="X319" i="9"/>
  <c r="T319" i="9"/>
  <c r="Q319" i="9"/>
  <c r="P319" i="9"/>
  <c r="S319" i="9"/>
  <c r="W319" i="9"/>
  <c r="Y319" i="9"/>
  <c r="P447" i="9"/>
  <c r="Q447" i="9"/>
  <c r="W447" i="9"/>
  <c r="U447" i="9"/>
  <c r="U127" i="9"/>
  <c r="W127" i="9"/>
  <c r="Y127" i="9"/>
  <c r="P127" i="9"/>
  <c r="X127" i="9"/>
  <c r="Q127" i="9"/>
  <c r="V127" i="9"/>
  <c r="Q344" i="9"/>
  <c r="U344" i="9"/>
  <c r="P408" i="9"/>
  <c r="V408" i="9"/>
  <c r="X408" i="9"/>
  <c r="R408" i="9"/>
  <c r="Z408" i="9"/>
  <c r="T408" i="9"/>
  <c r="P472" i="9"/>
  <c r="R472" i="9"/>
  <c r="T472" i="9"/>
  <c r="Q472" i="9"/>
  <c r="X472" i="9"/>
  <c r="Z472" i="9"/>
  <c r="V65" i="9"/>
  <c r="X65" i="9"/>
  <c r="Z65" i="9"/>
  <c r="Q65" i="9"/>
  <c r="P65" i="9"/>
  <c r="Y65" i="9"/>
  <c r="R65" i="9"/>
  <c r="W65" i="9"/>
  <c r="Q185" i="9"/>
  <c r="S185" i="9"/>
  <c r="U185" i="9"/>
  <c r="W185" i="9"/>
  <c r="Z185" i="9"/>
  <c r="R185" i="9"/>
  <c r="Q249" i="9"/>
  <c r="S249" i="9"/>
  <c r="W249" i="9"/>
  <c r="Z249" i="9"/>
  <c r="Y249" i="9"/>
  <c r="V249" i="9"/>
  <c r="Y313" i="9"/>
  <c r="V313" i="9"/>
  <c r="R313" i="9"/>
  <c r="S313" i="9"/>
  <c r="U313" i="9"/>
  <c r="P377" i="9"/>
  <c r="Y377" i="9"/>
  <c r="W377" i="9"/>
  <c r="U377" i="9"/>
  <c r="S377" i="9"/>
  <c r="P441" i="9"/>
  <c r="W441" i="9"/>
  <c r="U441" i="9"/>
  <c r="S441" i="9"/>
  <c r="Q441" i="9"/>
  <c r="Q158" i="9"/>
  <c r="Y158" i="9"/>
  <c r="U141" i="9"/>
  <c r="W141" i="9"/>
  <c r="Y141" i="9"/>
  <c r="R141" i="9"/>
  <c r="T141" i="9"/>
  <c r="Z141" i="9"/>
  <c r="Q141" i="9"/>
  <c r="Z77" i="9"/>
  <c r="Q77" i="9"/>
  <c r="U77" i="9"/>
  <c r="P77" i="9"/>
  <c r="Y77" i="9"/>
  <c r="W77" i="9"/>
  <c r="T77" i="9"/>
  <c r="V77" i="9"/>
  <c r="Q13" i="9"/>
  <c r="T13" i="9"/>
  <c r="S13" i="9"/>
  <c r="P13" i="9"/>
  <c r="U13" i="9"/>
  <c r="W13" i="9"/>
  <c r="R13" i="9"/>
  <c r="V13" i="9"/>
  <c r="W362" i="9"/>
  <c r="X362" i="9"/>
  <c r="R362" i="9"/>
  <c r="V426" i="9"/>
  <c r="T426" i="9"/>
  <c r="Q426" i="9"/>
  <c r="X426" i="9"/>
  <c r="Z426" i="9"/>
  <c r="R426" i="9"/>
  <c r="V490" i="9"/>
  <c r="R490" i="9"/>
  <c r="T490" i="9"/>
  <c r="Z490" i="9"/>
  <c r="Q490" i="9"/>
  <c r="S99" i="9"/>
  <c r="U99" i="9"/>
  <c r="Z99" i="9"/>
  <c r="W99" i="9"/>
  <c r="R99" i="9"/>
  <c r="Y99" i="9"/>
  <c r="T99" i="9"/>
  <c r="X99" i="9"/>
  <c r="Q203" i="9"/>
  <c r="S203" i="9"/>
  <c r="U203" i="9"/>
  <c r="X203" i="9"/>
  <c r="W203" i="9"/>
  <c r="T203" i="9"/>
  <c r="Q267" i="9"/>
  <c r="S267" i="9"/>
  <c r="W267" i="9"/>
  <c r="T267" i="9"/>
  <c r="Y267" i="9"/>
  <c r="P267" i="9"/>
  <c r="V34" i="9"/>
  <c r="S65" i="9"/>
  <c r="S124" i="9"/>
  <c r="Q138" i="9"/>
  <c r="U222" i="9"/>
  <c r="Y234" i="9"/>
  <c r="S280" i="9"/>
  <c r="Y286" i="9"/>
  <c r="R331" i="9"/>
  <c r="W344" i="9"/>
  <c r="S348" i="9"/>
  <c r="P357" i="9"/>
  <c r="R377" i="9"/>
  <c r="T383" i="9"/>
  <c r="Y408" i="9"/>
  <c r="Y414" i="9"/>
  <c r="Z421" i="9"/>
  <c r="U426" i="9"/>
  <c r="T441" i="9"/>
  <c r="V447" i="9"/>
  <c r="W490" i="9"/>
  <c r="Q10" i="9"/>
  <c r="R10" i="9"/>
  <c r="U30" i="9"/>
  <c r="X34" i="9"/>
  <c r="P48" i="9"/>
  <c r="P60" i="9"/>
  <c r="W94" i="9"/>
  <c r="Y112" i="9"/>
  <c r="P112" i="9"/>
  <c r="V124" i="9"/>
  <c r="R138" i="9"/>
  <c r="W158" i="9"/>
  <c r="P162" i="9"/>
  <c r="Q176" i="9"/>
  <c r="V216" i="9"/>
  <c r="R222" i="9"/>
  <c r="Z234" i="9"/>
  <c r="Z280" i="9"/>
  <c r="V286" i="9"/>
  <c r="X350" i="9"/>
  <c r="Y441" i="9"/>
  <c r="Y343" i="9"/>
  <c r="V472" i="9"/>
  <c r="X478" i="9"/>
  <c r="Z478" i="9"/>
  <c r="R478" i="9"/>
  <c r="P478" i="9"/>
  <c r="T478" i="9"/>
  <c r="X420" i="9"/>
  <c r="Q420" i="9"/>
  <c r="P420" i="9"/>
  <c r="R420" i="9"/>
  <c r="T420" i="9"/>
  <c r="V99" i="9"/>
  <c r="W112" i="9"/>
  <c r="Y138" i="9"/>
  <c r="U158" i="9"/>
  <c r="S216" i="9"/>
  <c r="Y222" i="9"/>
  <c r="R267" i="9"/>
  <c r="W280" i="9"/>
  <c r="P293" i="9"/>
  <c r="R319" i="9"/>
  <c r="W348" i="9"/>
  <c r="T357" i="9"/>
  <c r="T377" i="9"/>
  <c r="V383" i="9"/>
  <c r="U420" i="9"/>
  <c r="W426" i="9"/>
  <c r="V441" i="9"/>
  <c r="X447" i="9"/>
  <c r="R459" i="9"/>
  <c r="Y490" i="9"/>
  <c r="U10" i="9"/>
  <c r="P10" i="9"/>
  <c r="Z30" i="9"/>
  <c r="S30" i="9"/>
  <c r="T34" i="9"/>
  <c r="Y48" i="9"/>
  <c r="Y60" i="9"/>
  <c r="S94" i="9"/>
  <c r="U112" i="9"/>
  <c r="T124" i="9"/>
  <c r="P138" i="9"/>
  <c r="S158" i="9"/>
  <c r="W162" i="9"/>
  <c r="Z176" i="9"/>
  <c r="T216" i="9"/>
  <c r="P222" i="9"/>
  <c r="X234" i="9"/>
  <c r="X280" i="9"/>
  <c r="T286" i="9"/>
  <c r="T350" i="9"/>
  <c r="Z362" i="9"/>
  <c r="V185" i="9"/>
  <c r="Z313" i="9"/>
  <c r="S383" i="9"/>
  <c r="U65" i="9"/>
  <c r="Y185" i="9"/>
  <c r="U249" i="9"/>
  <c r="W313" i="9"/>
  <c r="V420" i="9"/>
  <c r="Q478" i="9"/>
  <c r="Y331" i="9"/>
  <c r="P331" i="9"/>
  <c r="S331" i="9"/>
  <c r="U331" i="9"/>
  <c r="X331" i="9"/>
  <c r="X13" i="9"/>
  <c r="R203" i="9"/>
  <c r="W216" i="9"/>
  <c r="P229" i="9"/>
  <c r="R255" i="9"/>
  <c r="V267" i="9"/>
  <c r="V319" i="9"/>
  <c r="Z331" i="9"/>
  <c r="X357" i="9"/>
  <c r="V377" i="9"/>
  <c r="X383" i="9"/>
  <c r="R395" i="9"/>
  <c r="W420" i="9"/>
  <c r="Y426" i="9"/>
  <c r="X441" i="9"/>
  <c r="Z447" i="9"/>
  <c r="W10" i="9"/>
  <c r="V30" i="9"/>
  <c r="Q30" i="9"/>
  <c r="P34" i="9"/>
  <c r="W48" i="9"/>
  <c r="W60" i="9"/>
  <c r="Z94" i="9"/>
  <c r="Q112" i="9"/>
  <c r="R124" i="9"/>
  <c r="W138" i="9"/>
  <c r="Z158" i="9"/>
  <c r="S162" i="9"/>
  <c r="X176" i="9"/>
  <c r="V234" i="9"/>
  <c r="V280" i="9"/>
  <c r="R286" i="9"/>
  <c r="Z298" i="9"/>
  <c r="Z344" i="9"/>
  <c r="Z348" i="9"/>
  <c r="R350" i="9"/>
  <c r="V362" i="9"/>
  <c r="Y383" i="9"/>
  <c r="S421" i="9"/>
  <c r="T65" i="9"/>
  <c r="W75" i="9"/>
  <c r="V153" i="9"/>
  <c r="W229" i="9"/>
  <c r="Q313" i="9"/>
  <c r="Q408" i="9"/>
  <c r="P490" i="9"/>
  <c r="R73" i="9"/>
  <c r="W73" i="9"/>
  <c r="T73" i="9"/>
  <c r="V73" i="9"/>
  <c r="X73" i="9"/>
  <c r="Q73" i="9"/>
  <c r="U73" i="9"/>
  <c r="V189" i="9"/>
  <c r="R189" i="9"/>
  <c r="Q189" i="9"/>
  <c r="U189" i="9"/>
  <c r="W189" i="9"/>
  <c r="W253" i="9"/>
  <c r="Y253" i="9"/>
  <c r="Z253" i="9"/>
  <c r="V253" i="9"/>
  <c r="R253" i="9"/>
  <c r="Q253" i="9"/>
  <c r="S253" i="9"/>
  <c r="S317" i="9"/>
  <c r="U317" i="9"/>
  <c r="W317" i="9"/>
  <c r="Y317" i="9"/>
  <c r="Z317" i="9"/>
  <c r="R317" i="9"/>
  <c r="P381" i="9"/>
  <c r="Y381" i="9"/>
  <c r="W381" i="9"/>
  <c r="U381" i="9"/>
  <c r="Q381" i="9"/>
  <c r="P445" i="9"/>
  <c r="Y445" i="9"/>
  <c r="W445" i="9"/>
  <c r="U445" i="9"/>
  <c r="Q445" i="9"/>
  <c r="Q182" i="9"/>
  <c r="Y182" i="9"/>
  <c r="S246" i="9"/>
  <c r="W246" i="9"/>
  <c r="S310" i="9"/>
  <c r="W310" i="9"/>
  <c r="P374" i="9"/>
  <c r="Q374" i="9"/>
  <c r="R374" i="9"/>
  <c r="V374" i="9"/>
  <c r="X374" i="9"/>
  <c r="Z438" i="9"/>
  <c r="Q438" i="9"/>
  <c r="T438" i="9"/>
  <c r="V438" i="9"/>
  <c r="Q502" i="9"/>
  <c r="T502" i="9"/>
  <c r="P502" i="9"/>
  <c r="X502" i="9"/>
  <c r="V502" i="9"/>
  <c r="Z502" i="9"/>
  <c r="U123" i="9"/>
  <c r="Z123" i="9"/>
  <c r="W123" i="9"/>
  <c r="R123" i="9"/>
  <c r="Y123" i="9"/>
  <c r="P123" i="9"/>
  <c r="X123" i="9"/>
  <c r="Q123" i="9"/>
  <c r="S215" i="9"/>
  <c r="U215" i="9"/>
  <c r="W215" i="9"/>
  <c r="Y215" i="9"/>
  <c r="X215" i="9"/>
  <c r="P215" i="9"/>
  <c r="Q279" i="9"/>
  <c r="S279" i="9"/>
  <c r="U279" i="9"/>
  <c r="Y279" i="9"/>
  <c r="X279" i="9"/>
  <c r="T279" i="9"/>
  <c r="T343" i="9"/>
  <c r="P343" i="9"/>
  <c r="Q343" i="9"/>
  <c r="U343" i="9"/>
  <c r="W343" i="9"/>
  <c r="P407" i="9"/>
  <c r="Q407" i="9"/>
  <c r="W407" i="9"/>
  <c r="U407" i="9"/>
  <c r="P471" i="9"/>
  <c r="Q471" i="9"/>
  <c r="W471" i="9"/>
  <c r="U471" i="9"/>
  <c r="V47" i="9"/>
  <c r="X47" i="9"/>
  <c r="Z47" i="9"/>
  <c r="S47" i="9"/>
  <c r="Q47" i="9"/>
  <c r="P47" i="9"/>
  <c r="U47" i="9"/>
  <c r="R47" i="9"/>
  <c r="P175" i="9"/>
  <c r="T175" i="9"/>
  <c r="X175" i="9"/>
  <c r="Q175" i="9"/>
  <c r="U175" i="9"/>
  <c r="V175" i="9"/>
  <c r="W175" i="9"/>
  <c r="U240" i="9"/>
  <c r="Y240" i="9"/>
  <c r="Q304" i="9"/>
  <c r="Y304" i="9"/>
  <c r="U368" i="9"/>
  <c r="Y368" i="9"/>
  <c r="P368" i="9"/>
  <c r="R368" i="9"/>
  <c r="V368" i="9"/>
  <c r="X368" i="9"/>
  <c r="P432" i="9"/>
  <c r="R432" i="9"/>
  <c r="T432" i="9"/>
  <c r="Q432" i="9"/>
  <c r="X432" i="9"/>
  <c r="Z432" i="9"/>
  <c r="Q496" i="9"/>
  <c r="V496" i="9"/>
  <c r="X496" i="9"/>
  <c r="P496" i="9"/>
  <c r="T496" i="9"/>
  <c r="Z496" i="9"/>
  <c r="S113" i="9"/>
  <c r="P113" i="9"/>
  <c r="U113" i="9"/>
  <c r="W113" i="9"/>
  <c r="Y113" i="9"/>
  <c r="V113" i="9"/>
  <c r="Z113" i="9"/>
  <c r="Q209" i="9"/>
  <c r="Z209" i="9"/>
  <c r="S209" i="9"/>
  <c r="V209" i="9"/>
  <c r="U209" i="9"/>
  <c r="R209" i="9"/>
  <c r="Y209" i="9"/>
  <c r="Q273" i="9"/>
  <c r="Z273" i="9"/>
  <c r="U273" i="9"/>
  <c r="R273" i="9"/>
  <c r="W273" i="9"/>
  <c r="W337" i="9"/>
  <c r="Y337" i="9"/>
  <c r="Q337" i="9"/>
  <c r="Z337" i="9"/>
  <c r="S337" i="9"/>
  <c r="V337" i="9"/>
  <c r="P401" i="9"/>
  <c r="W401" i="9"/>
  <c r="U401" i="9"/>
  <c r="S401" i="9"/>
  <c r="Q401" i="9"/>
  <c r="P465" i="9"/>
  <c r="W465" i="9"/>
  <c r="U465" i="9"/>
  <c r="S465" i="9"/>
  <c r="Q465" i="9"/>
  <c r="S117" i="9"/>
  <c r="U117" i="9"/>
  <c r="W117" i="9"/>
  <c r="Y117" i="9"/>
  <c r="V117" i="9"/>
  <c r="Z117" i="9"/>
  <c r="R53" i="9"/>
  <c r="S53" i="9"/>
  <c r="T53" i="9"/>
  <c r="V53" i="9"/>
  <c r="X53" i="9"/>
  <c r="Q53" i="9"/>
  <c r="U53" i="9"/>
  <c r="W258" i="9"/>
  <c r="S258" i="9"/>
  <c r="W322" i="9"/>
  <c r="S322" i="9"/>
  <c r="T386" i="9"/>
  <c r="Q386" i="9"/>
  <c r="P386" i="9"/>
  <c r="R386" i="9"/>
  <c r="X386" i="9"/>
  <c r="T450" i="9"/>
  <c r="P450" i="9"/>
  <c r="R450" i="9"/>
  <c r="V450" i="9"/>
  <c r="X450" i="9"/>
  <c r="Q450" i="9"/>
  <c r="Q19" i="9"/>
  <c r="R19" i="9"/>
  <c r="S19" i="9"/>
  <c r="Z19" i="9"/>
  <c r="U19" i="9"/>
  <c r="W19" i="9"/>
  <c r="P19" i="9"/>
  <c r="T19" i="9"/>
  <c r="U147" i="9"/>
  <c r="W147" i="9"/>
  <c r="Y147" i="9"/>
  <c r="P147" i="9"/>
  <c r="X147" i="9"/>
  <c r="Q147" i="9"/>
  <c r="Z147" i="9"/>
  <c r="Q227" i="9"/>
  <c r="X227" i="9"/>
  <c r="S227" i="9"/>
  <c r="T227" i="9"/>
  <c r="U227" i="9"/>
  <c r="P227" i="9"/>
  <c r="Y227" i="9"/>
  <c r="Q291" i="9"/>
  <c r="X291" i="9"/>
  <c r="U291" i="9"/>
  <c r="P291" i="9"/>
  <c r="W291" i="9"/>
  <c r="W355" i="9"/>
  <c r="Y355" i="9"/>
  <c r="Q355" i="9"/>
  <c r="X355" i="9"/>
  <c r="S355" i="9"/>
  <c r="T355" i="9"/>
  <c r="P419" i="9"/>
  <c r="U419" i="9"/>
  <c r="S419" i="9"/>
  <c r="Q419" i="9"/>
  <c r="Y419" i="9"/>
  <c r="P483" i="9"/>
  <c r="U483" i="9"/>
  <c r="S483" i="9"/>
  <c r="Q483" i="9"/>
  <c r="Y483" i="9"/>
  <c r="Z23" i="9"/>
  <c r="Q23" i="9"/>
  <c r="U23" i="9"/>
  <c r="P23" i="9"/>
  <c r="Y23" i="9"/>
  <c r="T23" i="9"/>
  <c r="W23" i="9"/>
  <c r="V23" i="9"/>
  <c r="Y167" i="9"/>
  <c r="P167" i="9"/>
  <c r="T167" i="9"/>
  <c r="V167" i="9"/>
  <c r="X167" i="9"/>
  <c r="S167" i="9"/>
  <c r="U167" i="9"/>
  <c r="U293" i="9"/>
  <c r="Z293" i="9"/>
  <c r="W293" i="9"/>
  <c r="V293" i="9"/>
  <c r="Y293" i="9"/>
  <c r="R293" i="9"/>
  <c r="Q293" i="9"/>
  <c r="U191" i="9"/>
  <c r="W191" i="9"/>
  <c r="Y191" i="9"/>
  <c r="T191" i="9"/>
  <c r="Q191" i="9"/>
  <c r="P191" i="9"/>
  <c r="Q216" i="9"/>
  <c r="U216" i="9"/>
  <c r="P459" i="9"/>
  <c r="U459" i="9"/>
  <c r="S459" i="9"/>
  <c r="Q459" i="9"/>
  <c r="Y459" i="9"/>
  <c r="P141" i="9"/>
  <c r="R191" i="9"/>
  <c r="V203" i="9"/>
  <c r="T229" i="9"/>
  <c r="V255" i="9"/>
  <c r="Z267" i="9"/>
  <c r="X293" i="9"/>
  <c r="P313" i="9"/>
  <c r="Z319" i="9"/>
  <c r="X377" i="9"/>
  <c r="T395" i="9"/>
  <c r="Y420" i="9"/>
  <c r="Z441" i="9"/>
  <c r="V459" i="9"/>
  <c r="R485" i="9"/>
  <c r="S10" i="9"/>
  <c r="X30" i="9"/>
  <c r="Y34" i="9"/>
  <c r="U48" i="9"/>
  <c r="U60" i="9"/>
  <c r="X94" i="9"/>
  <c r="Z112" i="9"/>
  <c r="Y124" i="9"/>
  <c r="P124" i="9"/>
  <c r="S138" i="9"/>
  <c r="X158" i="9"/>
  <c r="Z162" i="9"/>
  <c r="V176" i="9"/>
  <c r="P216" i="9"/>
  <c r="T234" i="9"/>
  <c r="T280" i="9"/>
  <c r="P286" i="9"/>
  <c r="X298" i="9"/>
  <c r="X344" i="9"/>
  <c r="T362" i="9"/>
  <c r="T331" i="9"/>
  <c r="S447" i="9"/>
  <c r="T75" i="9"/>
  <c r="P99" i="9"/>
  <c r="S153" i="9"/>
  <c r="S189" i="9"/>
  <c r="Q229" i="9"/>
  <c r="Y255" i="9"/>
  <c r="S293" i="9"/>
  <c r="Q317" i="9"/>
  <c r="V432" i="9"/>
  <c r="P426" i="9"/>
  <c r="Y94" i="9"/>
  <c r="Z374" i="9"/>
  <c r="R414" i="9"/>
  <c r="R502" i="9"/>
  <c r="W25" i="9"/>
  <c r="P25" i="9"/>
  <c r="U25" i="9"/>
  <c r="R25" i="9"/>
  <c r="Q25" i="9"/>
  <c r="T25" i="9"/>
  <c r="X25" i="9"/>
  <c r="Z25" i="9"/>
  <c r="P383" i="9"/>
  <c r="Q383" i="9"/>
  <c r="W383" i="9"/>
  <c r="U383" i="9"/>
  <c r="U348" i="9"/>
  <c r="Q348" i="9"/>
  <c r="T348" i="9"/>
  <c r="Y348" i="9"/>
  <c r="U94" i="9"/>
  <c r="R127" i="9"/>
  <c r="X141" i="9"/>
  <c r="T153" i="9"/>
  <c r="V191" i="9"/>
  <c r="Z203" i="9"/>
  <c r="P249" i="9"/>
  <c r="T313" i="9"/>
  <c r="Q362" i="9"/>
  <c r="Z377" i="9"/>
  <c r="V395" i="9"/>
  <c r="R421" i="9"/>
  <c r="X459" i="9"/>
  <c r="S472" i="9"/>
  <c r="S478" i="9"/>
  <c r="T485" i="9"/>
  <c r="Z10" i="9"/>
  <c r="T30" i="9"/>
  <c r="W34" i="9"/>
  <c r="Z48" i="9"/>
  <c r="S48" i="9"/>
  <c r="S60" i="9"/>
  <c r="V94" i="9"/>
  <c r="X112" i="9"/>
  <c r="U124" i="9"/>
  <c r="Z138" i="9"/>
  <c r="V158" i="9"/>
  <c r="X162" i="9"/>
  <c r="T176" i="9"/>
  <c r="Z222" i="9"/>
  <c r="R234" i="9"/>
  <c r="R280" i="9"/>
  <c r="V298" i="9"/>
  <c r="V344" i="9"/>
  <c r="V348" i="9"/>
  <c r="P362" i="9"/>
  <c r="X191" i="9"/>
  <c r="P203" i="9"/>
  <c r="W395" i="9"/>
  <c r="Y447" i="9"/>
  <c r="S485" i="9"/>
  <c r="Z13" i="9"/>
  <c r="V25" i="9"/>
  <c r="S77" i="9"/>
  <c r="Q99" i="9"/>
  <c r="T127" i="9"/>
  <c r="S191" i="9"/>
  <c r="U319" i="9"/>
  <c r="Y357" i="9"/>
  <c r="Y216" i="9"/>
  <c r="U280" i="9"/>
  <c r="Y344" i="9"/>
  <c r="S362" i="9"/>
  <c r="S286" i="9"/>
  <c r="Y25" i="9"/>
  <c r="Z60" i="9"/>
  <c r="Z127" i="9"/>
  <c r="Q162" i="9"/>
  <c r="P185" i="9"/>
  <c r="Z191" i="9"/>
  <c r="T249" i="9"/>
  <c r="Q298" i="9"/>
  <c r="X313" i="9"/>
  <c r="U362" i="9"/>
  <c r="S408" i="9"/>
  <c r="S414" i="9"/>
  <c r="Z459" i="9"/>
  <c r="U472" i="9"/>
  <c r="U478" i="9"/>
  <c r="V485" i="9"/>
  <c r="X10" i="9"/>
  <c r="P30" i="9"/>
  <c r="U34" i="9"/>
  <c r="R48" i="9"/>
  <c r="Q48" i="9"/>
  <c r="V60" i="9"/>
  <c r="Q60" i="9"/>
  <c r="T94" i="9"/>
  <c r="V112" i="9"/>
  <c r="Q124" i="9"/>
  <c r="X138" i="9"/>
  <c r="T158" i="9"/>
  <c r="V162" i="9"/>
  <c r="R176" i="9"/>
  <c r="X222" i="9"/>
  <c r="P234" i="9"/>
  <c r="T298" i="9"/>
  <c r="T344" i="9"/>
  <c r="R348" i="9"/>
  <c r="R249" i="9"/>
  <c r="Q377" i="9"/>
  <c r="Y13" i="9"/>
  <c r="X77" i="9"/>
  <c r="S127" i="9"/>
  <c r="U267" i="9"/>
  <c r="S298" i="9"/>
  <c r="X490" i="9"/>
  <c r="Y229" i="9"/>
  <c r="R229" i="9"/>
  <c r="S229" i="9"/>
  <c r="U229" i="9"/>
  <c r="Z229" i="9"/>
  <c r="P421" i="9"/>
  <c r="Y421" i="9"/>
  <c r="W421" i="9"/>
  <c r="U421" i="9"/>
  <c r="Q421" i="9"/>
  <c r="S350" i="9"/>
  <c r="P350" i="9"/>
  <c r="W350" i="9"/>
  <c r="V350" i="9"/>
  <c r="Q255" i="9"/>
  <c r="P255" i="9"/>
  <c r="S255" i="9"/>
  <c r="U255" i="9"/>
  <c r="W255" i="9"/>
  <c r="X255" i="9"/>
  <c r="Y280" i="9"/>
  <c r="Q280" i="9"/>
  <c r="P395" i="9"/>
  <c r="U395" i="9"/>
  <c r="S395" i="9"/>
  <c r="Q395" i="9"/>
  <c r="Y395" i="9"/>
  <c r="Y162" i="9"/>
  <c r="T185" i="9"/>
  <c r="Q234" i="9"/>
  <c r="X249" i="9"/>
  <c r="Q286" i="9"/>
  <c r="U298" i="9"/>
  <c r="U350" i="9"/>
  <c r="Y362" i="9"/>
  <c r="Z395" i="9"/>
  <c r="U408" i="9"/>
  <c r="U414" i="9"/>
  <c r="V421" i="9"/>
  <c r="R447" i="9"/>
  <c r="W472" i="9"/>
  <c r="W478" i="9"/>
  <c r="X485" i="9"/>
  <c r="S490" i="9"/>
  <c r="V10" i="9"/>
  <c r="Y30" i="9"/>
  <c r="Z34" i="9"/>
  <c r="X48" i="9"/>
  <c r="X60" i="9"/>
  <c r="R94" i="9"/>
  <c r="T112" i="9"/>
  <c r="Z124" i="9"/>
  <c r="V138" i="9"/>
  <c r="R158" i="9"/>
  <c r="T162" i="9"/>
  <c r="Y176" i="9"/>
  <c r="P176" i="9"/>
  <c r="Z216" i="9"/>
  <c r="V222" i="9"/>
  <c r="Z286" i="9"/>
  <c r="R298" i="9"/>
  <c r="R344" i="9"/>
  <c r="P348" i="9"/>
  <c r="V229" i="9"/>
  <c r="W459" i="9"/>
  <c r="R77" i="9"/>
  <c r="V141" i="9"/>
  <c r="Y203" i="9"/>
  <c r="W331" i="9"/>
  <c r="P438" i="9"/>
  <c r="S234" i="9"/>
  <c r="Y134" i="9"/>
  <c r="Z420" i="9"/>
  <c r="T46" i="9"/>
  <c r="T161" i="9"/>
  <c r="P213" i="9"/>
  <c r="Y218" i="9"/>
  <c r="T233" i="9"/>
  <c r="R239" i="9"/>
  <c r="P277" i="9"/>
  <c r="Y282" i="9"/>
  <c r="T297" i="9"/>
  <c r="R303" i="9"/>
  <c r="P341" i="9"/>
  <c r="Y346" i="9"/>
  <c r="T361" i="9"/>
  <c r="R367" i="9"/>
  <c r="Y392" i="9"/>
  <c r="S398" i="9"/>
  <c r="T405" i="9"/>
  <c r="W410" i="9"/>
  <c r="Z431" i="9"/>
  <c r="Y456" i="9"/>
  <c r="S462" i="9"/>
  <c r="T469" i="9"/>
  <c r="W474" i="9"/>
  <c r="Z495" i="9"/>
  <c r="U12" i="9"/>
  <c r="V46" i="9"/>
  <c r="Y64" i="9"/>
  <c r="Y76" i="9"/>
  <c r="T106" i="9"/>
  <c r="V110" i="9"/>
  <c r="Y128" i="9"/>
  <c r="P128" i="9"/>
  <c r="P130" i="9"/>
  <c r="V140" i="9"/>
  <c r="V174" i="9"/>
  <c r="V200" i="9"/>
  <c r="Z206" i="9"/>
  <c r="R218" i="9"/>
  <c r="V264" i="9"/>
  <c r="Z270" i="9"/>
  <c r="R282" i="9"/>
  <c r="V328" i="9"/>
  <c r="Z334" i="9"/>
  <c r="R346" i="9"/>
  <c r="U67" i="9"/>
  <c r="V233" i="9"/>
  <c r="P239" i="9"/>
  <c r="V297" i="9"/>
  <c r="P303" i="9"/>
  <c r="V361" i="9"/>
  <c r="P367" i="9"/>
  <c r="Y405" i="9"/>
  <c r="U425" i="9"/>
  <c r="W431" i="9"/>
  <c r="Y469" i="9"/>
  <c r="U489" i="9"/>
  <c r="W495" i="9"/>
  <c r="Z29" i="9"/>
  <c r="Y33" i="9"/>
  <c r="R33" i="9"/>
  <c r="U43" i="9"/>
  <c r="T67" i="9"/>
  <c r="R93" i="9"/>
  <c r="P95" i="9"/>
  <c r="R121" i="9"/>
  <c r="R157" i="9"/>
  <c r="R161" i="9"/>
  <c r="P171" i="9"/>
  <c r="Q233" i="9"/>
  <c r="Q297" i="9"/>
  <c r="Q361" i="9"/>
  <c r="Q264" i="9"/>
  <c r="Z398" i="9"/>
  <c r="Z462" i="9"/>
  <c r="W282" i="9"/>
  <c r="R187" i="9"/>
  <c r="T213" i="9"/>
  <c r="X233" i="9"/>
  <c r="V239" i="9"/>
  <c r="R251" i="9"/>
  <c r="T277" i="9"/>
  <c r="X297" i="9"/>
  <c r="V303" i="9"/>
  <c r="R315" i="9"/>
  <c r="T341" i="9"/>
  <c r="X361" i="9"/>
  <c r="V367" i="9"/>
  <c r="U398" i="9"/>
  <c r="V405" i="9"/>
  <c r="Y410" i="9"/>
  <c r="R425" i="9"/>
  <c r="U462" i="9"/>
  <c r="V469" i="9"/>
  <c r="Y474" i="9"/>
  <c r="R489" i="9"/>
  <c r="Q12" i="9"/>
  <c r="R46" i="9"/>
  <c r="W64" i="9"/>
  <c r="W76" i="9"/>
  <c r="R106" i="9"/>
  <c r="T110" i="9"/>
  <c r="U128" i="9"/>
  <c r="W130" i="9"/>
  <c r="T140" i="9"/>
  <c r="T174" i="9"/>
  <c r="T200" i="9"/>
  <c r="X206" i="9"/>
  <c r="P218" i="9"/>
  <c r="T264" i="9"/>
  <c r="X270" i="9"/>
  <c r="P282" i="9"/>
  <c r="T328" i="9"/>
  <c r="X334" i="9"/>
  <c r="P346" i="9"/>
  <c r="R213" i="9"/>
  <c r="Z233" i="9"/>
  <c r="T239" i="9"/>
  <c r="R277" i="9"/>
  <c r="Z297" i="9"/>
  <c r="T303" i="9"/>
  <c r="R341" i="9"/>
  <c r="Z361" i="9"/>
  <c r="T367" i="9"/>
  <c r="W425" i="9"/>
  <c r="Y431" i="9"/>
  <c r="W489" i="9"/>
  <c r="Y495" i="9"/>
  <c r="X29" i="9"/>
  <c r="U33" i="9"/>
  <c r="P33" i="9"/>
  <c r="Q43" i="9"/>
  <c r="Y67" i="9"/>
  <c r="R67" i="9"/>
  <c r="Y93" i="9"/>
  <c r="Y95" i="9"/>
  <c r="Y121" i="9"/>
  <c r="Y157" i="9"/>
  <c r="Y161" i="9"/>
  <c r="Y171" i="9"/>
  <c r="Y187" i="9"/>
  <c r="Y251" i="9"/>
  <c r="Y315" i="9"/>
  <c r="Z392" i="9"/>
  <c r="Z456" i="9"/>
  <c r="Q200" i="9"/>
  <c r="P398" i="9"/>
  <c r="X398" i="9"/>
  <c r="X462" i="9"/>
  <c r="U264" i="9"/>
  <c r="T121" i="9"/>
  <c r="P93" i="9"/>
  <c r="U110" i="9"/>
  <c r="P157" i="9"/>
  <c r="U174" i="9"/>
  <c r="V187" i="9"/>
  <c r="X213" i="9"/>
  <c r="Z239" i="9"/>
  <c r="V251" i="9"/>
  <c r="X277" i="9"/>
  <c r="Z303" i="9"/>
  <c r="V315" i="9"/>
  <c r="X341" i="9"/>
  <c r="Z367" i="9"/>
  <c r="R379" i="9"/>
  <c r="W398" i="9"/>
  <c r="X405" i="9"/>
  <c r="T425" i="9"/>
  <c r="R443" i="9"/>
  <c r="W462" i="9"/>
  <c r="X469" i="9"/>
  <c r="T489" i="9"/>
  <c r="Z12" i="9"/>
  <c r="Y46" i="9"/>
  <c r="U64" i="9"/>
  <c r="U76" i="9"/>
  <c r="P106" i="9"/>
  <c r="R110" i="9"/>
  <c r="Q128" i="9"/>
  <c r="S130" i="9"/>
  <c r="R140" i="9"/>
  <c r="R174" i="9"/>
  <c r="R200" i="9"/>
  <c r="V206" i="9"/>
  <c r="R264" i="9"/>
  <c r="V270" i="9"/>
  <c r="R328" i="9"/>
  <c r="V334" i="9"/>
  <c r="T93" i="9"/>
  <c r="T157" i="9"/>
  <c r="P187" i="9"/>
  <c r="V213" i="9"/>
  <c r="X239" i="9"/>
  <c r="P251" i="9"/>
  <c r="V277" i="9"/>
  <c r="X303" i="9"/>
  <c r="P315" i="9"/>
  <c r="V341" i="9"/>
  <c r="X367" i="9"/>
  <c r="Y425" i="9"/>
  <c r="Y489" i="9"/>
  <c r="V29" i="9"/>
  <c r="W33" i="9"/>
  <c r="V43" i="9"/>
  <c r="Q67" i="9"/>
  <c r="P67" i="9"/>
  <c r="W93" i="9"/>
  <c r="W95" i="9"/>
  <c r="W121" i="9"/>
  <c r="W157" i="9"/>
  <c r="W161" i="9"/>
  <c r="W171" i="9"/>
  <c r="W187" i="9"/>
  <c r="Y213" i="9"/>
  <c r="W251" i="9"/>
  <c r="Y277" i="9"/>
  <c r="W315" i="9"/>
  <c r="Y341" i="9"/>
  <c r="X392" i="9"/>
  <c r="X456" i="9"/>
  <c r="V410" i="9"/>
  <c r="V474" i="9"/>
  <c r="Y174" i="9"/>
  <c r="V398" i="9"/>
  <c r="V462" i="9"/>
  <c r="R456" i="9"/>
  <c r="W270" i="9"/>
  <c r="T392" i="9"/>
  <c r="X93" i="9"/>
  <c r="W128" i="9"/>
  <c r="S140" i="9"/>
  <c r="X157" i="9"/>
  <c r="Z187" i="9"/>
  <c r="Z251" i="9"/>
  <c r="Z315" i="9"/>
  <c r="T379" i="9"/>
  <c r="Y398" i="9"/>
  <c r="Z405" i="9"/>
  <c r="V425" i="9"/>
  <c r="T443" i="9"/>
  <c r="Y462" i="9"/>
  <c r="Z469" i="9"/>
  <c r="V489" i="9"/>
  <c r="X12" i="9"/>
  <c r="W46" i="9"/>
  <c r="Z64" i="9"/>
  <c r="S64" i="9"/>
  <c r="S76" i="9"/>
  <c r="W106" i="9"/>
  <c r="P110" i="9"/>
  <c r="Z128" i="9"/>
  <c r="Z130" i="9"/>
  <c r="Y140" i="9"/>
  <c r="P140" i="9"/>
  <c r="P174" i="9"/>
  <c r="P200" i="9"/>
  <c r="T206" i="9"/>
  <c r="P264" i="9"/>
  <c r="T270" i="9"/>
  <c r="P328" i="9"/>
  <c r="T334" i="9"/>
  <c r="V95" i="9"/>
  <c r="T187" i="9"/>
  <c r="Z213" i="9"/>
  <c r="T251" i="9"/>
  <c r="Z277" i="9"/>
  <c r="T315" i="9"/>
  <c r="Z341" i="9"/>
  <c r="Q379" i="9"/>
  <c r="Q443" i="9"/>
  <c r="U29" i="9"/>
  <c r="T29" i="9"/>
  <c r="S33" i="9"/>
  <c r="T43" i="9"/>
  <c r="W67" i="9"/>
  <c r="U93" i="9"/>
  <c r="U95" i="9"/>
  <c r="U121" i="9"/>
  <c r="U157" i="9"/>
  <c r="U161" i="9"/>
  <c r="U171" i="9"/>
  <c r="U187" i="9"/>
  <c r="W213" i="9"/>
  <c r="Y239" i="9"/>
  <c r="U251" i="9"/>
  <c r="W277" i="9"/>
  <c r="Y303" i="9"/>
  <c r="U315" i="9"/>
  <c r="W341" i="9"/>
  <c r="Y367" i="9"/>
  <c r="V392" i="9"/>
  <c r="V456" i="9"/>
  <c r="T474" i="9"/>
  <c r="Q174" i="9"/>
  <c r="T398" i="9"/>
  <c r="T462" i="9"/>
  <c r="Y29" i="9"/>
  <c r="R29" i="9"/>
  <c r="Z33" i="9"/>
  <c r="Y43" i="9"/>
  <c r="R43" i="9"/>
  <c r="S67" i="9"/>
  <c r="S93" i="9"/>
  <c r="S95" i="9"/>
  <c r="S121" i="9"/>
  <c r="S157" i="9"/>
  <c r="S161" i="9"/>
  <c r="S171" i="9"/>
  <c r="S187" i="9"/>
  <c r="U213" i="9"/>
  <c r="Y233" i="9"/>
  <c r="W239" i="9"/>
  <c r="S251" i="9"/>
  <c r="U277" i="9"/>
  <c r="Y297" i="9"/>
  <c r="W303" i="9"/>
  <c r="S315" i="9"/>
  <c r="U341" i="9"/>
  <c r="Y361" i="9"/>
  <c r="W367" i="9"/>
  <c r="Q392" i="9"/>
  <c r="Q456" i="9"/>
  <c r="R410" i="9"/>
  <c r="R474" i="9"/>
  <c r="R398" i="9"/>
  <c r="R462" i="9"/>
  <c r="U200" i="9"/>
  <c r="T456" i="9"/>
  <c r="Q405" i="9"/>
  <c r="S443" i="9"/>
  <c r="Q469" i="9"/>
  <c r="Z76" i="9"/>
  <c r="Y106" i="9"/>
  <c r="Q130" i="9"/>
  <c r="S264" i="9"/>
  <c r="Q270" i="9"/>
  <c r="S328" i="9"/>
  <c r="Q334" i="9"/>
  <c r="X379" i="9"/>
  <c r="S392" i="9"/>
  <c r="Z425" i="9"/>
  <c r="T431" i="9"/>
  <c r="X443" i="9"/>
  <c r="S456" i="9"/>
  <c r="Z489" i="9"/>
  <c r="T495" i="9"/>
  <c r="S12" i="9"/>
  <c r="T12" i="9"/>
  <c r="X46" i="9"/>
  <c r="S46" i="9"/>
  <c r="X64" i="9"/>
  <c r="X76" i="9"/>
  <c r="Z106" i="9"/>
  <c r="S110" i="9"/>
  <c r="V128" i="9"/>
  <c r="V130" i="9"/>
  <c r="Q140" i="9"/>
  <c r="S174" i="9"/>
  <c r="P206" i="9"/>
  <c r="X218" i="9"/>
  <c r="P270" i="9"/>
  <c r="X282" i="9"/>
  <c r="P334" i="9"/>
  <c r="X346" i="9"/>
  <c r="X161" i="9"/>
  <c r="Z171" i="9"/>
  <c r="U379" i="9"/>
  <c r="S405" i="9"/>
  <c r="Q431" i="9"/>
  <c r="U443" i="9"/>
  <c r="S469" i="9"/>
  <c r="Q495" i="9"/>
  <c r="Q29" i="9"/>
  <c r="P29" i="9"/>
  <c r="X33" i="9"/>
  <c r="W43" i="9"/>
  <c r="P43" i="9"/>
  <c r="Z67" i="9"/>
  <c r="Q93" i="9"/>
  <c r="Q95" i="9"/>
  <c r="Q121" i="9"/>
  <c r="Q157" i="9"/>
  <c r="Q161" i="9"/>
  <c r="Q171" i="9"/>
  <c r="S213" i="9"/>
  <c r="W233" i="9"/>
  <c r="U239" i="9"/>
  <c r="S277" i="9"/>
  <c r="W297" i="9"/>
  <c r="U303" i="9"/>
  <c r="S341" i="9"/>
  <c r="W361" i="9"/>
  <c r="U367" i="9"/>
  <c r="Q328" i="9"/>
  <c r="U328" i="9"/>
  <c r="T410" i="9"/>
  <c r="P410" i="9"/>
  <c r="P474" i="9"/>
  <c r="P462" i="9"/>
  <c r="W218" i="9"/>
  <c r="R392" i="9"/>
  <c r="R95" i="9"/>
  <c r="S200" i="9"/>
  <c r="Q206" i="9"/>
  <c r="S43" i="9"/>
  <c r="Z95" i="9"/>
  <c r="Y130" i="9"/>
  <c r="V171" i="9"/>
  <c r="W200" i="9"/>
  <c r="U206" i="9"/>
  <c r="Q218" i="9"/>
  <c r="W264" i="9"/>
  <c r="U270" i="9"/>
  <c r="Q282" i="9"/>
  <c r="W328" i="9"/>
  <c r="U334" i="9"/>
  <c r="Q346" i="9"/>
  <c r="Z379" i="9"/>
  <c r="U392" i="9"/>
  <c r="S410" i="9"/>
  <c r="V431" i="9"/>
  <c r="Z443" i="9"/>
  <c r="U456" i="9"/>
  <c r="S474" i="9"/>
  <c r="V495" i="9"/>
  <c r="W12" i="9"/>
  <c r="P46" i="9"/>
  <c r="T64" i="9"/>
  <c r="T76" i="9"/>
  <c r="X106" i="9"/>
  <c r="Z110" i="9"/>
  <c r="T128" i="9"/>
  <c r="T130" i="9"/>
  <c r="Z140" i="9"/>
  <c r="Z200" i="9"/>
  <c r="V218" i="9"/>
  <c r="Z264" i="9"/>
  <c r="V282" i="9"/>
  <c r="Z328" i="9"/>
  <c r="V346" i="9"/>
  <c r="P121" i="9"/>
  <c r="W379" i="9"/>
  <c r="U405" i="9"/>
  <c r="Q425" i="9"/>
  <c r="S431" i="9"/>
  <c r="W443" i="9"/>
  <c r="U469" i="9"/>
  <c r="Q489" i="9"/>
  <c r="S495" i="9"/>
  <c r="W346" i="9"/>
  <c r="Z410" i="9"/>
  <c r="Z474" i="9"/>
  <c r="W334" i="9"/>
</calcChain>
</file>

<file path=xl/sharedStrings.xml><?xml version="1.0" encoding="utf-8"?>
<sst xmlns="http://schemas.openxmlformats.org/spreadsheetml/2006/main" count="33" uniqueCount="19">
  <si>
    <t>Return Expectations</t>
  </si>
  <si>
    <t>US.CASH</t>
  </si>
  <si>
    <t>US.GOVT.13</t>
  </si>
  <si>
    <t>US.GOVT</t>
  </si>
  <si>
    <t>US.CORP</t>
  </si>
  <si>
    <t>US.EQ</t>
  </si>
  <si>
    <t>Date</t>
  </si>
  <si>
    <t>numobs</t>
  </si>
  <si>
    <t>simix</t>
  </si>
  <si>
    <t>Simulated Returns</t>
  </si>
  <si>
    <t>asset</t>
  </si>
  <si>
    <t>forecast</t>
  </si>
  <si>
    <t>US.AGCY.13</t>
  </si>
  <si>
    <t>US.CORP.13</t>
  </si>
  <si>
    <t>US.AGCY</t>
  </si>
  <si>
    <t>GL.EQ</t>
  </si>
  <si>
    <t>GOLD</t>
  </si>
  <si>
    <t>Historical Returns</t>
  </si>
  <si>
    <t>Historical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</si>
</sst>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2" formatCode="_(&quot;$&quot;* #,##0_);_(&quot;$&quot;* \(#,##0\);_(&quot;$&quot;* &quot;-&quot;_);_(@_)"/>
    <numFmt numFmtId="41" formatCode="_(* #,##0_);_(* \(#,##0\);_(* &quot;-&quot;_);_(@_)"/>
    <numFmt numFmtId="44" formatCode="_(&quot;$&quot;* #,##0.00_);_(&quot;$&quot;* \(#,##0.00\);_(&quot;$&quot;* &quot;-&quot;??_);_(@_)"/>
    <numFmt numFmtId="164" formatCode="0.00%;[Red]\-0.00%;&quot;-&quot;"/>
    <numFmt numFmtId="165" formatCode="0.0%;[Red]\-0.0%;&quot;-&quot;"/>
    <numFmt numFmtId="166" formatCode="0%;[Red]\-0%;&quot;-&quot;"/>
    <numFmt numFmtId="167" formatCode="#,##0.0000;[Red]\-#,##0.0000;&quot;-&quot;"/>
    <numFmt numFmtId="168" formatCode="#,##0.00;[Red]\-#,##0.00;&quot;-&quot;"/>
    <numFmt numFmtId="169" formatCode="#,##0;[Red]\-#,##0;&quot;-&quot;"/>
    <numFmt numFmtId="170" formatCode="yyyy\-mm\-dd"/>
    <numFmt numFmtId="171" formatCode="yyyy\-mm"/>
    <numFmt numFmtId="172" formatCode="yyyy"/>
    <numFmt numFmtId="173" formatCode="&quot;$&quot;#,##0.00;[Red]\-&quot;$&quot;#,##0.00;&quot;-&quot;"/>
    <numFmt numFmtId="174" formatCode="&quot;$&quot;#,##0;[Red]\-&quot;$&quot;#,##0;&quot;-&quot;"/>
    <numFmt numFmtId="175" formatCode="yyyymmdd"/>
    <numFmt numFmtId="176" formatCode="0.0000"/>
  </numFmts>
  <fonts count="30">
    <font>
      <sz val="11"/>
      <color theme="1"/>
      <name val="Arial"/>
      <family val="2"/>
      <scheme val="minor"/>
    </font>
    <font>
      <sz val="11"/>
      <color theme="1"/>
      <name val="Arial"/>
      <family val="2"/>
      <scheme val="minor"/>
    </font>
    <font>
      <sz val="11"/>
      <color theme="1"/>
      <name val="Arial"/>
      <family val="2"/>
      <scheme val="minor"/>
    </font>
    <font>
      <b/>
      <sz val="18"/>
      <color theme="3"/>
      <name val="Arial"/>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sz val="11"/>
      <color theme="1"/>
      <name val="AmplitudeTF"/>
      <family val="3"/>
    </font>
    <font>
      <b/>
      <sz val="11"/>
      <color rgb="FFFFFFFF"/>
      <name val="Arial"/>
      <family val="2"/>
      <scheme val="minor"/>
    </font>
    <font>
      <sz val="11"/>
      <color rgb="FFFFFFFF"/>
      <name val="Arial"/>
      <family val="2"/>
      <scheme val="minor"/>
    </font>
    <font>
      <sz val="11"/>
      <color theme="3"/>
      <name val="Arial"/>
      <family val="2"/>
      <scheme val="minor"/>
    </font>
    <font>
      <sz val="11"/>
      <color theme="0" tint="-0.24994659260841701"/>
      <name val="Arial"/>
      <family val="2"/>
      <scheme val="minor"/>
    </font>
    <font>
      <b/>
      <sz val="11"/>
      <name val="Arial"/>
      <family val="2"/>
      <scheme val="minor"/>
    </font>
    <font>
      <sz val="11"/>
      <name val="Arial"/>
      <family val="2"/>
      <scheme val="minor"/>
    </font>
    <font>
      <sz val="11"/>
      <color rgb="FF9C0006"/>
      <name val="Arial"/>
      <family val="2"/>
      <scheme val="minor"/>
    </font>
    <font>
      <sz val="11"/>
      <color rgb="FF008E40"/>
      <name val="Arial"/>
      <family val="2"/>
      <scheme val="minor"/>
    </font>
    <font>
      <sz val="11"/>
      <color rgb="FFC3B12F"/>
      <name val="Arial"/>
      <family val="2"/>
      <scheme val="minor"/>
    </font>
    <font>
      <sz val="11"/>
      <color theme="1"/>
      <name val="Arial"/>
      <family val="2"/>
    </font>
    <font>
      <b/>
      <sz val="11"/>
      <color rgb="FFFFFFFF"/>
      <name val="Arial"/>
      <family val="2"/>
    </font>
    <font>
      <b/>
      <sz val="11"/>
      <color rgb="FF000000"/>
      <name val="Arial"/>
      <family val="2"/>
    </font>
    <font>
      <sz val="11"/>
      <color rgb="FF000000"/>
      <name val="Arial"/>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rgb="FF000000"/>
      </patternFill>
    </fill>
    <fill>
      <patternFill patternType="solid">
        <fgColor theme="3"/>
        <bgColor rgb="FF000000"/>
      </patternFill>
    </fill>
    <fill>
      <patternFill patternType="solid">
        <fgColor theme="4" tint="0.79998168889431442"/>
        <bgColor rgb="FF000000"/>
      </patternFill>
    </fill>
    <fill>
      <patternFill patternType="solid">
        <fgColor theme="5"/>
        <bgColor rgb="FF000000"/>
      </patternFill>
    </fill>
    <fill>
      <patternFill patternType="solid">
        <fgColor theme="6"/>
        <bgColor rgb="FF000000"/>
      </patternFill>
    </fill>
    <fill>
      <patternFill patternType="solid">
        <fgColor theme="7"/>
        <bgColor rgb="FF000000"/>
      </patternFill>
    </fill>
    <fill>
      <patternFill patternType="solid">
        <fgColor theme="8"/>
        <bgColor rgb="FF000000"/>
      </patternFill>
    </fill>
    <fill>
      <patternFill patternType="solid">
        <fgColor theme="9"/>
        <bgColor rgb="FF000000"/>
      </patternFill>
    </fill>
    <fill>
      <patternFill patternType="solid">
        <fgColor theme="2"/>
        <bgColor rgb="FF000000"/>
      </patternFill>
    </fill>
    <fill>
      <patternFill patternType="solid">
        <fgColor rgb="FFD2ECD6"/>
        <bgColor rgb="FF000000"/>
      </patternFill>
    </fill>
    <fill>
      <patternFill patternType="solid">
        <fgColor rgb="FFECD2D2"/>
        <bgColor rgb="FF000000"/>
      </patternFill>
    </fill>
    <fill>
      <patternFill patternType="solid">
        <fgColor rgb="FFECECD2"/>
        <bgColor rgb="FF000000"/>
      </patternFill>
    </fill>
    <fill>
      <patternFill patternType="solid">
        <fgColor rgb="FFD2E0EC"/>
        <bgColor indexed="64"/>
      </patternFill>
    </fill>
    <fill>
      <patternFill patternType="solid">
        <fgColor rgb="FF91897E"/>
        <bgColor rgb="FF000000"/>
      </patternFill>
    </fill>
    <fill>
      <patternFill patternType="solid">
        <fgColor rgb="FFE9E7E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94">
    <xf numFmtId="0" fontId="0" fillId="0" borderId="0" applyNumberFormat="0" applyFill="0" applyBorder="0" applyAlignment="0" applyProtection="0">
      <alignment horizontal="center"/>
    </xf>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24" fillId="2" borderId="0" applyNumberFormat="0" applyFill="0" applyBorder="0" applyAlignment="0" applyProtection="0">
      <alignment horizontal="center"/>
    </xf>
    <xf numFmtId="0" fontId="23" fillId="3" borderId="0" applyNumberFormat="0" applyFill="0" applyBorder="0" applyAlignment="0" applyProtection="0">
      <alignment horizontal="center"/>
    </xf>
    <xf numFmtId="0" fontId="25" fillId="4" borderId="0" applyNumberFormat="0" applyFill="0" applyBorder="0" applyAlignment="0" applyProtection="0">
      <alignment horizontal="center"/>
    </xf>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2"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5" fillId="28" borderId="0" applyNumberFormat="0" applyBorder="0" applyAlignment="0" applyProtection="0"/>
    <xf numFmtId="0" fontId="15"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5" fillId="32" borderId="0" applyNumberFormat="0" applyBorder="0" applyAlignment="0" applyProtection="0"/>
    <xf numFmtId="0" fontId="19" fillId="0" borderId="0" applyNumberFormat="0" applyFill="0" applyBorder="0" applyAlignment="0" applyProtection="0">
      <alignment horizontal="center"/>
    </xf>
    <xf numFmtId="166" fontId="1" fillId="0" borderId="0" applyFont="0" applyFill="0" applyBorder="0" applyAlignment="0" applyProtection="0">
      <alignment horizontal="center"/>
    </xf>
    <xf numFmtId="0" fontId="20" fillId="0" borderId="0" applyNumberFormat="0" applyFill="0" applyBorder="0" applyAlignment="0" applyProtection="0">
      <alignment horizontal="center"/>
    </xf>
    <xf numFmtId="169" fontId="1" fillId="0" borderId="0" applyFont="0" applyFill="0" applyBorder="0" applyAlignment="0" applyProtection="0">
      <alignment horizontal="center"/>
    </xf>
    <xf numFmtId="0" fontId="21" fillId="0" borderId="0" applyNumberFormat="0" applyFill="0" applyBorder="0" applyAlignment="0" applyProtection="0">
      <alignment horizontal="center"/>
    </xf>
    <xf numFmtId="165" fontId="1" fillId="0" borderId="0" applyFont="0" applyFill="0" applyBorder="0" applyAlignment="0" applyProtection="0">
      <alignment horizontal="center"/>
    </xf>
    <xf numFmtId="0" fontId="14" fillId="0" borderId="0" applyNumberFormat="0" applyFill="0" applyBorder="0" applyAlignment="0" applyProtection="0">
      <alignment horizontal="center"/>
    </xf>
    <xf numFmtId="164" fontId="1" fillId="0" borderId="0" applyFont="0" applyFill="0" applyBorder="0" applyAlignment="0" applyProtection="0">
      <alignment horizontal="center"/>
    </xf>
    <xf numFmtId="168" fontId="1" fillId="0" borderId="0" applyFont="0" applyFill="0" applyBorder="0" applyAlignment="0" applyProtection="0">
      <alignment horizontal="center"/>
    </xf>
    <xf numFmtId="167" fontId="1" fillId="0" borderId="0" applyFont="0" applyFill="0" applyBorder="0" applyAlignment="0" applyProtection="0">
      <alignment horizontal="center"/>
    </xf>
    <xf numFmtId="0" fontId="17" fillId="33" borderId="0" applyNumberFormat="0">
      <alignment horizontal="left"/>
    </xf>
    <xf numFmtId="0" fontId="18" fillId="33" borderId="0" applyNumberFormat="0">
      <alignment horizontal="center"/>
    </xf>
    <xf numFmtId="0" fontId="18" fillId="36" borderId="0" applyNumberFormat="0">
      <alignment horizontal="center"/>
    </xf>
    <xf numFmtId="0" fontId="1" fillId="35" borderId="0" applyNumberFormat="0" applyProtection="0">
      <alignment horizontal="center"/>
    </xf>
    <xf numFmtId="0" fontId="17" fillId="36" borderId="0" applyNumberFormat="0">
      <alignment horizontal="left"/>
    </xf>
    <xf numFmtId="0" fontId="17" fillId="37" borderId="0" applyNumberFormat="0">
      <alignment horizontal="left"/>
    </xf>
    <xf numFmtId="0" fontId="18" fillId="37" borderId="0" applyNumberFormat="0">
      <alignment horizontal="center"/>
    </xf>
    <xf numFmtId="0" fontId="16" fillId="0" borderId="0">
      <alignment horizontal="center"/>
    </xf>
    <xf numFmtId="0" fontId="17" fillId="38" borderId="0" applyNumberFormat="0">
      <alignment horizontal="left"/>
    </xf>
    <xf numFmtId="0" fontId="17" fillId="39" borderId="0" applyNumberFormat="0">
      <alignment horizontal="left"/>
    </xf>
    <xf numFmtId="0" fontId="17" fillId="40" borderId="0" applyNumberFormat="0">
      <alignment horizontal="left"/>
    </xf>
    <xf numFmtId="0" fontId="17" fillId="41" borderId="0" applyNumberFormat="0">
      <alignment horizontal="left"/>
    </xf>
    <xf numFmtId="0" fontId="18" fillId="38" borderId="0" applyNumberFormat="0">
      <alignment horizontal="center"/>
    </xf>
    <xf numFmtId="0" fontId="18" fillId="39" borderId="0" applyNumberFormat="0">
      <alignment horizontal="center"/>
    </xf>
    <xf numFmtId="0" fontId="18" fillId="40" borderId="0" applyNumberFormat="0">
      <alignment horizontal="center"/>
    </xf>
    <xf numFmtId="0" fontId="18" fillId="41" borderId="0" applyNumberFormat="0">
      <alignment horizontal="center"/>
    </xf>
    <xf numFmtId="0" fontId="14" fillId="35" borderId="0" applyNumberFormat="0" applyProtection="0">
      <alignment horizontal="center"/>
    </xf>
    <xf numFmtId="170" fontId="22" fillId="0" borderId="0" applyFont="0" applyFill="0" applyBorder="0" applyAlignment="0" applyProtection="0">
      <alignment horizontal="center"/>
    </xf>
    <xf numFmtId="171" fontId="22" fillId="0" borderId="0" applyFont="0" applyFill="0" applyBorder="0" applyAlignment="0" applyProtection="0">
      <alignment horizontal="center"/>
    </xf>
    <xf numFmtId="172" fontId="22" fillId="0" borderId="0" applyFont="0" applyFill="0" applyBorder="0" applyAlignment="0" applyProtection="0">
      <alignment horizontal="center"/>
    </xf>
    <xf numFmtId="40" fontId="16" fillId="0" borderId="0" applyFill="0" applyBorder="0" applyAlignment="0" applyProtection="0"/>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9" fontId="2" fillId="0" borderId="0" applyFont="0" applyFill="0" applyBorder="0" applyAlignment="0" applyProtection="0"/>
    <xf numFmtId="0" fontId="18" fillId="34" borderId="0" applyNumberFormat="0">
      <alignment horizontal="center"/>
    </xf>
    <xf numFmtId="0" fontId="17" fillId="34" borderId="0" applyNumberFormat="0">
      <alignment horizontal="left"/>
    </xf>
    <xf numFmtId="0" fontId="1" fillId="45" borderId="0" applyNumberFormat="0" applyProtection="0">
      <alignment horizontal="center"/>
    </xf>
    <xf numFmtId="167" fontId="1" fillId="42" borderId="0" applyNumberFormat="0" applyProtection="0">
      <alignment horizontal="center"/>
    </xf>
    <xf numFmtId="167" fontId="1" fillId="44" borderId="0" applyNumberFormat="0" applyProtection="0">
      <alignment horizontal="center"/>
    </xf>
    <xf numFmtId="167" fontId="1" fillId="43" borderId="0" applyNumberFormat="0" applyProtection="0">
      <alignment horizontal="center"/>
    </xf>
    <xf numFmtId="164" fontId="1" fillId="0" borderId="0" applyFont="0" applyFill="0" applyBorder="0" applyAlignment="0" applyProtection="0">
      <alignment horizontal="center"/>
    </xf>
    <xf numFmtId="173" fontId="16" fillId="35" borderId="0">
      <alignment horizontal="center"/>
    </xf>
    <xf numFmtId="173" fontId="1" fillId="0" borderId="0" applyFont="0" applyFill="0" applyBorder="0" applyAlignment="0" applyProtection="0">
      <alignment horizontal="center"/>
    </xf>
    <xf numFmtId="169" fontId="1" fillId="0" borderId="0" applyFont="0" applyFill="0" applyBorder="0" applyAlignment="0" applyProtection="0">
      <alignment horizontal="center"/>
    </xf>
    <xf numFmtId="173" fontId="1" fillId="0" borderId="0" applyFont="0" applyFill="0" applyBorder="0" applyAlignment="0" applyProtection="0">
      <alignment horizontal="center"/>
    </xf>
    <xf numFmtId="174" fontId="1" fillId="0" borderId="0" applyFont="0" applyFill="0" applyBorder="0" applyAlignment="0" applyProtection="0">
      <alignment horizontal="center"/>
    </xf>
    <xf numFmtId="175" fontId="1" fillId="0" borderId="0" applyFont="0" applyFill="0" applyBorder="0" applyAlignment="0" applyProtection="0">
      <alignment horizontal="center"/>
    </xf>
    <xf numFmtId="176" fontId="1" fillId="0" borderId="0" applyFont="0" applyFill="0" applyBorder="0" applyAlignment="0" applyProtection="0">
      <alignment horizontal="center"/>
    </xf>
    <xf numFmtId="2" fontId="1" fillId="0" borderId="0" applyFont="0" applyFill="0" applyBorder="0" applyAlignment="0" applyProtection="0">
      <alignment horizontal="center"/>
    </xf>
    <xf numFmtId="170" fontId="22" fillId="0" borderId="0" applyNumberFormat="0" applyFont="0" applyBorder="0" applyAlignment="0" applyProtection="0">
      <alignment horizontal="center"/>
    </xf>
    <xf numFmtId="0" fontId="1" fillId="0" borderId="0" applyFill="0" applyBorder="0" applyAlignment="0" applyProtection="0">
      <alignment horizontal="center"/>
    </xf>
  </cellStyleXfs>
  <cellXfs count="21">
    <xf numFmtId="0" fontId="0" fillId="0" borderId="0" xfId="0">
      <alignment horizontal="center"/>
    </xf>
    <xf numFmtId="0" fontId="0" fillId="0" borderId="0" xfId="0" applyNumberFormat="1">
      <alignment horizontal="center"/>
    </xf>
    <xf numFmtId="176" fontId="0" fillId="0" borderId="0" xfId="90" applyFont="1">
      <alignment horizontal="center"/>
    </xf>
    <xf numFmtId="176" fontId="27" fillId="46" borderId="0" xfId="52" applyNumberFormat="1" applyFont="1" applyFill="1">
      <alignment horizontal="left"/>
    </xf>
    <xf numFmtId="170" fontId="28" fillId="47" borderId="0" xfId="68" applyNumberFormat="1" applyFont="1" applyFill="1">
      <alignment horizontal="center"/>
    </xf>
    <xf numFmtId="167" fontId="28" fillId="47" borderId="0" xfId="68" applyNumberFormat="1" applyFont="1" applyFill="1">
      <alignment horizontal="center"/>
    </xf>
    <xf numFmtId="168" fontId="29" fillId="47" borderId="0" xfId="50" applyFont="1" applyFill="1" applyBorder="1">
      <alignment horizontal="center"/>
    </xf>
    <xf numFmtId="176" fontId="26" fillId="0" borderId="0" xfId="90" applyFont="1" applyFill="1" applyBorder="1">
      <alignment horizontal="center"/>
    </xf>
    <xf numFmtId="167" fontId="29" fillId="47" borderId="0" xfId="55" applyNumberFormat="1" applyFont="1" applyFill="1">
      <alignment horizontal="center"/>
    </xf>
    <xf numFmtId="176" fontId="14" fillId="35" borderId="0" xfId="68" applyNumberFormat="1">
      <alignment horizontal="center"/>
    </xf>
    <xf numFmtId="176" fontId="17" fillId="33" borderId="0" xfId="52" applyNumberFormat="1">
      <alignment horizontal="left"/>
    </xf>
    <xf numFmtId="171" fontId="14" fillId="35" borderId="0" xfId="70" applyFont="1" applyFill="1">
      <alignment horizontal="center"/>
    </xf>
    <xf numFmtId="164" fontId="1" fillId="35" borderId="0" xfId="49" applyFill="1">
      <alignment horizontal="center"/>
    </xf>
    <xf numFmtId="169" fontId="20" fillId="0" borderId="0" xfId="44" applyNumberFormat="1">
      <alignment horizontal="center"/>
    </xf>
    <xf numFmtId="176" fontId="18" fillId="33" borderId="0" xfId="53" applyNumberFormat="1">
      <alignment horizontal="center"/>
    </xf>
    <xf numFmtId="169" fontId="1" fillId="35" borderId="0" xfId="45" applyFill="1">
      <alignment horizontal="center"/>
    </xf>
    <xf numFmtId="176" fontId="18" fillId="36" borderId="0" xfId="54" applyNumberFormat="1">
      <alignment horizontal="center"/>
    </xf>
    <xf numFmtId="176" fontId="17" fillId="37" borderId="0" xfId="57" applyNumberFormat="1">
      <alignment horizontal="left"/>
    </xf>
    <xf numFmtId="169" fontId="20" fillId="0" borderId="0" xfId="45" applyFont="1">
      <alignment horizontal="center"/>
    </xf>
    <xf numFmtId="171" fontId="14" fillId="35" borderId="0" xfId="68" applyNumberFormat="1">
      <alignment horizontal="center"/>
    </xf>
    <xf numFmtId="2" fontId="26" fillId="0" borderId="0" xfId="90" applyNumberFormat="1" applyFont="1" applyFill="1" applyBorder="1">
      <alignment horizontal="center"/>
    </xf>
  </cellXfs>
  <cellStyles count="94">
    <cellStyle name=".Data Bold" xfId="68" xr:uid="{00000000-0005-0000-0000-000000000000}"/>
    <cellStyle name=".Data Regular" xfId="55" xr:uid="{00000000-0005-0000-0000-000001000000}"/>
    <cellStyle name=".User Blue" xfId="79" xr:uid="{00000000-0005-0000-0000-000002000000}"/>
    <cellStyle name=".User Green" xfId="80" xr:uid="{00000000-0005-0000-0000-000003000000}"/>
    <cellStyle name=".User Red" xfId="82" xr:uid="{00000000-0005-0000-0000-000004000000}"/>
    <cellStyle name=".User Yellow" xfId="81" xr:uid="{00000000-0005-0000-0000-000005000000}"/>
    <cellStyle name="20% - Accent1" xfId="19" builtinId="30" hidden="1"/>
    <cellStyle name="20% - Accent2" xfId="23" builtinId="34" hidden="1"/>
    <cellStyle name="20% - Accent3" xfId="27" builtinId="38" hidden="1"/>
    <cellStyle name="20% - Accent4" xfId="31" builtinId="42" hidden="1"/>
    <cellStyle name="20% - Accent5" xfId="35" builtinId="46" hidden="1"/>
    <cellStyle name="20% - Accent6" xfId="39" builtinId="50" hidden="1"/>
    <cellStyle name="40% - Accent1" xfId="20" builtinId="31" hidden="1"/>
    <cellStyle name="40% - Accent2" xfId="24" builtinId="35" hidden="1"/>
    <cellStyle name="40% - Accent3" xfId="28" builtinId="39" hidden="1"/>
    <cellStyle name="40% - Accent4" xfId="32" builtinId="43" hidden="1"/>
    <cellStyle name="40% - Accent5" xfId="36" builtinId="47" hidden="1"/>
    <cellStyle name="40% - Accent6" xfId="40" builtinId="51" hidden="1"/>
    <cellStyle name="60% - Accent1" xfId="21" builtinId="32" hidden="1"/>
    <cellStyle name="60% - Accent2" xfId="25" builtinId="36" hidden="1"/>
    <cellStyle name="60% - Accent3" xfId="29" builtinId="40" hidden="1"/>
    <cellStyle name="60% - Accent4" xfId="33" builtinId="44" hidden="1"/>
    <cellStyle name="60% - Accent5" xfId="37" builtinId="48" hidden="1"/>
    <cellStyle name="60% - Accent6" xfId="41" builtinId="52" hidden="1"/>
    <cellStyle name="A   Title" xfId="52" xr:uid="{00000000-0005-0000-0000-000018000000}"/>
    <cellStyle name="A  Header" xfId="53" xr:uid="{00000000-0005-0000-0000-000019000000}"/>
    <cellStyle name="Accent1" xfId="18" builtinId="29" hidden="1"/>
    <cellStyle name="Accent2" xfId="22" builtinId="33" hidden="1"/>
    <cellStyle name="Accent3" xfId="26" builtinId="37" hidden="1"/>
    <cellStyle name="Accent4" xfId="30" builtinId="41" hidden="1"/>
    <cellStyle name="Accent5" xfId="34" builtinId="45" hidden="1"/>
    <cellStyle name="Accent6" xfId="38" builtinId="49" hidden="1"/>
    <cellStyle name="B   Title" xfId="56" xr:uid="{00000000-0005-0000-0000-000020000000}"/>
    <cellStyle name="B  Header" xfId="54" xr:uid="{00000000-0005-0000-0000-000021000000}"/>
    <cellStyle name="Bad" xfId="7" builtinId="27" customBuiltin="1"/>
    <cellStyle name="C   Title" xfId="57" xr:uid="{00000000-0005-0000-0000-000023000000}"/>
    <cellStyle name="C  Header" xfId="58" xr:uid="{00000000-0005-0000-0000-000024000000}"/>
    <cellStyle name="Calculation" xfId="11" builtinId="22" hidden="1"/>
    <cellStyle name="Check Cell" xfId="13" builtinId="23" hidden="1"/>
    <cellStyle name="Comma" xfId="72" builtinId="3" hidden="1" customBuiltin="1"/>
    <cellStyle name="Comma" xfId="86" builtinId="3" customBuiltin="1"/>
    <cellStyle name="Comma [0]" xfId="73" builtinId="6" hidden="1"/>
    <cellStyle name="Currency" xfId="74" builtinId="4" hidden="1"/>
    <cellStyle name="Currency" xfId="84" builtinId="4" hidden="1"/>
    <cellStyle name="Currency" xfId="85" builtinId="4" customBuiltin="1"/>
    <cellStyle name="Currency [0]" xfId="75" builtinId="7" hidden="1"/>
    <cellStyle name="D   Title" xfId="60" xr:uid="{00000000-0005-0000-0000-00002E000000}"/>
    <cellStyle name="D  Header" xfId="64" xr:uid="{00000000-0005-0000-0000-00002F000000}"/>
    <cellStyle name="E   Title" xfId="61" xr:uid="{00000000-0005-0000-0000-000030000000}"/>
    <cellStyle name="E  Header" xfId="65" xr:uid="{00000000-0005-0000-0000-000031000000}"/>
    <cellStyle name="Explanatory Text" xfId="16" builtinId="53" hidden="1"/>
    <cellStyle name="F   Title" xfId="62" xr:uid="{00000000-0005-0000-0000-000033000000}"/>
    <cellStyle name="F  Header" xfId="66" xr:uid="{00000000-0005-0000-0000-000034000000}"/>
    <cellStyle name="G   Title" xfId="63" xr:uid="{00000000-0005-0000-0000-000035000000}"/>
    <cellStyle name="G  Header" xfId="67" xr:uid="{00000000-0005-0000-0000-000036000000}"/>
    <cellStyle name="Good" xfId="6" builtinId="26" customBuiltin="1"/>
    <cellStyle name="H   Title" xfId="78" xr:uid="{00000000-0005-0000-0000-000038000000}"/>
    <cellStyle name="H  Header" xfId="77" xr:uid="{00000000-0005-0000-0000-000039000000}"/>
    <cellStyle name="Heading 1" xfId="2" builtinId="16" hidden="1"/>
    <cellStyle name="Heading 2" xfId="3" builtinId="17" hidden="1"/>
    <cellStyle name="Heading 3" xfId="4" builtinId="18" hidden="1"/>
    <cellStyle name="Heading 4" xfId="5" builtinId="19" hidden="1"/>
    <cellStyle name="Input" xfId="9" builtinId="20" hidden="1"/>
    <cellStyle name="Linked Cell" xfId="12" builtinId="24" hidden="1"/>
    <cellStyle name="Neutral" xfId="8" builtinId="28" customBuiltin="1"/>
    <cellStyle name="Normal" xfId="0" builtinId="0" customBuiltin="1"/>
    <cellStyle name="Note" xfId="15" builtinId="10" hidden="1"/>
    <cellStyle name="Num $" xfId="88" xr:uid="{00000000-0005-0000-0000-000043000000}"/>
    <cellStyle name="Num $.00" xfId="87" xr:uid="{00000000-0005-0000-0000-000044000000}"/>
    <cellStyle name="Num 0" xfId="45" xr:uid="{00000000-0005-0000-0000-000045000000}"/>
    <cellStyle name="Num 0.00" xfId="50" xr:uid="{00000000-0005-0000-0000-000046000000}"/>
    <cellStyle name="Num 0.0000" xfId="51" xr:uid="{00000000-0005-0000-0000-000047000000}"/>
    <cellStyle name="Output" xfId="10" builtinId="21" hidden="1"/>
    <cellStyle name="Pct 0.0%" xfId="47" xr:uid="{00000000-0005-0000-0000-00004A000000}"/>
    <cellStyle name="Pct 0.00%" xfId="49" xr:uid="{00000000-0005-0000-0000-00004B000000}"/>
    <cellStyle name="Pct 0%" xfId="43" xr:uid="{00000000-0005-0000-0000-000049000000}"/>
    <cellStyle name="Percent" xfId="76" builtinId="5" hidden="1"/>
    <cellStyle name="Percent" xfId="59" builtinId="5" hidden="1"/>
    <cellStyle name="Percent" xfId="83" builtinId="5" customBuiltin="1"/>
    <cellStyle name="R 0.00" xfId="91" xr:uid="{00000000-0005-0000-0000-00004F000000}"/>
    <cellStyle name="R 0.0000" xfId="90" xr:uid="{00000000-0005-0000-0000-000050000000}"/>
    <cellStyle name="Title" xfId="1" builtinId="15" hidden="1"/>
    <cellStyle name="Total" xfId="17" builtinId="25" hidden="1"/>
    <cellStyle name="Total" xfId="48" builtinId="25" hidden="1"/>
    <cellStyle name="TxtComment" xfId="42" xr:uid="{00000000-0005-0000-0000-000054000000}"/>
    <cellStyle name="TxtGeneral" xfId="93" xr:uid="{00000000-0005-0000-0000-000055000000}"/>
    <cellStyle name="TxtIndex" xfId="44" xr:uid="{00000000-0005-0000-0000-000056000000}"/>
    <cellStyle name="TxtTotal" xfId="46" xr:uid="{00000000-0005-0000-0000-000057000000}"/>
    <cellStyle name="Warning Text" xfId="14" builtinId="11" hidden="1"/>
    <cellStyle name="White" xfId="92" xr:uid="{00000000-0005-0000-0000-000059000000}"/>
    <cellStyle name="yyyy" xfId="71" xr:uid="{00000000-0005-0000-0000-00005A000000}"/>
    <cellStyle name="yyyy-mm" xfId="70" xr:uid="{00000000-0005-0000-0000-00005B000000}"/>
    <cellStyle name="yyyy-mm-dd" xfId="69" xr:uid="{00000000-0005-0000-0000-00005D000000}"/>
    <cellStyle name="yyyymmdd" xfId="89" xr:uid="{00000000-0005-0000-0000-00005C000000}"/>
  </cellStyles>
  <dxfs count="0"/>
  <tableStyles count="0" defaultTableStyle="TableStyleMedium2" defaultPivotStyle="PivotStyleLight16"/>
  <colors>
    <mruColors>
      <color rgb="FFD2E0EC"/>
      <color rgb="FF6DCBE1"/>
      <color rgb="FFC3B12F"/>
      <color rgb="FFBEC131"/>
      <color rgb="FF008E40"/>
      <color rgb="FF009E47"/>
      <color rgb="FFECECD2"/>
      <color rgb="FFEAECD2"/>
      <color rgb="FFECD2D2"/>
      <color rgb="FFD2EC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11</xdr:col>
      <xdr:colOff>296334</xdr:colOff>
      <xdr:row>20</xdr:row>
      <xdr:rowOff>169335</xdr:rowOff>
    </xdr:to>
    <xdr:sp macro="" textlink="">
      <xdr:nvSpPr>
        <xdr:cNvPr id="3" name="TextBox 2">
          <a:extLst>
            <a:ext uri="{FF2B5EF4-FFF2-40B4-BE49-F238E27FC236}">
              <a16:creationId xmlns:a16="http://schemas.microsoft.com/office/drawing/2014/main" id="{5E0A685E-CC6E-1E4E-820D-26578E87831B}"/>
            </a:ext>
          </a:extLst>
        </xdr:cNvPr>
        <xdr:cNvSpPr txBox="1"/>
      </xdr:nvSpPr>
      <xdr:spPr>
        <a:xfrm>
          <a:off x="694267" y="186267"/>
          <a:ext cx="7239000" cy="3708401"/>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obertsgrava/Library/CloudStorage/OneDrive-Personal/CAIM/2023/2310%20CAIM%20CB%20Seminar/QW%20I%202017/JPMAM%20QW%20I%2001%20Risk%20and%20Diversification%20SOLU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Univariate"/>
      <sheetName val="Risk Measures"/>
      <sheetName val="Dependence"/>
      <sheetName val="Multivariate"/>
      <sheetName val="Hints"/>
      <sheetName val="Boiler Room"/>
    </sheetNames>
    <sheetDataSet>
      <sheetData sheetId="0"/>
      <sheetData sheetId="1">
        <row r="3">
          <cell r="L3">
            <v>0.95</v>
          </cell>
        </row>
        <row r="12">
          <cell r="C12" t="str">
            <v>US.CASH</v>
          </cell>
          <cell r="D12" t="str">
            <v>US.GOVT.13</v>
          </cell>
          <cell r="E12" t="str">
            <v>US.GOVT</v>
          </cell>
          <cell r="F12" t="str">
            <v>US.CORP</v>
          </cell>
          <cell r="G12" t="str">
            <v>US.HY</v>
          </cell>
          <cell r="H12" t="str">
            <v>US.EQ</v>
          </cell>
          <cell r="I12" t="str">
            <v>GL.EQ</v>
          </cell>
          <cell r="J12" t="str">
            <v>HFOF</v>
          </cell>
          <cell r="K12" t="str">
            <v>REIT</v>
          </cell>
          <cell r="L12" t="str">
            <v>PE</v>
          </cell>
        </row>
        <row r="14">
          <cell r="O14">
            <v>4.0599166666666665E-3</v>
          </cell>
          <cell r="P14">
            <v>3.8266234516892705E-3</v>
          </cell>
          <cell r="Q14">
            <v>5.1182625947192584E-3</v>
          </cell>
          <cell r="R14">
            <v>8.6237809614901906E-3</v>
          </cell>
          <cell r="S14">
            <v>1.4628945748702993E-2</v>
          </cell>
          <cell r="T14">
            <v>3.1508028596025195E-2</v>
          </cell>
          <cell r="U14">
            <v>3.6086415168527175E-2</v>
          </cell>
          <cell r="V14">
            <v>1.6250018524567089E-2</v>
          </cell>
          <cell r="W14">
            <v>6.2641069524022264E-2</v>
          </cell>
          <cell r="X14">
            <v>5.3013308026554462E-2</v>
          </cell>
        </row>
        <row r="15">
          <cell r="O15">
            <v>4.2271666666666664E-3</v>
          </cell>
          <cell r="P15">
            <v>5.0756062737051799E-3</v>
          </cell>
          <cell r="Q15">
            <v>1.0388851045047387E-2</v>
          </cell>
          <cell r="R15">
            <v>1.4163739755291171E-2</v>
          </cell>
          <cell r="S15">
            <v>1.4840491794399613E-2</v>
          </cell>
          <cell r="T15">
            <v>1.6466609576614388E-2</v>
          </cell>
          <cell r="U15">
            <v>2.2657474366272412E-2</v>
          </cell>
          <cell r="V15">
            <v>1.7829984452331971E-2</v>
          </cell>
          <cell r="W15">
            <v>4.6486337377391829E-2</v>
          </cell>
          <cell r="X15">
            <v>2.4975118898010518E-2</v>
          </cell>
        </row>
        <row r="16">
          <cell r="O16">
            <v>4.1827499999999998E-3</v>
          </cell>
          <cell r="P16">
            <v>1.8778266861452231E-4</v>
          </cell>
          <cell r="Q16">
            <v>-8.2093623797128146E-3</v>
          </cell>
          <cell r="R16">
            <v>-8.9837987108465356E-3</v>
          </cell>
          <cell r="S16">
            <v>1.1143726316912961E-2</v>
          </cell>
          <cell r="T16">
            <v>1.2615751483260995E-2</v>
          </cell>
          <cell r="U16">
            <v>1.9523492100579132E-2</v>
          </cell>
          <cell r="V16">
            <v>1.7860009511927233E-2</v>
          </cell>
          <cell r="W16">
            <v>-1.5632382014497903E-2</v>
          </cell>
          <cell r="X16">
            <v>1.5623278440635602E-2</v>
          </cell>
        </row>
        <row r="17">
          <cell r="O17">
            <v>4.1717500000000001E-3</v>
          </cell>
          <cell r="P17">
            <v>2.1500791297006661E-3</v>
          </cell>
          <cell r="Q17">
            <v>-1.5263740464930287E-3</v>
          </cell>
          <cell r="R17">
            <v>3.2647993913959006E-4</v>
          </cell>
          <cell r="S17">
            <v>1.0947017280874993E-2</v>
          </cell>
          <cell r="T17">
            <v>1.4059084819854739E-2</v>
          </cell>
          <cell r="U17">
            <v>1.1222852828967733E-2</v>
          </cell>
          <cell r="V17">
            <v>1.2942254448817581E-2</v>
          </cell>
          <cell r="W17">
            <v>8.4212987328656785E-2</v>
          </cell>
          <cell r="X17">
            <v>1.8005555709940335E-2</v>
          </cell>
        </row>
        <row r="18">
          <cell r="O18">
            <v>4.2525833333333339E-3</v>
          </cell>
          <cell r="P18">
            <v>7.9743179121554153E-3</v>
          </cell>
          <cell r="Q18">
            <v>1.649399879689506E-2</v>
          </cell>
          <cell r="R18">
            <v>2.0295841681039706E-2</v>
          </cell>
          <cell r="S18">
            <v>1.4483219514232593E-2</v>
          </cell>
          <cell r="T18">
            <v>-2.1846145288686225E-2</v>
          </cell>
          <cell r="U18">
            <v>-6.5256660645367504E-3</v>
          </cell>
          <cell r="V18">
            <v>8.1972118953617112E-3</v>
          </cell>
          <cell r="W18">
            <v>-2.2392029607787967E-2</v>
          </cell>
          <cell r="X18">
            <v>-3.9957048076285639E-3</v>
          </cell>
        </row>
        <row r="19">
          <cell r="O19">
            <v>4.2699166666666667E-3</v>
          </cell>
          <cell r="P19">
            <v>3.8411579337551682E-3</v>
          </cell>
          <cell r="Q19">
            <v>-5.6173231482581354E-4</v>
          </cell>
          <cell r="R19">
            <v>-4.8698411580789802E-3</v>
          </cell>
          <cell r="S19">
            <v>2.902638106903499E-3</v>
          </cell>
          <cell r="T19">
            <v>9.9799547916576969E-3</v>
          </cell>
          <cell r="U19">
            <v>1.5928182281742309E-2</v>
          </cell>
          <cell r="V19">
            <v>1.1549314300771663E-2</v>
          </cell>
          <cell r="W19">
            <v>-2.3868843793362071E-2</v>
          </cell>
          <cell r="X19">
            <v>1.9780647221934178E-3</v>
          </cell>
        </row>
        <row r="20">
          <cell r="O20">
            <v>4.1896666666666662E-3</v>
          </cell>
          <cell r="P20">
            <v>3.5597165197835956E-3</v>
          </cell>
          <cell r="Q20">
            <v>5.252987407492471E-3</v>
          </cell>
          <cell r="R20">
            <v>7.39631977280375E-3</v>
          </cell>
          <cell r="S20">
            <v>1.331143839482718E-2</v>
          </cell>
          <cell r="T20">
            <v>4.3290683107413797E-2</v>
          </cell>
          <cell r="U20">
            <v>4.2055766157260033E-2</v>
          </cell>
          <cell r="V20">
            <v>1.67607619123884E-2</v>
          </cell>
          <cell r="W20">
            <v>-1.9809667914305606E-4</v>
          </cell>
          <cell r="X20">
            <v>1.9186907107711537E-2</v>
          </cell>
        </row>
        <row r="21">
          <cell r="O21">
            <v>4.0334166666666661E-3</v>
          </cell>
          <cell r="P21">
            <v>-7.3693580632450129E-4</v>
          </cell>
          <cell r="Q21">
            <v>-8.695205015169849E-3</v>
          </cell>
          <cell r="R21">
            <v>-9.9013677728733152E-3</v>
          </cell>
          <cell r="S21">
            <v>6.6543775067859912E-3</v>
          </cell>
          <cell r="T21">
            <v>3.2549228600146973E-2</v>
          </cell>
          <cell r="U21">
            <v>2.4723359486900076E-2</v>
          </cell>
          <cell r="V21">
            <v>2.1465347532600321E-2</v>
          </cell>
          <cell r="W21">
            <v>5.2272041626477694E-4</v>
          </cell>
          <cell r="X21">
            <v>2.0437539918582326E-2</v>
          </cell>
        </row>
        <row r="22">
          <cell r="O22">
            <v>3.9425833333333327E-3</v>
          </cell>
          <cell r="P22">
            <v>4.1912188853108212E-3</v>
          </cell>
          <cell r="Q22">
            <v>-5.2345897920791362E-4</v>
          </cell>
          <cell r="R22">
            <v>-4.8035850460820262E-3</v>
          </cell>
          <cell r="S22">
            <v>-1.6998863053255375E-2</v>
          </cell>
          <cell r="T22">
            <v>-1.7816309730697366E-2</v>
          </cell>
          <cell r="U22">
            <v>-8.9741290270708429E-3</v>
          </cell>
          <cell r="V22">
            <v>5.2586548845623415E-3</v>
          </cell>
          <cell r="W22">
            <v>-9.0686903788091522E-2</v>
          </cell>
          <cell r="X22">
            <v>-6.9446411374837203E-3</v>
          </cell>
        </row>
        <row r="23">
          <cell r="O23">
            <v>4.0016666666666664E-3</v>
          </cell>
          <cell r="P23">
            <v>9.1067831875091265E-3</v>
          </cell>
          <cell r="Q23">
            <v>1.6601868453335777E-2</v>
          </cell>
          <cell r="R23">
            <v>2.8548920904865049E-3</v>
          </cell>
          <cell r="S23">
            <v>-3.1228409561973258E-2</v>
          </cell>
          <cell r="T23">
            <v>-3.1981907074200899E-2</v>
          </cell>
          <cell r="U23">
            <v>-2.2810105094984823E-2</v>
          </cell>
          <cell r="V23">
            <v>1.9128343868641817E-3</v>
          </cell>
          <cell r="W23">
            <v>-7.8021922701465241E-2</v>
          </cell>
          <cell r="X23">
            <v>-5.9200455535038499E-2</v>
          </cell>
        </row>
        <row r="24">
          <cell r="O24">
            <v>4.1171666666666665E-3</v>
          </cell>
          <cell r="P24">
            <v>1.0279415640028988E-2</v>
          </cell>
          <cell r="Q24">
            <v>1.5761728703333366E-2</v>
          </cell>
          <cell r="R24">
            <v>9.8466447879570485E-3</v>
          </cell>
          <cell r="S24">
            <v>1.2525290944917389E-2</v>
          </cell>
          <cell r="T24">
            <v>1.2863592323073991E-2</v>
          </cell>
          <cell r="U24">
            <v>-2.6950907198191043E-3</v>
          </cell>
          <cell r="V24">
            <v>-2.1834293319518805E-2</v>
          </cell>
          <cell r="W24">
            <v>6.5713271680774232E-2</v>
          </cell>
          <cell r="X24">
            <v>-9.8493858987607208E-3</v>
          </cell>
        </row>
        <row r="25">
          <cell r="O25">
            <v>3.4215833333333333E-3</v>
          </cell>
          <cell r="P25">
            <v>7.0844736622235338E-3</v>
          </cell>
          <cell r="Q25">
            <v>5.363378242906558E-3</v>
          </cell>
          <cell r="R25">
            <v>5.6058559624487803E-3</v>
          </cell>
          <cell r="S25">
            <v>2.3347663668426666E-2</v>
          </cell>
          <cell r="T25">
            <v>3.579400131615551E-2</v>
          </cell>
          <cell r="U25">
            <v>4.6100448901440272E-2</v>
          </cell>
          <cell r="V25">
            <v>1.8790037969382833E-2</v>
          </cell>
          <cell r="W25">
            <v>4.4057632676337333E-2</v>
          </cell>
          <cell r="X25">
            <v>2.2066427826476831E-2</v>
          </cell>
          <cell r="Z25">
            <v>39353</v>
          </cell>
          <cell r="AA25">
            <v>4.9979495522337825E-2</v>
          </cell>
          <cell r="AB25">
            <v>5.7962373855223959E-2</v>
          </cell>
          <cell r="AC25">
            <v>5.6438207782256056E-2</v>
          </cell>
          <cell r="AD25">
            <v>4.081789013785353E-2</v>
          </cell>
          <cell r="AE25">
            <v>7.7898311791083863E-2</v>
          </cell>
          <cell r="AF25">
            <v>0.14290526630984024</v>
          </cell>
          <cell r="AG25">
            <v>0.18946824235275295</v>
          </cell>
          <cell r="AH25">
            <v>0.13377897315203868</v>
          </cell>
          <cell r="AI25">
            <v>5.6829174248625325E-2</v>
          </cell>
          <cell r="AJ25">
            <v>9.5066789099925719E-2</v>
          </cell>
        </row>
        <row r="26">
          <cell r="O26">
            <v>3.163E-3</v>
          </cell>
          <cell r="P26">
            <v>3.6969025541409017E-3</v>
          </cell>
          <cell r="Q26">
            <v>7.8544406085758744E-3</v>
          </cell>
          <cell r="R26">
            <v>1.0869847230828844E-2</v>
          </cell>
          <cell r="S26">
            <v>6.8113570201333573E-3</v>
          </cell>
          <cell r="T26">
            <v>1.4822335025380884E-2</v>
          </cell>
          <cell r="U26">
            <v>2.9854675008263998E-2</v>
          </cell>
          <cell r="V26">
            <v>3.0656165055060747E-2</v>
          </cell>
          <cell r="W26">
            <v>1.1205700996394397E-2</v>
          </cell>
          <cell r="X26">
            <v>1.2770306469701787E-2</v>
          </cell>
          <cell r="Z26">
            <v>39386</v>
          </cell>
          <cell r="AA26">
            <v>4.9041559355819997E-2</v>
          </cell>
          <cell r="AB26">
            <v>5.7825657189713109E-2</v>
          </cell>
          <cell r="AC26">
            <v>5.9314091252595125E-2</v>
          </cell>
          <cell r="AD26">
            <v>4.3135648255091974E-2</v>
          </cell>
          <cell r="AE26">
            <v>6.9593240535123835E-2</v>
          </cell>
          <cell r="AF26">
            <v>0.12441760889443665</v>
          </cell>
          <cell r="AG26">
            <v>0.18231395781942883</v>
          </cell>
          <cell r="AH26">
            <v>0.14985118542528864</v>
          </cell>
          <cell r="AI26">
            <v>5.6751208177947543E-3</v>
          </cell>
          <cell r="AJ26">
            <v>5.3216629977820507E-2</v>
          </cell>
        </row>
        <row r="27">
          <cell r="O27">
            <v>3.2593333333333333E-3</v>
          </cell>
          <cell r="P27">
            <v>1.7180602974248282E-2</v>
          </cell>
          <cell r="Q27">
            <v>3.0392781996116502E-2</v>
          </cell>
          <cell r="R27">
            <v>8.7915852907327618E-3</v>
          </cell>
          <cell r="S27">
            <v>-1.9753999159404345E-2</v>
          </cell>
          <cell r="T27">
            <v>-4.4043423821141348E-2</v>
          </cell>
          <cell r="U27">
            <v>-4.2446577703807109E-2</v>
          </cell>
          <cell r="V27">
            <v>-1.4675704327976047E-2</v>
          </cell>
          <cell r="W27">
            <v>-9.0695696941819892E-2</v>
          </cell>
          <cell r="X27">
            <v>-8.9545604723409999E-2</v>
          </cell>
          <cell r="Z27">
            <v>39416</v>
          </cell>
          <cell r="AA27">
            <v>4.8030535731985458E-2</v>
          </cell>
          <cell r="AB27">
            <v>7.0565968475851726E-2</v>
          </cell>
          <cell r="AC27">
            <v>8.0286656334834339E-2</v>
          </cell>
          <cell r="AD27">
            <v>3.7610025902170996E-2</v>
          </cell>
          <cell r="AE27">
            <v>3.313230506484488E-2</v>
          </cell>
          <cell r="AF27">
            <v>5.748127628281563E-2</v>
          </cell>
          <cell r="AG27">
            <v>0.10704591216146597</v>
          </cell>
          <cell r="AH27">
            <v>0.11312923249794005</v>
          </cell>
          <cell r="AI27">
            <v>-0.1261570436457643</v>
          </cell>
          <cell r="AJ27">
            <v>-6.4459524663720846E-2</v>
          </cell>
        </row>
        <row r="28">
          <cell r="O28">
            <v>2.6204166666666667E-3</v>
          </cell>
          <cell r="P28">
            <v>2.6181927731141474E-3</v>
          </cell>
          <cell r="Q28">
            <v>1.2140235032149782E-3</v>
          </cell>
          <cell r="R28">
            <v>-5.5973648600271542E-4</v>
          </cell>
          <cell r="S28">
            <v>3.4818006178387595E-3</v>
          </cell>
          <cell r="T28">
            <v>-8.628488866683881E-3</v>
          </cell>
          <cell r="U28">
            <v>-1.3743528623040069E-2</v>
          </cell>
          <cell r="V28">
            <v>3.3379196444245363E-3</v>
          </cell>
          <cell r="W28">
            <v>-5.0283380611777173E-2</v>
          </cell>
          <cell r="X28">
            <v>-6.923558897243165E-3</v>
          </cell>
          <cell r="Z28">
            <v>39447</v>
          </cell>
          <cell r="AA28">
            <v>4.6399982886574209E-2</v>
          </cell>
          <cell r="AB28">
            <v>7.3167394320481582E-2</v>
          </cell>
          <cell r="AC28">
            <v>9.0550877069209168E-2</v>
          </cell>
          <cell r="AD28">
            <v>4.6430155595259093E-2</v>
          </cell>
          <cell r="AE28">
            <v>2.5303761255792701E-2</v>
          </cell>
          <cell r="AF28">
            <v>3.5295776633998299E-2</v>
          </cell>
          <cell r="AG28">
            <v>7.0923037517356624E-2</v>
          </cell>
          <cell r="AH28">
            <v>9.7247910314715025E-2</v>
          </cell>
          <cell r="AI28">
            <v>-0.1569174328556816</v>
          </cell>
          <cell r="AJ28">
            <v>-8.5228523728802297E-2</v>
          </cell>
        </row>
        <row r="29">
          <cell r="O29">
            <v>2.6973333333333333E-3</v>
          </cell>
          <cell r="P29">
            <v>1.7362253949897877E-2</v>
          </cell>
          <cell r="Q29">
            <v>2.5227539167509638E-2</v>
          </cell>
          <cell r="R29">
            <v>1.1817883117690497E-2</v>
          </cell>
          <cell r="S29">
            <v>-1.5001132549471885E-2</v>
          </cell>
          <cell r="T29">
            <v>-6.1163474897164116E-2</v>
          </cell>
          <cell r="U29">
            <v>-7.707074521651569E-2</v>
          </cell>
          <cell r="V29">
            <v>-2.8342341803256788E-2</v>
          </cell>
          <cell r="W29">
            <v>-1.0256848792108197E-2</v>
          </cell>
          <cell r="X29">
            <v>-7.5102264004122121E-2</v>
          </cell>
          <cell r="Z29">
            <v>39478</v>
          </cell>
          <cell r="AA29">
            <v>4.4863562872002216E-2</v>
          </cell>
          <cell r="AB29">
            <v>8.9457579147804056E-2</v>
          </cell>
          <cell r="AC29">
            <v>0.11977198292736513</v>
          </cell>
          <cell r="AD29">
            <v>5.8451181787498196E-2</v>
          </cell>
          <cell r="AE29">
            <v>-1.0128855752569166E-3</v>
          </cell>
          <cell r="AF29">
            <v>-4.1502113694515841E-2</v>
          </cell>
          <cell r="AG29">
            <v>-2.2583203908734251E-2</v>
          </cell>
          <cell r="AH29">
            <v>5.2527259392294301E-2</v>
          </cell>
          <cell r="AI29">
            <v>-0.23037705092448313</v>
          </cell>
          <cell r="AJ29">
            <v>-0.168894449925863</v>
          </cell>
        </row>
        <row r="30">
          <cell r="O30">
            <v>1.6174166666666667E-3</v>
          </cell>
          <cell r="P30">
            <v>1.0003876417102431E-2</v>
          </cell>
          <cell r="Q30">
            <v>1.0873810250646709E-2</v>
          </cell>
          <cell r="R30">
            <v>7.2377401633727523E-4</v>
          </cell>
          <cell r="S30">
            <v>-1.103283195183391E-2</v>
          </cell>
          <cell r="T30">
            <v>-3.4761162090602316E-2</v>
          </cell>
          <cell r="U30">
            <v>-7.3584069287686571E-3</v>
          </cell>
          <cell r="V30">
            <v>1.2406877158998464E-2</v>
          </cell>
          <cell r="W30">
            <v>-3.5582260216569406E-2</v>
          </cell>
          <cell r="X30">
            <v>-2.9293388664658138E-2</v>
          </cell>
          <cell r="Z30">
            <v>39507</v>
          </cell>
          <cell r="AA30">
            <v>4.2121832676043525E-2</v>
          </cell>
          <cell r="AB30">
            <v>9.1651204378373485E-2</v>
          </cell>
          <cell r="AC30">
            <v>0.11358077109502074</v>
          </cell>
          <cell r="AD30">
            <v>3.8147190235795492E-2</v>
          </cell>
          <cell r="AE30">
            <v>-2.6139182526530469E-2</v>
          </cell>
          <cell r="AF30">
            <v>-5.4157603673533394E-2</v>
          </cell>
          <cell r="AG30">
            <v>-2.3402485172163701E-2</v>
          </cell>
          <cell r="AH30">
            <v>5.69220220345803E-2</v>
          </cell>
          <cell r="AI30">
            <v>-0.24076107446721673</v>
          </cell>
          <cell r="AJ30">
            <v>-0.1900038422839927</v>
          </cell>
        </row>
        <row r="31">
          <cell r="O31">
            <v>1.5316666666666666E-3</v>
          </cell>
          <cell r="P31">
            <v>2.2104698162175307E-3</v>
          </cell>
          <cell r="Q31">
            <v>7.2519270707680494E-3</v>
          </cell>
          <cell r="R31">
            <v>-1.3274600165815498E-2</v>
          </cell>
          <cell r="S31">
            <v>-3.9265009750193425E-3</v>
          </cell>
          <cell r="T31">
            <v>-5.9595830546433914E-3</v>
          </cell>
          <cell r="U31">
            <v>-1.2476297782296752E-2</v>
          </cell>
          <cell r="V31">
            <v>-2.5935990429313827E-2</v>
          </cell>
          <cell r="W31">
            <v>6.2313864063653801E-2</v>
          </cell>
          <cell r="X31">
            <v>-2.5659270190973027E-2</v>
          </cell>
          <cell r="Z31">
            <v>39538</v>
          </cell>
          <cell r="AA31">
            <v>3.9280375353696551E-2</v>
          </cell>
          <cell r="AB31">
            <v>8.9877873375350026E-2</v>
          </cell>
          <cell r="AC31">
            <v>0.12228680239782119</v>
          </cell>
          <cell r="AD31">
            <v>2.9379114149502783E-2</v>
          </cell>
          <cell r="AE31">
            <v>-3.2770564992046003E-2</v>
          </cell>
          <cell r="AF31">
            <v>-6.9084920400320771E-2</v>
          </cell>
          <cell r="AG31">
            <v>-5.0707313529434583E-2</v>
          </cell>
          <cell r="AH31">
            <v>1.7755326440218155E-2</v>
          </cell>
          <cell r="AI31">
            <v>-0.17372780122640752</v>
          </cell>
          <cell r="AJ31">
            <v>-0.21234578356729006</v>
          </cell>
        </row>
        <row r="32">
          <cell r="O32">
            <v>1.0963333333333333E-3</v>
          </cell>
          <cell r="P32">
            <v>-7.7915646091355484E-3</v>
          </cell>
          <cell r="Q32">
            <v>-1.6950359064547893E-2</v>
          </cell>
          <cell r="R32">
            <v>5.7222258433424766E-3</v>
          </cell>
          <cell r="S32">
            <v>3.998217355319289E-2</v>
          </cell>
          <cell r="T32">
            <v>4.7546684811370588E-2</v>
          </cell>
          <cell r="U32">
            <v>4.9805203840266987E-2</v>
          </cell>
          <cell r="V32">
            <v>9.7373502364541675E-3</v>
          </cell>
          <cell r="W32">
            <v>5.8592356994843664E-2</v>
          </cell>
          <cell r="X32">
            <v>1.41069782242913E-2</v>
          </cell>
          <cell r="Z32">
            <v>39568</v>
          </cell>
          <cell r="AA32">
            <v>3.6078947640909798E-2</v>
          </cell>
          <cell r="AB32">
            <v>7.7550246096949937E-2</v>
          </cell>
          <cell r="AC32">
            <v>9.7498492363646383E-2</v>
          </cell>
          <cell r="AD32">
            <v>2.7668489152876674E-2</v>
          </cell>
          <cell r="AE32">
            <v>-7.3127253575335782E-3</v>
          </cell>
          <cell r="AF32">
            <v>-6.528734391548674E-2</v>
          </cell>
          <cell r="AG32">
            <v>-4.3647725400225879E-2</v>
          </cell>
          <cell r="AH32">
            <v>1.0725044676078932E-2</v>
          </cell>
          <cell r="AI32">
            <v>-0.12514125896963324</v>
          </cell>
          <cell r="AJ32">
            <v>-0.21627168506415984</v>
          </cell>
        </row>
        <row r="33">
          <cell r="O33">
            <v>1.1476666666666666E-3</v>
          </cell>
          <cell r="P33">
            <v>-3.6381118576714888E-3</v>
          </cell>
          <cell r="Q33">
            <v>-1.2049393654133711E-2</v>
          </cell>
          <cell r="R33">
            <v>-9.1009947050794127E-3</v>
          </cell>
          <cell r="S33">
            <v>4.4842363024180099E-3</v>
          </cell>
          <cell r="T33">
            <v>1.0674153248796614E-2</v>
          </cell>
          <cell r="U33">
            <v>1.1093512879475576E-2</v>
          </cell>
          <cell r="V33">
            <v>1.8462281598387476E-2</v>
          </cell>
          <cell r="W33">
            <v>7.7082057736999054E-3</v>
          </cell>
          <cell r="X33">
            <v>3.8051620576317502E-2</v>
          </cell>
          <cell r="Z33">
            <v>39598</v>
          </cell>
          <cell r="AA33">
            <v>3.3101093743297172E-2</v>
          </cell>
          <cell r="AB33">
            <v>7.4421777648431942E-2</v>
          </cell>
          <cell r="AC33">
            <v>9.378498568740512E-2</v>
          </cell>
          <cell r="AD33">
            <v>2.8499232832916555E-2</v>
          </cell>
          <cell r="AE33">
            <v>-9.4527563412449833E-3</v>
          </cell>
          <cell r="AF33">
            <v>-8.5089702212175267E-2</v>
          </cell>
          <cell r="AG33">
            <v>-5.6368168127307827E-2</v>
          </cell>
          <cell r="AH33">
            <v>7.7535547886791178E-3</v>
          </cell>
          <cell r="AI33">
            <v>-0.11885825854873078</v>
          </cell>
          <cell r="AJ33">
            <v>-0.20274351385033695</v>
          </cell>
        </row>
        <row r="34">
          <cell r="O34">
            <v>1.5658333333333334E-3</v>
          </cell>
          <cell r="P34">
            <v>2.8785932659363134E-3</v>
          </cell>
          <cell r="Q34">
            <v>8.3444641719214729E-3</v>
          </cell>
          <cell r="R34">
            <v>-3.8380583170812832E-3</v>
          </cell>
          <cell r="S34">
            <v>-2.3936129690856678E-2</v>
          </cell>
          <cell r="T34">
            <v>-8.5962381639269392E-2</v>
          </cell>
          <cell r="U34">
            <v>-8.1010401578260782E-2</v>
          </cell>
          <cell r="V34">
            <v>-8.081337807452682E-3</v>
          </cell>
          <cell r="W34">
            <v>-0.10875523887934557</v>
          </cell>
          <cell r="X34">
            <v>-7.3752231909912203E-2</v>
          </cell>
          <cell r="Z34">
            <v>39629</v>
          </cell>
          <cell r="AA34">
            <v>3.0655313411515728E-2</v>
          </cell>
          <cell r="AB34">
            <v>7.3017350359254607E-2</v>
          </cell>
          <cell r="AC34">
            <v>0.10348966688685501</v>
          </cell>
          <cell r="AD34">
            <v>2.9497069526392528E-2</v>
          </cell>
          <cell r="AE34">
            <v>-1.6443277601216E-2</v>
          </cell>
          <cell r="AF34">
            <v>-0.14856819769182128</v>
          </cell>
          <cell r="AG34">
            <v>-0.12495943483362015</v>
          </cell>
          <cell r="AH34">
            <v>-5.6195457470996635E-3</v>
          </cell>
          <cell r="AI34">
            <v>-0.13636682002635236</v>
          </cell>
          <cell r="AJ34">
            <v>-0.25637877656958785</v>
          </cell>
        </row>
        <row r="35">
          <cell r="O35">
            <v>1.4421666666666667E-3</v>
          </cell>
          <cell r="P35">
            <v>4.0165269094718514E-3</v>
          </cell>
          <cell r="Q35">
            <v>3.9893344096981753E-3</v>
          </cell>
          <cell r="R35">
            <v>-8.6111550479441856E-3</v>
          </cell>
          <cell r="S35">
            <v>-1.5396542932367585E-2</v>
          </cell>
          <cell r="T35">
            <v>-9.8593749999998925E-3</v>
          </cell>
          <cell r="U35">
            <v>-2.5268698337529427E-2</v>
          </cell>
          <cell r="V35">
            <v>-2.6122942477532662E-2</v>
          </cell>
          <cell r="W35">
            <v>3.4710764746879619E-2</v>
          </cell>
          <cell r="X35">
            <v>1.6297952781792135E-2</v>
          </cell>
          <cell r="Z35">
            <v>39660</v>
          </cell>
          <cell r="AA35">
            <v>2.802786530833079E-2</v>
          </cell>
          <cell r="AB35">
            <v>6.7604708808222336E-2</v>
          </cell>
          <cell r="AC35">
            <v>8.9799153990604674E-2</v>
          </cell>
          <cell r="AD35">
            <v>1.7726411556664656E-2</v>
          </cell>
          <cell r="AE35">
            <v>-3.69789272941623E-4</v>
          </cell>
          <cell r="AF35">
            <v>-0.12911006205034092</v>
          </cell>
          <cell r="AG35">
            <v>-0.1271610220908026</v>
          </cell>
          <cell r="AH35">
            <v>-3.3444549656559186E-2</v>
          </cell>
          <cell r="AI35">
            <v>-3.076811681937297E-2</v>
          </cell>
          <cell r="AJ35">
            <v>-0.19670377025191488</v>
          </cell>
        </row>
        <row r="36">
          <cell r="O36">
            <v>1.3828333333333334E-3</v>
          </cell>
          <cell r="P36">
            <v>4.837383127107131E-3</v>
          </cell>
          <cell r="Q36">
            <v>1.2602712189521137E-2</v>
          </cell>
          <cell r="R36">
            <v>7.0194429961503158E-3</v>
          </cell>
          <cell r="S36">
            <v>2.8748540113197052E-3</v>
          </cell>
          <cell r="T36">
            <v>1.2190503242910378E-2</v>
          </cell>
          <cell r="U36">
            <v>-1.5980098046389224E-2</v>
          </cell>
          <cell r="V36">
            <v>-1.3897780726167874E-2</v>
          </cell>
          <cell r="W36">
            <v>2.2091943831425542E-2</v>
          </cell>
          <cell r="X36">
            <v>1.7646279835465739E-2</v>
          </cell>
          <cell r="Z36">
            <v>39689</v>
          </cell>
          <cell r="AA36">
            <v>2.5228420230582804E-2</v>
          </cell>
          <cell r="AB36">
            <v>6.1853884386443569E-2</v>
          </cell>
          <cell r="AC36">
            <v>8.6409881263633137E-2</v>
          </cell>
          <cell r="AD36">
            <v>1.4877149295733805E-2</v>
          </cell>
          <cell r="AE36">
            <v>-9.8973224534090187E-3</v>
          </cell>
          <cell r="AF36">
            <v>-0.12968880385891357</v>
          </cell>
          <cell r="AG36">
            <v>-0.13878803014875896</v>
          </cell>
          <cell r="AH36">
            <v>-2.5602238838021596E-2</v>
          </cell>
          <cell r="AI36">
            <v>-7.0440309013792946E-2</v>
          </cell>
          <cell r="AJ36">
            <v>-0.17439689662666713</v>
          </cell>
        </row>
        <row r="37">
          <cell r="O37">
            <v>1.4252500000000001E-3</v>
          </cell>
          <cell r="P37">
            <v>7.9057868939920173E-3</v>
          </cell>
          <cell r="Q37">
            <v>6.5476195483118449E-3</v>
          </cell>
          <cell r="R37">
            <v>-7.3374239290883603E-2</v>
          </cell>
          <cell r="S37">
            <v>-8.1066127068940896E-2</v>
          </cell>
          <cell r="T37">
            <v>-9.0791453271283018E-2</v>
          </cell>
          <cell r="U37">
            <v>-0.12077093526463711</v>
          </cell>
          <cell r="V37">
            <v>-6.5295530508631461E-2</v>
          </cell>
          <cell r="W37">
            <v>-1.9327063520495624E-3</v>
          </cell>
          <cell r="X37">
            <v>-0.10268180431977414</v>
          </cell>
          <cell r="Z37">
            <v>39721</v>
          </cell>
          <cell r="AA37">
            <v>2.3188701628170438E-2</v>
          </cell>
          <cell r="AB37">
            <v>6.2719864021975269E-2</v>
          </cell>
          <cell r="AC37">
            <v>8.7689589162126325E-2</v>
          </cell>
          <cell r="AD37">
            <v>-6.4831111596494684E-2</v>
          </cell>
          <cell r="AE37">
            <v>-0.11091907434881676</v>
          </cell>
          <cell r="AF37">
            <v>-0.23605043392827896</v>
          </cell>
          <cell r="AG37">
            <v>-0.27616645649432547</v>
          </cell>
          <cell r="AH37">
            <v>-0.10602390239719328</v>
          </cell>
          <cell r="AI37">
            <v>-0.11138705754336509</v>
          </cell>
          <cell r="AJ37">
            <v>-0.27516581418059305</v>
          </cell>
        </row>
        <row r="38">
          <cell r="O38">
            <v>7.536666666666667E-4</v>
          </cell>
          <cell r="P38">
            <v>9.1985144522923612E-3</v>
          </cell>
          <cell r="Q38">
            <v>-1.4566112853530155E-3</v>
          </cell>
          <cell r="R38">
            <v>-7.3814270690177985E-2</v>
          </cell>
          <cell r="S38">
            <v>-0.16455928480907411</v>
          </cell>
          <cell r="T38">
            <v>-0.16942453444905514</v>
          </cell>
          <cell r="U38">
            <v>-0.19044518115084064</v>
          </cell>
          <cell r="V38">
            <v>-5.7196273130460606E-2</v>
          </cell>
          <cell r="W38">
            <v>-0.31668203340344414</v>
          </cell>
          <cell r="X38">
            <v>-0.20915208504463967</v>
          </cell>
          <cell r="Z38">
            <v>39752</v>
          </cell>
          <cell r="AA38">
            <v>2.0731271833488218E-2</v>
          </cell>
          <cell r="AB38">
            <v>6.8545001305378994E-2</v>
          </cell>
          <cell r="AC38">
            <v>7.7640981147798716E-2</v>
          </cell>
          <cell r="AD38">
            <v>-0.14317349428657378</v>
          </cell>
          <cell r="AE38">
            <v>-0.26225066969146094</v>
          </cell>
          <cell r="AF38">
            <v>-0.37474989995998398</v>
          </cell>
          <cell r="AG38">
            <v>-0.43100425000743015</v>
          </cell>
          <cell r="AH38">
            <v>-0.18222582357794737</v>
          </cell>
          <cell r="AI38">
            <v>-0.39952357039468944</v>
          </cell>
          <cell r="AJ38">
            <v>-0.43399445966992023</v>
          </cell>
        </row>
        <row r="39">
          <cell r="O39">
            <v>3.6333333333333335E-4</v>
          </cell>
          <cell r="P39">
            <v>1.1699459175943838E-2</v>
          </cell>
          <cell r="Q39">
            <v>5.377488764468108E-2</v>
          </cell>
          <cell r="R39">
            <v>3.8786167193549659E-2</v>
          </cell>
          <cell r="S39">
            <v>-8.0197680005491101E-2</v>
          </cell>
          <cell r="T39">
            <v>-7.4849032258064496E-2</v>
          </cell>
          <cell r="U39">
            <v>-6.7192478453904414E-2</v>
          </cell>
          <cell r="V39">
            <v>-2.6423082314796176E-2</v>
          </cell>
          <cell r="W39">
            <v>-0.23055367176052644</v>
          </cell>
          <cell r="X39">
            <v>-0.13759715332646194</v>
          </cell>
          <cell r="Z39">
            <v>39780</v>
          </cell>
          <cell r="AA39">
            <v>1.7784837481954696E-2</v>
          </cell>
          <cell r="AB39">
            <v>6.2787077107858691E-2</v>
          </cell>
          <cell r="AC39">
            <v>0.10209526277000425</v>
          </cell>
          <cell r="AD39">
            <v>-0.11769731746584922</v>
          </cell>
          <cell r="AE39">
            <v>-0.30774158220458925</v>
          </cell>
          <cell r="AF39">
            <v>-0.39489852410980741</v>
          </cell>
          <cell r="AG39">
            <v>-0.44570871664990641</v>
          </cell>
          <cell r="AH39">
            <v>-0.19197561093271709</v>
          </cell>
          <cell r="AI39">
            <v>-0.49188145002697459</v>
          </cell>
          <cell r="AJ39">
            <v>-0.46386684303350989</v>
          </cell>
        </row>
        <row r="40">
          <cell r="O40">
            <v>3.3833333333333334E-5</v>
          </cell>
          <cell r="P40">
            <v>5.7298655136690524E-3</v>
          </cell>
          <cell r="Q40">
            <v>3.5444483625123313E-2</v>
          </cell>
          <cell r="R40">
            <v>5.5536517469921165E-2</v>
          </cell>
          <cell r="S40">
            <v>7.1138605734071492E-2</v>
          </cell>
          <cell r="T40">
            <v>7.8215656520574939E-3</v>
          </cell>
          <cell r="U40">
            <v>3.0573505201975548E-2</v>
          </cell>
          <cell r="V40">
            <v>-1.7190822580770204E-2</v>
          </cell>
          <cell r="W40">
            <v>0.1639232341222272</v>
          </cell>
          <cell r="X40">
            <v>1.9177121635455263E-2</v>
          </cell>
          <cell r="Z40">
            <v>39813</v>
          </cell>
          <cell r="AA40">
            <v>1.5159132625172989E-2</v>
          </cell>
          <cell r="AB40">
            <v>6.6085486812258454E-2</v>
          </cell>
          <cell r="AC40">
            <v>0.13977474693343317</v>
          </cell>
          <cell r="AD40">
            <v>-6.8175723077196104E-2</v>
          </cell>
          <cell r="AE40">
            <v>-0.26106809711096934</v>
          </cell>
          <cell r="AF40">
            <v>-0.38485793674575719</v>
          </cell>
          <cell r="AG40">
            <v>-0.42080186304128908</v>
          </cell>
          <cell r="AH40">
            <v>-0.20850815103716303</v>
          </cell>
          <cell r="AI40">
            <v>-0.37727636441376766</v>
          </cell>
          <cell r="AJ40">
            <v>-0.44977584291127315</v>
          </cell>
        </row>
        <row r="41">
          <cell r="O41">
            <v>6.3416666666666672E-5</v>
          </cell>
          <cell r="P41">
            <v>-3.4211141150162216E-3</v>
          </cell>
          <cell r="Q41">
            <v>-3.0811817882681614E-2</v>
          </cell>
          <cell r="R41">
            <v>3.3304171534906946E-3</v>
          </cell>
          <cell r="S41">
            <v>5.8869018176245014E-2</v>
          </cell>
          <cell r="T41">
            <v>-8.5657348463880401E-2</v>
          </cell>
          <cell r="U41">
            <v>-8.8456146832856963E-2</v>
          </cell>
          <cell r="V41">
            <v>1.1136160111223647E-2</v>
          </cell>
          <cell r="W41">
            <v>-0.1730783566717542</v>
          </cell>
          <cell r="X41">
            <v>-7.1115811110969651E-2</v>
          </cell>
          <cell r="Z41">
            <v>39843</v>
          </cell>
          <cell r="AA41">
            <v>1.249248091497912E-2</v>
          </cell>
          <cell r="AB41">
            <v>4.4306767408172743E-2</v>
          </cell>
          <cell r="AC41">
            <v>7.747419260765076E-2</v>
          </cell>
          <cell r="AD41">
            <v>-7.5992175985330479E-2</v>
          </cell>
          <cell r="AE41">
            <v>-0.2056517785280495</v>
          </cell>
          <cell r="AF41">
            <v>-0.40090674984585239</v>
          </cell>
          <cell r="AG41">
            <v>-0.42794694308998538</v>
          </cell>
          <cell r="AH41">
            <v>-0.17634979545690133</v>
          </cell>
          <cell r="AI41">
            <v>-0.47971991374745582</v>
          </cell>
          <cell r="AJ41">
            <v>-0.44740429133584736</v>
          </cell>
        </row>
        <row r="42">
          <cell r="O42">
            <v>1.885E-4</v>
          </cell>
          <cell r="P42">
            <v>-9.5264144027462638E-4</v>
          </cell>
          <cell r="Q42">
            <v>-5.4369245525816012E-3</v>
          </cell>
          <cell r="R42">
            <v>-1.5575420508491811E-2</v>
          </cell>
          <cell r="S42">
            <v>-3.2574725802525184E-2</v>
          </cell>
          <cell r="T42">
            <v>-0.10993122487528451</v>
          </cell>
          <cell r="U42">
            <v>-0.10487226255617943</v>
          </cell>
          <cell r="V42">
            <v>-2.1065470394521224E-3</v>
          </cell>
          <cell r="W42">
            <v>-0.20824397418865059</v>
          </cell>
          <cell r="X42">
            <v>-0.12385810823167931</v>
          </cell>
          <cell r="Z42">
            <v>39871</v>
          </cell>
          <cell r="AA42">
            <v>1.1048049781114955E-2</v>
          </cell>
          <cell r="AB42">
            <v>3.2978131931766352E-2</v>
          </cell>
          <cell r="AC42">
            <v>6.0088841800522319E-2</v>
          </cell>
          <cell r="AD42">
            <v>-9.1041866676333405E-2</v>
          </cell>
          <cell r="AE42">
            <v>-0.22295444096244177</v>
          </cell>
          <cell r="AF42">
            <v>-0.44756243283256802</v>
          </cell>
          <cell r="AG42">
            <v>-0.48414355986699276</v>
          </cell>
          <cell r="AH42">
            <v>-0.18815728617962324</v>
          </cell>
          <cell r="AI42">
            <v>-0.57286673978788016</v>
          </cell>
          <cell r="AJ42">
            <v>-0.50123730082970397</v>
          </cell>
        </row>
        <row r="43">
          <cell r="O43">
            <v>2.0541666666666665E-4</v>
          </cell>
          <cell r="P43">
            <v>5.2650104946354581E-3</v>
          </cell>
          <cell r="Q43">
            <v>2.2610590174996226E-2</v>
          </cell>
          <cell r="R43">
            <v>-2.0705997985362989E-3</v>
          </cell>
          <cell r="S43">
            <v>3.0026251717243158E-2</v>
          </cell>
          <cell r="T43">
            <v>8.5404508291501591E-2</v>
          </cell>
          <cell r="U43">
            <v>7.2396984790773278E-2</v>
          </cell>
          <cell r="V43">
            <v>3.4840468824759441E-4</v>
          </cell>
          <cell r="W43">
            <v>4.0618323790004851E-2</v>
          </cell>
          <cell r="X43">
            <v>0.10514934671006704</v>
          </cell>
          <cell r="Z43">
            <v>39903</v>
          </cell>
          <cell r="AA43">
            <v>9.7091979797681027E-3</v>
          </cell>
          <cell r="AB43">
            <v>3.6126446401560486E-2</v>
          </cell>
          <cell r="AC43">
            <v>7.6253166677134443E-2</v>
          </cell>
          <cell r="AD43">
            <v>-8.072089261271731E-2</v>
          </cell>
          <cell r="AE43">
            <v>-0.19646760467732005</v>
          </cell>
          <cell r="AF43">
            <v>-0.39678687533076296</v>
          </cell>
          <cell r="AG43">
            <v>-0.43980798664254916</v>
          </cell>
          <cell r="AH43">
            <v>-0.16625031245540867</v>
          </cell>
          <cell r="AI43">
            <v>-0.58159004385330815</v>
          </cell>
          <cell r="AJ43">
            <v>-0.4342766813623401</v>
          </cell>
        </row>
        <row r="44">
          <cell r="O44">
            <v>1.6741666666666665E-4</v>
          </cell>
          <cell r="P44">
            <v>-1.2727690415141879E-3</v>
          </cell>
          <cell r="Q44">
            <v>-1.8985672233172157E-2</v>
          </cell>
          <cell r="R44">
            <v>3.083789318442709E-2</v>
          </cell>
          <cell r="S44">
            <v>0.11309119000614043</v>
          </cell>
          <cell r="T44">
            <v>9.3925075513554779E-2</v>
          </cell>
          <cell r="U44">
            <v>0.10903852363329269</v>
          </cell>
          <cell r="V44">
            <v>7.9822961908986301E-3</v>
          </cell>
          <cell r="W44">
            <v>0.31019559627638604</v>
          </cell>
          <cell r="X44">
            <v>0.17665158584704921</v>
          </cell>
          <cell r="Z44">
            <v>39933</v>
          </cell>
          <cell r="AA44">
            <v>8.7722894413393426E-3</v>
          </cell>
          <cell r="AB44">
            <v>4.2933782688352684E-2</v>
          </cell>
          <cell r="AC44">
            <v>7.4024884246933986E-2</v>
          </cell>
          <cell r="AD44">
            <v>-5.7763949173004092E-2</v>
          </cell>
          <cell r="AE44">
            <v>-0.13998061422303842</v>
          </cell>
          <cell r="AF44">
            <v>-0.37008061547788329</v>
          </cell>
          <cell r="AG44">
            <v>-0.40820018687996595</v>
          </cell>
          <cell r="AH44">
            <v>-0.167699477192915</v>
          </cell>
          <cell r="AI44">
            <v>-0.48214354811909743</v>
          </cell>
          <cell r="AJ44">
            <v>-0.34360057240584974</v>
          </cell>
        </row>
        <row r="45">
          <cell r="O45">
            <v>1.0391666666666667E-4</v>
          </cell>
          <cell r="P45">
            <v>1.7028980802513694E-3</v>
          </cell>
          <cell r="Q45">
            <v>-1.0089408659124E-2</v>
          </cell>
          <cell r="R45">
            <v>4.3350455996423509E-2</v>
          </cell>
          <cell r="S45">
            <v>7.1134944032838821E-2</v>
          </cell>
          <cell r="T45">
            <v>5.3081426656431674E-2</v>
          </cell>
          <cell r="U45">
            <v>8.6201876777675768E-2</v>
          </cell>
          <cell r="V45">
            <v>2.8634142135389284E-2</v>
          </cell>
          <cell r="W45">
            <v>2.1567950912802836E-2</v>
          </cell>
          <cell r="X45">
            <v>0.10784709622174993</v>
          </cell>
          <cell r="Z45">
            <v>39962</v>
          </cell>
          <cell r="AA45">
            <v>7.7205903642092455E-3</v>
          </cell>
          <cell r="AB45">
            <v>4.8524441829600695E-2</v>
          </cell>
          <cell r="AC45">
            <v>7.6155631112080346E-2</v>
          </cell>
          <cell r="AD45">
            <v>-7.8883841506923735E-3</v>
          </cell>
          <cell r="AE45">
            <v>-8.2915606478448312E-2</v>
          </cell>
          <cell r="AF45">
            <v>-0.34364958082806085</v>
          </cell>
          <cell r="AG45">
            <v>-0.36423875784050908</v>
          </cell>
          <cell r="AH45">
            <v>-0.15938690146396339</v>
          </cell>
          <cell r="AI45">
            <v>-0.4750210910421514</v>
          </cell>
          <cell r="AJ45">
            <v>-0.29946624483080309</v>
          </cell>
        </row>
        <row r="46">
          <cell r="O46">
            <v>1.0816666666666666E-4</v>
          </cell>
          <cell r="P46">
            <v>-1.5064842712670945E-3</v>
          </cell>
          <cell r="Q46">
            <v>-1.9711412106332427E-3</v>
          </cell>
          <cell r="R46">
            <v>3.0351683744133551E-2</v>
          </cell>
          <cell r="S46">
            <v>3.2457787155333317E-2</v>
          </cell>
          <cell r="T46">
            <v>1.9583523728705643E-4</v>
          </cell>
          <cell r="U46">
            <v>-6.1340206185567236E-3</v>
          </cell>
          <cell r="V46">
            <v>4.597507104333598E-3</v>
          </cell>
          <cell r="W46">
            <v>-3.7322439285691233E-2</v>
          </cell>
          <cell r="X46">
            <v>5.2698212028991831E-2</v>
          </cell>
          <cell r="Z46">
            <v>39994</v>
          </cell>
          <cell r="AA46">
            <v>6.2539661394205304E-3</v>
          </cell>
          <cell r="AB46">
            <v>4.393977823427675E-2</v>
          </cell>
          <cell r="AC46">
            <v>6.5146301249905836E-2</v>
          </cell>
          <cell r="AD46">
            <v>2.6162344774484758E-2</v>
          </cell>
          <cell r="AE46">
            <v>-2.9929339285900025E-2</v>
          </cell>
          <cell r="AF46">
            <v>-0.28178124999999987</v>
          </cell>
          <cell r="AG46">
            <v>-0.31243893219601615</v>
          </cell>
          <cell r="AH46">
            <v>-0.14864206570939065</v>
          </cell>
          <cell r="AI46">
            <v>-0.4329443071659379</v>
          </cell>
          <cell r="AJ46">
            <v>-0.20383005828647349</v>
          </cell>
        </row>
        <row r="47">
          <cell r="O47">
            <v>1.4791666666666667E-4</v>
          </cell>
          <cell r="P47">
            <v>1.3047457693131648E-3</v>
          </cell>
          <cell r="Q47">
            <v>4.0199173375896624E-3</v>
          </cell>
          <cell r="R47">
            <v>3.9477855326000011E-2</v>
          </cell>
          <cell r="S47">
            <v>6.1185191542315387E-2</v>
          </cell>
          <cell r="T47">
            <v>7.4141756950789617E-2</v>
          </cell>
          <cell r="U47">
            <v>8.370935117473155E-2</v>
          </cell>
          <cell r="V47">
            <v>1.4734159911400146E-2</v>
          </cell>
          <cell r="W47">
            <v>0.10472812921795249</v>
          </cell>
          <cell r="X47">
            <v>9.0733049331057636E-2</v>
          </cell>
          <cell r="Z47">
            <v>40025</v>
          </cell>
          <cell r="AA47">
            <v>4.9534974363591999E-3</v>
          </cell>
          <cell r="AB47">
            <v>4.1120167076290404E-2</v>
          </cell>
          <cell r="AC47">
            <v>6.5178747105063994E-2</v>
          </cell>
          <cell r="AD47">
            <v>7.5938103191049988E-2</v>
          </cell>
          <cell r="AE47">
            <v>4.5522044951302298E-2</v>
          </cell>
          <cell r="AF47">
            <v>-0.22084931117738982</v>
          </cell>
          <cell r="AG47">
            <v>-0.23556742518475171</v>
          </cell>
          <cell r="AH47">
            <v>-0.11292501290250778</v>
          </cell>
          <cell r="AI47">
            <v>-0.39457247759453928</v>
          </cell>
          <cell r="AJ47">
            <v>-0.14551744797484623</v>
          </cell>
        </row>
        <row r="48">
          <cell r="O48">
            <v>1.4625E-4</v>
          </cell>
          <cell r="P48">
            <v>4.0230491823318726E-3</v>
          </cell>
          <cell r="Q48">
            <v>9.2942733426359947E-3</v>
          </cell>
          <cell r="R48">
            <v>2.1627922072108507E-2</v>
          </cell>
          <cell r="S48">
            <v>2.0637784887864496E-2</v>
          </cell>
          <cell r="T48">
            <v>3.3560173370599911E-2</v>
          </cell>
          <cell r="U48">
            <v>3.9100263220866127E-2</v>
          </cell>
          <cell r="V48">
            <v>1.1457930825694573E-2</v>
          </cell>
          <cell r="W48">
            <v>0.13389514055631868</v>
          </cell>
          <cell r="X48">
            <v>4.0951082220012092E-2</v>
          </cell>
          <cell r="Z48">
            <v>40056</v>
          </cell>
          <cell r="AA48">
            <v>3.7125047766704E-3</v>
          </cell>
          <cell r="AB48">
            <v>4.0276429067656494E-2</v>
          </cell>
          <cell r="AC48">
            <v>6.1698528552045939E-2</v>
          </cell>
          <cell r="AD48">
            <v>9.1546361181310765E-2</v>
          </cell>
          <cell r="AE48">
            <v>6.404034336120934E-2</v>
          </cell>
          <cell r="AF48">
            <v>-0.20439964765401486</v>
          </cell>
          <cell r="AG48">
            <v>-0.19277843046859899</v>
          </cell>
          <cell r="AH48">
            <v>-9.0115595117929881E-2</v>
          </cell>
          <cell r="AI48">
            <v>-0.32834679917227916</v>
          </cell>
          <cell r="AJ48">
            <v>-0.12594920760432315</v>
          </cell>
        </row>
        <row r="49">
          <cell r="O49">
            <v>1.0566666666666667E-4</v>
          </cell>
          <cell r="P49">
            <v>2.4286934496302592E-3</v>
          </cell>
          <cell r="Q49">
            <v>7.8610148489355325E-3</v>
          </cell>
          <cell r="R49">
            <v>2.0028054393316896E-2</v>
          </cell>
          <cell r="S49">
            <v>5.9918583229333855E-2</v>
          </cell>
          <cell r="T49">
            <v>3.5723383825517763E-2</v>
          </cell>
          <cell r="U49">
            <v>3.8117170228445296E-2</v>
          </cell>
          <cell r="V49">
            <v>1.6931328115874722E-2</v>
          </cell>
          <cell r="W49">
            <v>6.3951590315922457E-2</v>
          </cell>
          <cell r="X49">
            <v>6.9099691246945705E-2</v>
          </cell>
          <cell r="Z49">
            <v>40086</v>
          </cell>
          <cell r="AA49">
            <v>2.3899075156550431E-3</v>
          </cell>
          <cell r="AB49">
            <v>3.4623429269402761E-2</v>
          </cell>
          <cell r="AC49">
            <v>6.3083887606101285E-2</v>
          </cell>
          <cell r="AD49">
            <v>0.20157236965203995</v>
          </cell>
          <cell r="AE49">
            <v>0.22728758451031372</v>
          </cell>
          <cell r="AF49">
            <v>-9.3693199355258883E-2</v>
          </cell>
          <cell r="AG49">
            <v>-4.6903014106424168E-2</v>
          </cell>
          <cell r="AH49">
            <v>-1.0072181646724854E-2</v>
          </cell>
          <cell r="AI49">
            <v>-0.28400970985680118</v>
          </cell>
          <cell r="AJ49">
            <v>4.1378004795717072E-2</v>
          </cell>
        </row>
        <row r="50">
          <cell r="O50">
            <v>8.9583333333333333E-5</v>
          </cell>
          <cell r="P50">
            <v>2.1338756205400156E-3</v>
          </cell>
          <cell r="Q50">
            <v>-5.7464035846233052E-4</v>
          </cell>
          <cell r="R50">
            <v>8.1689089595957665E-3</v>
          </cell>
          <cell r="S50">
            <v>1.7965358863299752E-2</v>
          </cell>
          <cell r="T50">
            <v>-1.9761985847807084E-2</v>
          </cell>
          <cell r="U50">
            <v>-1.846527888693672E-2</v>
          </cell>
          <cell r="V50">
            <v>-3.9690569861128289E-4</v>
          </cell>
          <cell r="W50">
            <v>-4.5043821481328794E-2</v>
          </cell>
          <cell r="X50">
            <v>-8.3176443782514098E-2</v>
          </cell>
          <cell r="Z50">
            <v>40116</v>
          </cell>
          <cell r="AA50">
            <v>1.7247384003618027E-3</v>
          </cell>
          <cell r="AB50">
            <v>2.7380809755020996E-2</v>
          </cell>
          <cell r="AC50">
            <v>6.402286441202798E-2</v>
          </cell>
          <cell r="AD50">
            <v>0.30793194778632427</v>
          </cell>
          <cell r="AE50">
            <v>0.49542178598393938</v>
          </cell>
          <cell r="AF50">
            <v>6.961548387096772E-2</v>
          </cell>
          <cell r="AG50">
            <v>0.15557064507704355</v>
          </cell>
          <cell r="AH50">
            <v>4.9566184519213241E-2</v>
          </cell>
          <cell r="AI50">
            <v>6.1667445562241241E-4</v>
          </cell>
          <cell r="AJ50">
            <v>0.20726105192724864</v>
          </cell>
        </row>
        <row r="51">
          <cell r="O51">
            <v>3.7166666666666664E-5</v>
          </cell>
          <cell r="P51">
            <v>6.1042683968215439E-3</v>
          </cell>
          <cell r="Q51">
            <v>1.4117852488144678E-2</v>
          </cell>
          <cell r="R51">
            <v>1.4152194546203978E-2</v>
          </cell>
          <cell r="S51">
            <v>9.932619751409133E-3</v>
          </cell>
          <cell r="T51">
            <v>5.7363996950366314E-2</v>
          </cell>
          <cell r="U51">
            <v>3.8728224413968837E-2</v>
          </cell>
          <cell r="V51">
            <v>7.9809861968849205E-3</v>
          </cell>
          <cell r="W51">
            <v>6.9105741019396483E-2</v>
          </cell>
          <cell r="X51">
            <v>2.1388919272096185E-3</v>
          </cell>
          <cell r="Z51">
            <v>40147</v>
          </cell>
          <cell r="AA51">
            <v>1.3981278500208028E-3</v>
          </cell>
          <cell r="AB51">
            <v>2.1698893469259017E-2</v>
          </cell>
          <cell r="AC51">
            <v>2.3980163987025849E-2</v>
          </cell>
          <cell r="AD51">
            <v>0.27691540093202383</v>
          </cell>
          <cell r="AE51">
            <v>0.64195633031356847</v>
          </cell>
          <cell r="AF51">
            <v>0.2224738909220747</v>
          </cell>
          <cell r="AG51">
            <v>0.28678619824622342</v>
          </cell>
          <cell r="AH51">
            <v>8.6655546709102582E-2</v>
          </cell>
          <cell r="AI51">
            <v>0.39030494000525162</v>
          </cell>
          <cell r="AJ51">
            <v>0.40287483687218795</v>
          </cell>
        </row>
        <row r="52">
          <cell r="O52">
            <v>3.8833333333333333E-5</v>
          </cell>
          <cell r="P52">
            <v>-7.9043772051670125E-3</v>
          </cell>
          <cell r="Q52">
            <v>-2.6387594061356379E-2</v>
          </cell>
          <cell r="R52">
            <v>-1.0027892603759581E-2</v>
          </cell>
          <cell r="S52">
            <v>3.1354530250145451E-2</v>
          </cell>
          <cell r="T52">
            <v>1.7770597738287375E-2</v>
          </cell>
          <cell r="U52">
            <v>1.6936319092087926E-2</v>
          </cell>
          <cell r="V52">
            <v>8.092985115390583E-3</v>
          </cell>
          <cell r="W52">
            <v>7.1497197363731724E-2</v>
          </cell>
          <cell r="X52">
            <v>6.5194158562665416E-2</v>
          </cell>
          <cell r="Z52">
            <v>40178</v>
          </cell>
          <cell r="AA52">
            <v>1.4031346712626291E-3</v>
          </cell>
          <cell r="AB52">
            <v>7.8481655782147719E-3</v>
          </cell>
          <cell r="AC52">
            <v>-3.7167316201764944E-2</v>
          </cell>
          <cell r="AD52">
            <v>0.19760009199626172</v>
          </cell>
          <cell r="AE52">
            <v>0.58097102529626121</v>
          </cell>
          <cell r="AF52">
            <v>0.23454193191253814</v>
          </cell>
          <cell r="AG52">
            <v>0.26975864729469823</v>
          </cell>
          <cell r="AH52">
            <v>0.11461091231436282</v>
          </cell>
          <cell r="AI52">
            <v>0.2799021473439709</v>
          </cell>
          <cell r="AJ52">
            <v>0.46621627360794315</v>
          </cell>
        </row>
        <row r="53">
          <cell r="O53">
            <v>3.9749999999999997E-5</v>
          </cell>
          <cell r="P53">
            <v>7.5846709614273422E-3</v>
          </cell>
          <cell r="Q53">
            <v>1.5785121596818552E-2</v>
          </cell>
          <cell r="R53">
            <v>2.0088116944607437E-2</v>
          </cell>
          <cell r="S53">
            <v>1.5286584909069312E-2</v>
          </cell>
          <cell r="T53">
            <v>-3.6974262397991176E-2</v>
          </cell>
          <cell r="U53">
            <v>-4.1875272792626261E-2</v>
          </cell>
          <cell r="V53">
            <v>-1.1812019209289648E-3</v>
          </cell>
          <cell r="W53">
            <v>-5.2105606008353456E-2</v>
          </cell>
          <cell r="X53">
            <v>-1.0260350324813206E-2</v>
          </cell>
          <cell r="Z53">
            <v>40207</v>
          </cell>
          <cell r="AA53">
            <v>1.3794362999470788E-3</v>
          </cell>
          <cell r="AB53">
            <v>1.8978403692974544E-2</v>
          </cell>
          <cell r="AC53">
            <v>9.1240615963186222E-3</v>
          </cell>
          <cell r="AD53">
            <v>0.21760249845018365</v>
          </cell>
          <cell r="AE53">
            <v>0.51589917691411902</v>
          </cell>
          <cell r="AF53">
            <v>0.30027364750326901</v>
          </cell>
          <cell r="AG53">
            <v>0.33464468366653533</v>
          </cell>
          <cell r="AH53">
            <v>0.10103305141533814</v>
          </cell>
          <cell r="AI53">
            <v>0.46714272157904646</v>
          </cell>
          <cell r="AJ53">
            <v>0.56227482214378455</v>
          </cell>
        </row>
        <row r="54">
          <cell r="O54">
            <v>5.7500000000000002E-5</v>
          </cell>
          <cell r="P54">
            <v>1.914533472837654E-3</v>
          </cell>
          <cell r="Q54">
            <v>3.9455388589699769E-3</v>
          </cell>
          <cell r="R54">
            <v>3.7480608322701947E-3</v>
          </cell>
          <cell r="S54">
            <v>1.4149305555555269E-3</v>
          </cell>
          <cell r="T54">
            <v>2.8513693463827261E-2</v>
          </cell>
          <cell r="U54">
            <v>1.2335423477499718E-2</v>
          </cell>
          <cell r="V54">
            <v>1.2472976154498383E-3</v>
          </cell>
          <cell r="W54">
            <v>5.3385185065407459E-2</v>
          </cell>
          <cell r="X54">
            <v>4.8505682707798981E-2</v>
          </cell>
          <cell r="Z54">
            <v>40235</v>
          </cell>
          <cell r="AA54">
            <v>1.248280316694661E-3</v>
          </cell>
          <cell r="AB54">
            <v>2.1902778890045882E-2</v>
          </cell>
          <cell r="AC54">
            <v>1.8643889769493827E-2</v>
          </cell>
          <cell r="AD54">
            <v>0.24150307920510605</v>
          </cell>
          <cell r="AE54">
            <v>0.56915899291339711</v>
          </cell>
          <cell r="AF54">
            <v>0.50252350052374495</v>
          </cell>
          <cell r="AG54">
            <v>0.50940255174067062</v>
          </cell>
          <cell r="AH54">
            <v>0.10473354048398997</v>
          </cell>
          <cell r="AI54">
            <v>0.95194776787988244</v>
          </cell>
          <cell r="AJ54">
            <v>0.86962185504334633</v>
          </cell>
        </row>
        <row r="55">
          <cell r="O55">
            <v>9.549999999999999E-5</v>
          </cell>
          <cell r="P55">
            <v>-2.4494192197397346E-3</v>
          </cell>
          <cell r="Q55">
            <v>-8.5115557492840832E-3</v>
          </cell>
          <cell r="R55">
            <v>3.4687897006737689E-3</v>
          </cell>
          <cell r="S55">
            <v>3.0230663210908171E-2</v>
          </cell>
          <cell r="T55">
            <v>5.8796367554255768E-2</v>
          </cell>
          <cell r="U55">
            <v>5.9275598888251624E-2</v>
          </cell>
          <cell r="V55">
            <v>1.5559272311045147E-2</v>
          </cell>
          <cell r="W55">
            <v>0.1018443613812372</v>
          </cell>
          <cell r="X55">
            <v>7.5391404982783516E-2</v>
          </cell>
          <cell r="Z55">
            <v>40268</v>
          </cell>
          <cell r="AA55">
            <v>1.1382490454734384E-3</v>
          </cell>
          <cell r="AB55">
            <v>1.4060670510293249E-2</v>
          </cell>
          <cell r="AC55">
            <v>-1.2357533535595877E-2</v>
          </cell>
          <cell r="AD55">
            <v>0.24839451773652654</v>
          </cell>
          <cell r="AE55">
            <v>0.56947039675675026</v>
          </cell>
          <cell r="AF55">
            <v>0.46568989935703864</v>
          </cell>
          <cell r="AG55">
            <v>0.49093415464096735</v>
          </cell>
          <cell r="AH55">
            <v>0.12153164358888113</v>
          </cell>
          <cell r="AI55">
            <v>1.0667929754648031</v>
          </cell>
          <cell r="AJ55">
            <v>0.81927924896928039</v>
          </cell>
        </row>
        <row r="56">
          <cell r="O56">
            <v>1.2508333333333336E-4</v>
          </cell>
          <cell r="P56">
            <v>2.6911113851550983E-3</v>
          </cell>
          <cell r="Q56">
            <v>1.0559812676187219E-2</v>
          </cell>
          <cell r="R56">
            <v>1.7576750485216897E-2</v>
          </cell>
          <cell r="S56">
            <v>2.2734443691865058E-2</v>
          </cell>
          <cell r="T56">
            <v>1.4759327193589966E-2</v>
          </cell>
          <cell r="U56">
            <v>-1.6409419173198936E-3</v>
          </cell>
          <cell r="V56">
            <v>8.7067818642223571E-3</v>
          </cell>
          <cell r="W56">
            <v>6.9419928642181272E-2</v>
          </cell>
          <cell r="X56">
            <v>0.10345619667825146</v>
          </cell>
          <cell r="Z56">
            <v>40298</v>
          </cell>
          <cell r="AA56">
            <v>1.095874620448356E-3</v>
          </cell>
          <cell r="AB56">
            <v>1.8085408315262619E-2</v>
          </cell>
          <cell r="AC56">
            <v>1.7387572894391079E-2</v>
          </cell>
          <cell r="AD56">
            <v>0.23233463290490231</v>
          </cell>
          <cell r="AE56">
            <v>0.44206642504196858</v>
          </cell>
          <cell r="AF56">
            <v>0.35962007768013682</v>
          </cell>
          <cell r="AG56">
            <v>0.34214239322747519</v>
          </cell>
          <cell r="AH56">
            <v>0.12233774267517439</v>
          </cell>
          <cell r="AI56">
            <v>0.68697681676032296</v>
          </cell>
          <cell r="AJ56">
            <v>0.70610823536021594</v>
          </cell>
        </row>
        <row r="57">
          <cell r="O57">
            <v>1.2850000000000001E-4</v>
          </cell>
          <cell r="P57">
            <v>4.5551404304242649E-3</v>
          </cell>
          <cell r="Q57">
            <v>1.721281504137151E-2</v>
          </cell>
          <cell r="R57">
            <v>-5.7123865628512238E-3</v>
          </cell>
          <cell r="S57">
            <v>-3.5063038604718155E-2</v>
          </cell>
          <cell r="T57">
            <v>-8.1975916203894883E-2</v>
          </cell>
          <cell r="U57">
            <v>-9.9085569349886549E-2</v>
          </cell>
          <cell r="V57">
            <v>-2.299986753860217E-2</v>
          </cell>
          <cell r="W57">
            <v>-5.5453219040671131E-2</v>
          </cell>
          <cell r="X57">
            <v>-9.0206191629316201E-2</v>
          </cell>
          <cell r="Z57">
            <v>40329</v>
          </cell>
          <cell r="AA57">
            <v>1.1204823368813344E-3</v>
          </cell>
          <cell r="AB57">
            <v>2.0984298119070877E-2</v>
          </cell>
          <cell r="AC57">
            <v>4.5447625335735653E-2</v>
          </cell>
          <cell r="AD57">
            <v>0.17438493850733572</v>
          </cell>
          <cell r="AE57">
            <v>0.29909233384836043</v>
          </cell>
          <cell r="AF57">
            <v>0.18524925473812459</v>
          </cell>
          <cell r="AG57">
            <v>0.11319587628865979</v>
          </cell>
          <cell r="AH57">
            <v>6.6000124187737264E-2</v>
          </cell>
          <cell r="AI57">
            <v>0.55978711000105386</v>
          </cell>
          <cell r="AJ57">
            <v>0.40110193386314008</v>
          </cell>
        </row>
        <row r="58">
          <cell r="O58">
            <v>1.2675000000000002E-4</v>
          </cell>
          <cell r="P58">
            <v>4.3086678498649444E-3</v>
          </cell>
          <cell r="Q58">
            <v>1.8698930887457665E-2</v>
          </cell>
          <cell r="R58">
            <v>2.0577204833566176E-2</v>
          </cell>
          <cell r="S58">
            <v>1.2950750487038531E-2</v>
          </cell>
          <cell r="T58">
            <v>-5.3882376699314394E-2</v>
          </cell>
          <cell r="U58">
            <v>-3.5636228931283598E-2</v>
          </cell>
          <cell r="V58">
            <v>-1.0224874718030352E-2</v>
          </cell>
          <cell r="W58">
            <v>-5.0170125494274131E-2</v>
          </cell>
          <cell r="X58">
            <v>-7.8849319088248215E-2</v>
          </cell>
          <cell r="Z58">
            <v>40359</v>
          </cell>
          <cell r="AA58">
            <v>1.1390844803791378E-3</v>
          </cell>
          <cell r="AB58">
            <v>2.6930434887436627E-2</v>
          </cell>
          <cell r="AC58">
            <v>6.7099782585657408E-2</v>
          </cell>
          <cell r="AD58">
            <v>0.16324408146266589</v>
          </cell>
          <cell r="AE58">
            <v>0.27454756106718792</v>
          </cell>
          <cell r="AF58">
            <v>0.121165644171779</v>
          </cell>
          <cell r="AG58">
            <v>8.0151444427156271E-2</v>
          </cell>
          <cell r="AH58">
            <v>5.0271774523659385E-2</v>
          </cell>
          <cell r="AI58">
            <v>0.53897052908208365</v>
          </cell>
          <cell r="AJ58">
            <v>0.22601709175246398</v>
          </cell>
        </row>
        <row r="59">
          <cell r="O59">
            <v>1.4200000000000001E-4</v>
          </cell>
          <cell r="P59">
            <v>2.6015611172713893E-3</v>
          </cell>
          <cell r="Q59">
            <v>6.7585868587130005E-3</v>
          </cell>
          <cell r="R59">
            <v>2.0466840578057921E-2</v>
          </cell>
          <cell r="S59">
            <v>3.441223134513649E-2</v>
          </cell>
          <cell r="T59">
            <v>6.8777832756061308E-2</v>
          </cell>
          <cell r="U59">
            <v>8.0196289325087378E-2</v>
          </cell>
          <cell r="V59">
            <v>6.445471881599607E-3</v>
          </cell>
          <cell r="W59">
            <v>9.5224611828186534E-2</v>
          </cell>
          <cell r="X59">
            <v>4.9937147474163446E-2</v>
          </cell>
          <cell r="Z59">
            <v>40389</v>
          </cell>
          <cell r="AA59">
            <v>1.133161950170658E-3</v>
          </cell>
          <cell r="AB59">
            <v>2.8260438719810876E-2</v>
          </cell>
          <cell r="AC59">
            <v>7.0010515331193179E-2</v>
          </cell>
          <cell r="AD59">
            <v>0.14196950569865652</v>
          </cell>
          <cell r="AE59">
            <v>0.24239161751103144</v>
          </cell>
          <cell r="AF59">
            <v>0.11556689755741889</v>
          </cell>
          <cell r="AG59">
            <v>7.664991624790618E-2</v>
          </cell>
          <cell r="AH59">
            <v>4.1692803370966702E-2</v>
          </cell>
          <cell r="AI59">
            <v>0.52573140463268442</v>
          </cell>
          <cell r="AJ59">
            <v>0.18016125839279495</v>
          </cell>
        </row>
        <row r="60">
          <cell r="O60">
            <v>1.1666666666666668E-4</v>
          </cell>
          <cell r="P60">
            <v>1.9175118639855881E-3</v>
          </cell>
          <cell r="Q60">
            <v>2.047444636340745E-2</v>
          </cell>
          <cell r="R60">
            <v>2.1889945119560883E-2</v>
          </cell>
          <cell r="S60">
            <v>1.5622711516867227E-3</v>
          </cell>
          <cell r="T60">
            <v>-4.7449164851125603E-2</v>
          </cell>
          <cell r="U60">
            <v>-3.9232595147711158E-2</v>
          </cell>
          <cell r="V60">
            <v>1.4777954820992534E-3</v>
          </cell>
          <cell r="W60">
            <v>-1.3879902844657566E-2</v>
          </cell>
          <cell r="X60">
            <v>-8.0269726597742341E-2</v>
          </cell>
          <cell r="Z60">
            <v>40421</v>
          </cell>
          <cell r="AA60">
            <v>1.1035494249613809E-3</v>
          </cell>
          <cell r="AB60">
            <v>2.6104073157818153E-2</v>
          </cell>
          <cell r="AC60">
            <v>8.1863255420392633E-2</v>
          </cell>
          <cell r="AD60">
            <v>0.14226239347464231</v>
          </cell>
          <cell r="AE60">
            <v>0.21917156950139649</v>
          </cell>
          <cell r="AF60">
            <v>2.8129960220258043E-2</v>
          </cell>
          <cell r="AG60">
            <v>-4.513633014001428E-3</v>
          </cell>
          <cell r="AH60">
            <v>3.1414338150367094E-2</v>
          </cell>
          <cell r="AI60">
            <v>0.32689024509900122</v>
          </cell>
          <cell r="AJ60">
            <v>4.2729149697877E-2</v>
          </cell>
        </row>
        <row r="61">
          <cell r="O61">
            <v>1.0566666666666667E-4</v>
          </cell>
          <cell r="P61">
            <v>1.6468570380663294E-3</v>
          </cell>
          <cell r="Q61">
            <v>2.6363892013492318E-5</v>
          </cell>
          <cell r="R61">
            <v>5.9017786372683734E-3</v>
          </cell>
          <cell r="S61">
            <v>2.9125030465513069E-2</v>
          </cell>
          <cell r="T61">
            <v>8.7551104037814742E-2</v>
          </cell>
          <cell r="U61">
            <v>9.1135375219765002E-2</v>
          </cell>
          <cell r="V61">
            <v>1.9913805509131688E-2</v>
          </cell>
          <cell r="W61">
            <v>4.4672735608447089E-2</v>
          </cell>
          <cell r="X61">
            <v>0.11304478935053974</v>
          </cell>
          <cell r="Z61">
            <v>40451</v>
          </cell>
          <cell r="AA61">
            <v>1.1035494249616029E-3</v>
          </cell>
          <cell r="AB61">
            <v>2.5303771319202362E-2</v>
          </cell>
          <cell r="AC61">
            <v>7.345334486282562E-2</v>
          </cell>
          <cell r="AD61">
            <v>0.12644330547359339</v>
          </cell>
          <cell r="AE61">
            <v>0.18375127906813726</v>
          </cell>
          <cell r="AF61">
            <v>7.9577704620274803E-2</v>
          </cell>
          <cell r="AG61">
            <v>4.6327352748052331E-2</v>
          </cell>
          <cell r="AH61">
            <v>3.4439291617297529E-2</v>
          </cell>
          <cell r="AI61">
            <v>0.30284692914283573</v>
          </cell>
          <cell r="AJ61">
            <v>8.559029272702201E-2</v>
          </cell>
        </row>
        <row r="62">
          <cell r="O62">
            <v>1.2766666666666666E-4</v>
          </cell>
          <cell r="P62">
            <v>2.1871135306672507E-3</v>
          </cell>
          <cell r="Q62">
            <v>-1.7846419731387675E-3</v>
          </cell>
          <cell r="R62">
            <v>2.099837876308408E-3</v>
          </cell>
          <cell r="S62">
            <v>2.4037892243931269E-2</v>
          </cell>
          <cell r="T62">
            <v>3.6855941114616098E-2</v>
          </cell>
          <cell r="U62">
            <v>3.6499631102706154E-2</v>
          </cell>
          <cell r="V62">
            <v>1.387358691908358E-2</v>
          </cell>
          <cell r="W62">
            <v>4.7013309927491642E-2</v>
          </cell>
          <cell r="X62">
            <v>4.6890754601873752E-2</v>
          </cell>
          <cell r="Z62">
            <v>40480</v>
          </cell>
          <cell r="AA62">
            <v>1.1416713700440617E-3</v>
          </cell>
          <cell r="AB62">
            <v>2.535824011958776E-2</v>
          </cell>
          <cell r="AC62">
            <v>7.2153717764080083E-2</v>
          </cell>
          <cell r="AD62">
            <v>0.11966223492930594</v>
          </cell>
          <cell r="AE62">
            <v>0.19081278572346561</v>
          </cell>
          <cell r="AF62">
            <v>0.14193342919734775</v>
          </cell>
          <cell r="AG62">
            <v>0.10492058182738662</v>
          </cell>
          <cell r="AH62">
            <v>4.9207111323573915E-2</v>
          </cell>
          <cell r="AI62">
            <v>0.4284404942294826</v>
          </cell>
          <cell r="AJ62">
            <v>0.23959995686658164</v>
          </cell>
        </row>
        <row r="63">
          <cell r="O63">
            <v>9.208333333333334E-5</v>
          </cell>
          <cell r="P63">
            <v>-1.8098113085893708E-3</v>
          </cell>
          <cell r="Q63">
            <v>-6.8145987500577432E-3</v>
          </cell>
          <cell r="R63">
            <v>-8.5501473228345448E-3</v>
          </cell>
          <cell r="S63">
            <v>-1.088112858464374E-2</v>
          </cell>
          <cell r="T63">
            <v>-2.2902827780877377E-3</v>
          </cell>
          <cell r="U63">
            <v>-2.3457123454668993E-2</v>
          </cell>
          <cell r="V63">
            <v>-1.8671455939112125E-4</v>
          </cell>
          <cell r="W63">
            <v>-1.9580993775382693E-2</v>
          </cell>
          <cell r="X63">
            <v>2.8126025998030046E-2</v>
          </cell>
          <cell r="Z63">
            <v>40512</v>
          </cell>
          <cell r="AA63">
            <v>1.1966486901731077E-3</v>
          </cell>
          <cell r="AB63">
            <v>1.7292707456818546E-2</v>
          </cell>
          <cell r="AC63">
            <v>5.0023345675776154E-2</v>
          </cell>
          <cell r="AD63">
            <v>9.4597994106367711E-2</v>
          </cell>
          <cell r="AE63">
            <v>0.1662712696335078</v>
          </cell>
          <cell r="AF63">
            <v>7.7507917818971483E-2</v>
          </cell>
          <cell r="AG63">
            <v>3.8772508507323611E-2</v>
          </cell>
          <cell r="AH63">
            <v>4.070535401465758E-2</v>
          </cell>
          <cell r="AI63">
            <v>0.30994545821830166</v>
          </cell>
          <cell r="AJ63">
            <v>0.27174485268169635</v>
          </cell>
        </row>
        <row r="64">
          <cell r="O64">
            <v>1.2933333333333332E-4</v>
          </cell>
          <cell r="P64">
            <v>-1.8651260014176385E-3</v>
          </cell>
          <cell r="Q64">
            <v>-1.8246967456386209E-2</v>
          </cell>
          <cell r="R64">
            <v>-9.4836801630544532E-3</v>
          </cell>
          <cell r="S64">
            <v>1.7543654551335219E-2</v>
          </cell>
          <cell r="T64">
            <v>6.5300072000338938E-2</v>
          </cell>
          <cell r="U64">
            <v>7.2480646134253757E-2</v>
          </cell>
          <cell r="V64">
            <v>2.1734780853239322E-2</v>
          </cell>
          <cell r="W64">
            <v>4.6568891719553474E-2</v>
          </cell>
          <cell r="X64">
            <v>8.95234196121244E-2</v>
          </cell>
          <cell r="Z64">
            <v>40543</v>
          </cell>
          <cell r="AA64">
            <v>1.2872534683943115E-3</v>
          </cell>
          <cell r="AB64">
            <v>2.3485342588870139E-2</v>
          </cell>
          <cell r="AC64">
            <v>5.8802864025696122E-2</v>
          </cell>
          <cell r="AD64">
            <v>9.5199722015178123E-2</v>
          </cell>
          <cell r="AE64">
            <v>0.1506537229378091</v>
          </cell>
          <cell r="AF64">
            <v>0.1278271007084566</v>
          </cell>
          <cell r="AG64">
            <v>9.5509512439343469E-2</v>
          </cell>
          <cell r="AH64">
            <v>5.4788469433944442E-2</v>
          </cell>
          <cell r="AI64">
            <v>0.27946967084339192</v>
          </cell>
          <cell r="AJ64">
            <v>0.30079177549898728</v>
          </cell>
        </row>
        <row r="65">
          <cell r="O65">
            <v>9.9749999999999999E-5</v>
          </cell>
          <cell r="P65">
            <v>1.6699757592864017E-3</v>
          </cell>
          <cell r="Q65">
            <v>6.5457286863246367E-5</v>
          </cell>
          <cell r="R65">
            <v>2.3696429938104835E-3</v>
          </cell>
          <cell r="S65">
            <v>2.0990429650848741E-2</v>
          </cell>
          <cell r="T65">
            <v>2.2645590152984729E-2</v>
          </cell>
          <cell r="U65">
            <v>2.1881615849133285E-2</v>
          </cell>
          <cell r="V65">
            <v>2.5613937636308481E-3</v>
          </cell>
          <cell r="W65">
            <v>4.1249080571854391E-2</v>
          </cell>
          <cell r="X65">
            <v>8.4839905039428842E-3</v>
          </cell>
          <cell r="Z65">
            <v>40574</v>
          </cell>
          <cell r="AA65">
            <v>1.3473283156273386E-3</v>
          </cell>
          <cell r="AB65">
            <v>1.7477307711269319E-2</v>
          </cell>
          <cell r="AC65">
            <v>4.2417483654364929E-2</v>
          </cell>
          <cell r="AD65">
            <v>7.6176593107874391E-2</v>
          </cell>
          <cell r="AE65">
            <v>0.15711805555555536</v>
          </cell>
          <cell r="AF65">
            <v>0.19764962239377182</v>
          </cell>
          <cell r="AG65">
            <v>0.16840845347196165</v>
          </cell>
          <cell r="AH65">
            <v>5.8740784690143988E-2</v>
          </cell>
          <cell r="AI65">
            <v>0.40548000582119248</v>
          </cell>
          <cell r="AJ65">
            <v>0.32542702618859809</v>
          </cell>
        </row>
        <row r="66">
          <cell r="O66">
            <v>1.2083333333333332E-4</v>
          </cell>
          <cell r="P66">
            <v>-8.7307718881701746E-4</v>
          </cell>
          <cell r="Q66">
            <v>-8.5239369905765194E-4</v>
          </cell>
          <cell r="R66">
            <v>7.0853577327627537E-3</v>
          </cell>
          <cell r="S66">
            <v>1.3398349587396829E-2</v>
          </cell>
          <cell r="T66">
            <v>3.1956582589494076E-2</v>
          </cell>
          <cell r="U66">
            <v>3.3308360344933119E-2</v>
          </cell>
          <cell r="V66">
            <v>8.9363873758778745E-3</v>
          </cell>
          <cell r="W66">
            <v>4.5828822433734429E-2</v>
          </cell>
          <cell r="X66">
            <v>4.399677737116181E-2</v>
          </cell>
          <cell r="Z66">
            <v>40602</v>
          </cell>
          <cell r="AA66">
            <v>1.4107433333900854E-3</v>
          </cell>
          <cell r="AB66">
            <v>1.464639699362924E-2</v>
          </cell>
          <cell r="AC66">
            <v>3.7435690728059745E-2</v>
          </cell>
          <cell r="AD66">
            <v>7.9754702943108935E-2</v>
          </cell>
          <cell r="AE66">
            <v>0.17096469405268566</v>
          </cell>
          <cell r="AF66">
            <v>0.2016586840985426</v>
          </cell>
          <cell r="AG66">
            <v>0.19261481448802265</v>
          </cell>
          <cell r="AH66">
            <v>6.6871396324149623E-2</v>
          </cell>
          <cell r="AI66">
            <v>0.39539792307869503</v>
          </cell>
          <cell r="AJ66">
            <v>0.31972727168057169</v>
          </cell>
        </row>
        <row r="67">
          <cell r="O67">
            <v>1.1241666666666666E-4</v>
          </cell>
          <cell r="P67">
            <v>-4.7149646691990732E-4</v>
          </cell>
          <cell r="Q67">
            <v>-5.6849627089039512E-4</v>
          </cell>
          <cell r="R67">
            <v>2.7543186180434276E-4</v>
          </cell>
          <cell r="S67">
            <v>4.2158328768338027E-3</v>
          </cell>
          <cell r="T67">
            <v>-1.0473018791158362E-3</v>
          </cell>
          <cell r="U67">
            <v>-1.2370066215366404E-2</v>
          </cell>
          <cell r="V67">
            <v>-6.9007107654817101E-4</v>
          </cell>
          <cell r="W67">
            <v>-1.2808228596573268E-2</v>
          </cell>
          <cell r="X67">
            <v>1.7074792434174535E-2</v>
          </cell>
          <cell r="Z67">
            <v>40633</v>
          </cell>
          <cell r="AA67">
            <v>1.4276822474654782E-3</v>
          </cell>
          <cell r="AB67">
            <v>1.665821697884784E-2</v>
          </cell>
          <cell r="AC67">
            <v>4.5746844977254675E-2</v>
          </cell>
          <cell r="AD67">
            <v>7.6318578989788666E-2</v>
          </cell>
          <cell r="AE67">
            <v>0.1413961237016248</v>
          </cell>
          <cell r="AF67">
            <v>0.13374036923971477</v>
          </cell>
          <cell r="AG67">
            <v>0.11195055517146613</v>
          </cell>
          <cell r="AH67">
            <v>4.980103899303856E-2</v>
          </cell>
          <cell r="AI67">
            <v>0.25019957062710474</v>
          </cell>
          <cell r="AJ67">
            <v>0.24816074844463376</v>
          </cell>
        </row>
        <row r="68">
          <cell r="O68">
            <v>7.6083333333333344E-5</v>
          </cell>
          <cell r="P68">
            <v>4.3622765063331403E-3</v>
          </cell>
          <cell r="Q68">
            <v>1.1536114396787589E-2</v>
          </cell>
          <cell r="R68">
            <v>1.6980447803723875E-2</v>
          </cell>
          <cell r="S68">
            <v>1.5167096063189556E-2</v>
          </cell>
          <cell r="T68">
            <v>2.8495357625034856E-2</v>
          </cell>
          <cell r="U68">
            <v>4.0219337343530892E-2</v>
          </cell>
          <cell r="V68">
            <v>1.1135294881996716E-2</v>
          </cell>
          <cell r="W68">
            <v>5.1135413904000782E-2</v>
          </cell>
          <cell r="X68">
            <v>1.2353133681004547E-2</v>
          </cell>
          <cell r="Z68">
            <v>40662</v>
          </cell>
          <cell r="AA68">
            <v>1.3786184281010527E-3</v>
          </cell>
          <cell r="AB68">
            <v>1.8352660794179076E-2</v>
          </cell>
          <cell r="AC68">
            <v>4.6757140885776316E-2</v>
          </cell>
          <cell r="AD68">
            <v>7.568785344059914E-2</v>
          </cell>
          <cell r="AE68">
            <v>0.13295078258365645</v>
          </cell>
          <cell r="AF68">
            <v>0.14908695615535628</v>
          </cell>
          <cell r="AG68">
            <v>0.1585736216793483</v>
          </cell>
          <cell r="AH68">
            <v>5.2328488530510864E-2</v>
          </cell>
          <cell r="AI68">
            <v>0.22882415778640497</v>
          </cell>
          <cell r="AJ68">
            <v>0.14511065217570196</v>
          </cell>
        </row>
        <row r="69">
          <cell r="O69">
            <v>2.9583333333333332E-5</v>
          </cell>
          <cell r="P69">
            <v>3.5685977709907224E-3</v>
          </cell>
          <cell r="Q69">
            <v>1.580042632997225E-2</v>
          </cell>
          <cell r="R69">
            <v>1.4315761866553922E-2</v>
          </cell>
          <cell r="S69">
            <v>4.8978673037403109E-3</v>
          </cell>
          <cell r="T69">
            <v>-1.350092768460176E-2</v>
          </cell>
          <cell r="U69">
            <v>-2.4491941639901427E-2</v>
          </cell>
          <cell r="V69">
            <v>-9.876820707390932E-3</v>
          </cell>
          <cell r="W69">
            <v>9.9918369077782732E-3</v>
          </cell>
          <cell r="X69">
            <v>-2.4421224527524266E-2</v>
          </cell>
          <cell r="Z69">
            <v>40694</v>
          </cell>
          <cell r="AA69">
            <v>1.2795781197745271E-3</v>
          </cell>
          <cell r="AB69">
            <v>1.7352568015010617E-2</v>
          </cell>
          <cell r="AC69">
            <v>4.5303730205629389E-2</v>
          </cell>
          <cell r="AD69">
            <v>9.7355664344871418E-2</v>
          </cell>
          <cell r="AE69">
            <v>0.17986963991116034</v>
          </cell>
          <cell r="AF69">
            <v>0.23479681662551322</v>
          </cell>
          <cell r="AG69">
            <v>0.25450083348768304</v>
          </cell>
          <cell r="AH69">
            <v>6.6463344379518619E-2</v>
          </cell>
          <cell r="AI69">
            <v>0.31396601351901188</v>
          </cell>
          <cell r="AJ69">
            <v>0.22791080523037932</v>
          </cell>
        </row>
        <row r="70">
          <cell r="O70">
            <v>3.8000000000000002E-5</v>
          </cell>
          <cell r="P70">
            <v>3.6726852945512256E-4</v>
          </cell>
          <cell r="Q70">
            <v>-3.0700172161463035E-3</v>
          </cell>
          <cell r="R70">
            <v>-8.3275977528927125E-3</v>
          </cell>
          <cell r="S70">
            <v>-1.0040646734712277E-2</v>
          </cell>
          <cell r="T70">
            <v>-1.8257508177222714E-2</v>
          </cell>
          <cell r="U70">
            <v>-1.7296491241021283E-2</v>
          </cell>
          <cell r="V70">
            <v>-1.2971422260582011E-2</v>
          </cell>
          <cell r="W70">
            <v>-3.070972346868639E-2</v>
          </cell>
          <cell r="X70">
            <v>-2.0698333189894669E-2</v>
          </cell>
          <cell r="Z70">
            <v>40724</v>
          </cell>
          <cell r="AA70">
            <v>1.1907258192453973E-3</v>
          </cell>
          <cell r="AB70">
            <v>1.3359978038886666E-2</v>
          </cell>
          <cell r="AC70">
            <v>2.2966254465347058E-2</v>
          </cell>
          <cell r="AD70">
            <v>6.6276341100341973E-2</v>
          </cell>
          <cell r="AE70">
            <v>0.15308960983759667</v>
          </cell>
          <cell r="AF70">
            <v>0.28129153690174724</v>
          </cell>
          <cell r="AG70">
            <v>0.27835823762148038</v>
          </cell>
          <cell r="AH70">
            <v>6.3503993105771261E-2</v>
          </cell>
          <cell r="AI70">
            <v>0.34088694700127942</v>
          </cell>
          <cell r="AJ70">
            <v>0.30542713931017618</v>
          </cell>
        </row>
        <row r="71">
          <cell r="O71">
            <v>8.4999999999999999E-6</v>
          </cell>
          <cell r="P71">
            <v>2.7508293924383143E-3</v>
          </cell>
          <cell r="Q71">
            <v>1.8257653261981588E-2</v>
          </cell>
          <cell r="R71">
            <v>2.2943491715722963E-2</v>
          </cell>
          <cell r="S71">
            <v>1.2332296821851552E-2</v>
          </cell>
          <cell r="T71">
            <v>-2.1474436636782279E-2</v>
          </cell>
          <cell r="U71">
            <v>-1.8877987950540187E-2</v>
          </cell>
          <cell r="V71">
            <v>3.4010100506687291E-3</v>
          </cell>
          <cell r="W71">
            <v>1.0523716806109418E-2</v>
          </cell>
          <cell r="X71">
            <v>-2.6546612919654322E-2</v>
          </cell>
          <cell r="Z71">
            <v>40753</v>
          </cell>
          <cell r="AA71">
            <v>1.0570858342262568E-3</v>
          </cell>
          <cell r="AB71">
            <v>1.3510848037409984E-2</v>
          </cell>
          <cell r="AC71">
            <v>3.4650442752336419E-2</v>
          </cell>
          <cell r="AD71">
            <v>6.8864170913366829E-2</v>
          </cell>
          <cell r="AE71">
            <v>0.12847646015394854</v>
          </cell>
          <cell r="AF71">
            <v>0.17309368191721064</v>
          </cell>
          <cell r="AG71">
            <v>0.16110878977267684</v>
          </cell>
          <cell r="AH71">
            <v>6.0286931273300537E-2</v>
          </cell>
          <cell r="AI71">
            <v>0.23718737404806878</v>
          </cell>
          <cell r="AJ71">
            <v>0.21033194549330703</v>
          </cell>
        </row>
        <row r="72">
          <cell r="O72">
            <v>7.6249999999999997E-5</v>
          </cell>
          <cell r="P72">
            <v>3.5661791496266471E-3</v>
          </cell>
          <cell r="Q72">
            <v>2.8018603468612291E-2</v>
          </cell>
          <cell r="R72">
            <v>1.0287264055361955E-3</v>
          </cell>
          <cell r="S72">
            <v>-4.0111762054979683E-2</v>
          </cell>
          <cell r="T72">
            <v>-5.6791097904478782E-2</v>
          </cell>
          <cell r="U72">
            <v>-7.2608246238658469E-2</v>
          </cell>
          <cell r="V72">
            <v>-2.4465804041879369E-2</v>
          </cell>
          <cell r="W72">
            <v>-5.5963847416723445E-2</v>
          </cell>
          <cell r="X72">
            <v>-0.10487776192453468</v>
          </cell>
          <cell r="Z72">
            <v>40786</v>
          </cell>
          <cell r="AA72">
            <v>1.0166311633850178E-3</v>
          </cell>
          <cell r="AB72">
            <v>1.517859229680818E-2</v>
          </cell>
          <cell r="AC72">
            <v>4.2299400074990778E-2</v>
          </cell>
          <cell r="AD72">
            <v>4.7044003926207667E-2</v>
          </cell>
          <cell r="AE72">
            <v>8.1521650824599945E-2</v>
          </cell>
          <cell r="AF72">
            <v>0.1615888233444196</v>
          </cell>
          <cell r="AG72">
            <v>0.12077357268437128</v>
          </cell>
          <cell r="AH72">
            <v>3.2819862458039362E-2</v>
          </cell>
          <cell r="AI72">
            <v>0.18438881023733944</v>
          </cell>
          <cell r="AJ72">
            <v>0.17794865646480917</v>
          </cell>
        </row>
        <row r="73">
          <cell r="O73">
            <v>8.4999999999999999E-6</v>
          </cell>
          <cell r="P73">
            <v>-1.4469050488485902E-3</v>
          </cell>
          <cell r="Q73">
            <v>1.602373136677393E-2</v>
          </cell>
          <cell r="R73">
            <v>-1.3367943131972204E-3</v>
          </cell>
          <cell r="S73">
            <v>-3.6030182272985156E-2</v>
          </cell>
          <cell r="T73">
            <v>-7.1762012979021961E-2</v>
          </cell>
          <cell r="U73">
            <v>-8.8472779511566957E-2</v>
          </cell>
          <cell r="V73">
            <v>-2.2738241229829148E-2</v>
          </cell>
          <cell r="W73">
            <v>-0.10973479254381435</v>
          </cell>
          <cell r="X73">
            <v>-0.10659011860035972</v>
          </cell>
          <cell r="Z73">
            <v>40816</v>
          </cell>
          <cell r="AA73">
            <v>9.1937599068736553E-4</v>
          </cell>
          <cell r="AB73">
            <v>1.2043035070998576E-2</v>
          </cell>
          <cell r="AC73">
            <v>5.8973007015539869E-2</v>
          </cell>
          <cell r="AD73">
            <v>3.9509367279043639E-2</v>
          </cell>
          <cell r="AE73">
            <v>1.3049141503848505E-2</v>
          </cell>
          <cell r="AF73">
            <v>-8.5699263932706993E-3</v>
          </cell>
          <cell r="AG73">
            <v>-6.3713226876076057E-2</v>
          </cell>
          <cell r="AH73">
            <v>-1.0371906109596485E-2</v>
          </cell>
          <cell r="AI73">
            <v>9.330591211998529E-3</v>
          </cell>
          <cell r="AJ73">
            <v>-5.4493602111771566E-2</v>
          </cell>
        </row>
        <row r="74">
          <cell r="O74">
            <v>1.6916666666666667E-5</v>
          </cell>
          <cell r="P74">
            <v>9.1338535195917281E-4</v>
          </cell>
          <cell r="Q74">
            <v>-7.5950680119218905E-3</v>
          </cell>
          <cell r="R74">
            <v>1.7542829864128473E-2</v>
          </cell>
          <cell r="S74">
            <v>5.9577800635870481E-2</v>
          </cell>
          <cell r="T74">
            <v>0.10772303830584562</v>
          </cell>
          <cell r="U74">
            <v>0.10256688948064419</v>
          </cell>
          <cell r="V74">
            <v>7.5684685760968318E-3</v>
          </cell>
          <cell r="W74">
            <v>0.14277207674966585</v>
          </cell>
          <cell r="X74">
            <v>0.10173362751295212</v>
          </cell>
          <cell r="Z74">
            <v>40847</v>
          </cell>
          <cell r="AA74">
            <v>8.0853832007266035E-4</v>
          </cell>
          <cell r="AB74">
            <v>1.0756780523887066E-2</v>
          </cell>
          <cell r="AC74">
            <v>5.2808921996357228E-2</v>
          </cell>
          <cell r="AD74">
            <v>5.5528863763719682E-2</v>
          </cell>
          <cell r="AE74">
            <v>4.8207678075855576E-2</v>
          </cell>
          <cell r="AF74">
            <v>5.9192400655814881E-2</v>
          </cell>
          <cell r="AG74">
            <v>-4.0336106952048034E-3</v>
          </cell>
          <cell r="AH74">
            <v>-1.6526245593362576E-2</v>
          </cell>
          <cell r="AI74">
            <v>0.10164293510861122</v>
          </cell>
          <cell r="AJ74">
            <v>-4.9618940629068131E-3</v>
          </cell>
        </row>
        <row r="75">
          <cell r="O75">
            <v>-1.2666666666666667E-5</v>
          </cell>
          <cell r="P75">
            <v>4.9703066262773987E-4</v>
          </cell>
          <cell r="Q75">
            <v>7.3033899686918424E-3</v>
          </cell>
          <cell r="R75">
            <v>-1.8661798227784909E-2</v>
          </cell>
          <cell r="S75">
            <v>-2.211828040022501E-2</v>
          </cell>
          <cell r="T75">
            <v>-5.0586451767333784E-3</v>
          </cell>
          <cell r="U75">
            <v>-2.6862728990388551E-2</v>
          </cell>
          <cell r="V75">
            <v>-8.4087184938023141E-3</v>
          </cell>
          <cell r="W75">
            <v>-3.7587239953806861E-2</v>
          </cell>
          <cell r="X75">
            <v>-1.362504461307501E-2</v>
          </cell>
          <cell r="Z75">
            <v>40877</v>
          </cell>
          <cell r="AA75">
            <v>7.0371327832274844E-4</v>
          </cell>
          <cell r="AB75">
            <v>1.3092664196578063E-2</v>
          </cell>
          <cell r="AC75">
            <v>6.7774450552291921E-2</v>
          </cell>
          <cell r="AD75">
            <v>4.47636804701248E-2</v>
          </cell>
          <cell r="AE75">
            <v>3.629923192929474E-2</v>
          </cell>
          <cell r="AF75">
            <v>5.6253441192664067E-2</v>
          </cell>
          <cell r="AG75">
            <v>-7.5069539863940049E-3</v>
          </cell>
          <cell r="AH75">
            <v>-2.4613880750718908E-2</v>
          </cell>
          <cell r="AI75">
            <v>8.1410306238355767E-2</v>
          </cell>
          <cell r="AJ75">
            <v>-4.5369300520098466E-2</v>
          </cell>
        </row>
        <row r="76">
          <cell r="O76">
            <v>0</v>
          </cell>
          <cell r="P76">
            <v>5.4194590458922498E-4</v>
          </cell>
          <cell r="Q76">
            <v>9.4564904591136756E-3</v>
          </cell>
          <cell r="R76">
            <v>1.9262377331161318E-2</v>
          </cell>
          <cell r="S76">
            <v>2.4814614262292478E-2</v>
          </cell>
          <cell r="T76">
            <v>8.5327516520175006E-3</v>
          </cell>
          <cell r="U76">
            <v>-1.6967752827958815E-3</v>
          </cell>
          <cell r="V76">
            <v>-4.9091743503163476E-3</v>
          </cell>
          <cell r="W76">
            <v>4.7949795257771211E-2</v>
          </cell>
          <cell r="X76">
            <v>1.1980569576602651E-2</v>
          </cell>
          <cell r="Z76">
            <v>40907</v>
          </cell>
          <cell r="AA76">
            <v>5.7430566812266548E-4</v>
          </cell>
          <cell r="AB76">
            <v>1.5535807857514516E-2</v>
          </cell>
          <cell r="AC76">
            <v>9.7905291582118581E-2</v>
          </cell>
          <cell r="AD76">
            <v>7.5084066136871463E-2</v>
          </cell>
          <cell r="AE76">
            <v>4.3704211489780098E-2</v>
          </cell>
          <cell r="AF76">
            <v>-3.1805604147505662E-5</v>
          </cell>
          <cell r="AG76">
            <v>-7.615208543282781E-2</v>
          </cell>
          <cell r="AH76">
            <v>-5.004919386176454E-2</v>
          </cell>
          <cell r="AI76">
            <v>8.2837181554414441E-2</v>
          </cell>
          <cell r="AJ76">
            <v>-0.1133116538799086</v>
          </cell>
        </row>
        <row r="77">
          <cell r="O77">
            <v>8.4999999999999999E-6</v>
          </cell>
          <cell r="P77">
            <v>1.1337527303880712E-3</v>
          </cell>
          <cell r="Q77">
            <v>4.5092027482835917E-3</v>
          </cell>
          <cell r="R77">
            <v>2.1826999715695683E-2</v>
          </cell>
          <cell r="S77">
            <v>2.9016882483093642E-2</v>
          </cell>
          <cell r="T77">
            <v>4.3583015267175673E-2</v>
          </cell>
          <cell r="U77">
            <v>4.9298573470095475E-2</v>
          </cell>
          <cell r="V77">
            <v>1.57456894257475E-2</v>
          </cell>
          <cell r="W77">
            <v>6.3582868591569586E-2</v>
          </cell>
          <cell r="X77">
            <v>9.6205690679189937E-2</v>
          </cell>
          <cell r="Z77">
            <v>40939</v>
          </cell>
          <cell r="AA77">
            <v>4.830123692374233E-4</v>
          </cell>
          <cell r="AB77">
            <v>1.4992162045997182E-2</v>
          </cell>
          <cell r="AC77">
            <v>0.10278378390578391</v>
          </cell>
          <cell r="AD77">
            <v>9.5952908611352417E-2</v>
          </cell>
          <cell r="AE77">
            <v>5.1909227306826233E-2</v>
          </cell>
          <cell r="AF77">
            <v>2.0441327403352805E-2</v>
          </cell>
          <cell r="AG77">
            <v>-5.1365359916824338E-2</v>
          </cell>
          <cell r="AH77">
            <v>-3.7556759612351387E-2</v>
          </cell>
          <cell r="AI77">
            <v>0.10606299420955811</v>
          </cell>
          <cell r="AJ77">
            <v>-3.6184193276032506E-2</v>
          </cell>
        </row>
        <row r="78">
          <cell r="O78">
            <v>4.233333333333333E-5</v>
          </cell>
          <cell r="P78">
            <v>-1.4082925712344263E-3</v>
          </cell>
          <cell r="Q78">
            <v>-7.0922856725732508E-3</v>
          </cell>
          <cell r="R78">
            <v>8.4889216750143603E-3</v>
          </cell>
          <cell r="S78">
            <v>2.2814230545679992E-2</v>
          </cell>
          <cell r="T78">
            <v>4.0589449943234213E-2</v>
          </cell>
          <cell r="U78">
            <v>4.660364738212075E-2</v>
          </cell>
          <cell r="V78">
            <v>1.3200955980328555E-2</v>
          </cell>
          <cell r="W78">
            <v>-9.1098212985499805E-3</v>
          </cell>
          <cell r="X78">
            <v>2.7415007149138804E-2</v>
          </cell>
          <cell r="Z78">
            <v>40968</v>
          </cell>
          <cell r="AA78">
            <v>4.0448394161773926E-4</v>
          </cell>
          <cell r="AB78">
            <v>1.4448447923439689E-2</v>
          </cell>
          <cell r="AC78">
            <v>9.5896661684480744E-2</v>
          </cell>
          <cell r="AD78">
            <v>9.7480326295584785E-2</v>
          </cell>
          <cell r="AE78">
            <v>6.1682927912588337E-2</v>
          </cell>
          <cell r="AF78">
            <v>2.8977863504166645E-2</v>
          </cell>
          <cell r="AG78">
            <v>-3.9159545740391599E-2</v>
          </cell>
          <cell r="AH78">
            <v>-3.3488708070273265E-2</v>
          </cell>
          <cell r="AI78">
            <v>4.7960177112840396E-2</v>
          </cell>
          <cell r="AJ78">
            <v>-5.149245149086501E-2</v>
          </cell>
        </row>
        <row r="79">
          <cell r="O79">
            <v>6.3583333333333338E-5</v>
          </cell>
          <cell r="P79">
            <v>-5.6304910567261945E-4</v>
          </cell>
          <cell r="Q79">
            <v>-1.0322779235163448E-2</v>
          </cell>
          <cell r="R79">
            <v>-5.9038567229331429E-3</v>
          </cell>
          <cell r="S79">
            <v>-8.3322583906531023E-4</v>
          </cell>
          <cell r="T79">
            <v>3.1332376545017748E-2</v>
          </cell>
          <cell r="U79">
            <v>1.0233152642601828E-2</v>
          </cell>
          <cell r="V79">
            <v>1.3742676150236832E-3</v>
          </cell>
          <cell r="W79">
            <v>4.8408497809204754E-2</v>
          </cell>
          <cell r="X79">
            <v>4.9448639723415511E-2</v>
          </cell>
          <cell r="Z79">
            <v>40998</v>
          </cell>
          <cell r="AA79">
            <v>3.5563634726898385E-4</v>
          </cell>
          <cell r="AB79">
            <v>1.4355528680058738E-2</v>
          </cell>
          <cell r="AC79">
            <v>8.5200895043358482E-2</v>
          </cell>
          <cell r="AD79">
            <v>9.0700546010839211E-2</v>
          </cell>
          <cell r="AE79">
            <v>5.6344932568159756E-2</v>
          </cell>
          <cell r="AF79">
            <v>6.2330766387847403E-2</v>
          </cell>
          <cell r="AG79">
            <v>-1.7169439596083746E-2</v>
          </cell>
          <cell r="AH79">
            <v>-3.1492123629326962E-2</v>
          </cell>
          <cell r="AI79">
            <v>0.11294521173814509</v>
          </cell>
          <cell r="AJ79">
            <v>-2.1301123619454465E-2</v>
          </cell>
        </row>
        <row r="80">
          <cell r="O80">
            <v>5.5083333333333335E-5</v>
          </cell>
          <cell r="P80">
            <v>2.1055372884719592E-3</v>
          </cell>
          <cell r="Q80">
            <v>1.5254117264811518E-2</v>
          </cell>
          <cell r="R80">
            <v>1.2762760781581672E-2</v>
          </cell>
          <cell r="S80">
            <v>1.0045429486597923E-2</v>
          </cell>
          <cell r="T80">
            <v>-7.497497284287169E-3</v>
          </cell>
          <cell r="U80">
            <v>-1.3734651412717902E-2</v>
          </cell>
          <cell r="V80">
            <v>-2.8145952957865372E-3</v>
          </cell>
          <cell r="W80">
            <v>2.6729759686483945E-2</v>
          </cell>
          <cell r="X80">
            <v>-1.4314083310381864E-2</v>
          </cell>
          <cell r="Z80">
            <v>41029</v>
          </cell>
          <cell r="AA80">
            <v>3.3463047710258209E-4</v>
          </cell>
          <cell r="AB80">
            <v>1.20763352495874E-2</v>
          </cell>
          <cell r="AC80">
            <v>8.9189660231993928E-2</v>
          </cell>
          <cell r="AD80">
            <v>8.6177122234218695E-2</v>
          </cell>
          <cell r="AE80">
            <v>5.1015517779729791E-2</v>
          </cell>
          <cell r="AF80">
            <v>2.5153819640512776E-2</v>
          </cell>
          <cell r="AG80">
            <v>-6.8146793219167279E-2</v>
          </cell>
          <cell r="AH80">
            <v>-4.4853914657762672E-2</v>
          </cell>
          <cell r="AI80">
            <v>8.7104434573345824E-2</v>
          </cell>
          <cell r="AJ80">
            <v>-4.708182645658332E-2</v>
          </cell>
        </row>
        <row r="81">
          <cell r="O81">
            <v>7.6249999999999997E-5</v>
          </cell>
          <cell r="P81">
            <v>4.1102973999040948E-4</v>
          </cell>
          <cell r="Q81">
            <v>1.832573151801542E-2</v>
          </cell>
          <cell r="R81">
            <v>5.78677566505581E-3</v>
          </cell>
          <cell r="S81">
            <v>-1.2329131502675339E-2</v>
          </cell>
          <cell r="T81">
            <v>-6.2650671359386623E-2</v>
          </cell>
          <cell r="U81">
            <v>-8.9915687138231282E-2</v>
          </cell>
          <cell r="V81">
            <v>-1.1900829122259204E-2</v>
          </cell>
          <cell r="W81">
            <v>-4.4107221047108736E-2</v>
          </cell>
          <cell r="X81">
            <v>-6.1235240259554846E-2</v>
          </cell>
          <cell r="Z81">
            <v>41060</v>
          </cell>
          <cell r="AA81">
            <v>3.813113788813105E-4</v>
          </cell>
          <cell r="AB81">
            <v>8.8919989837716873E-3</v>
          </cell>
          <cell r="AC81">
            <v>9.1897412885420193E-2</v>
          </cell>
          <cell r="AD81">
            <v>7.7043881840842543E-2</v>
          </cell>
          <cell r="AE81">
            <v>3.2997922500225929E-2</v>
          </cell>
          <cell r="AF81">
            <v>-2.592179601546285E-2</v>
          </cell>
          <cell r="AG81">
            <v>-0.13064276802917441</v>
          </cell>
          <cell r="AH81">
            <v>-4.6806422946218507E-2</v>
          </cell>
          <cell r="AI81">
            <v>2.8874928492329754E-2</v>
          </cell>
          <cell r="AJ81">
            <v>-8.3040731584644645E-2</v>
          </cell>
        </row>
        <row r="82">
          <cell r="O82">
            <v>5.4916666666666669E-5</v>
          </cell>
          <cell r="P82">
            <v>-5.7785592479031589E-4</v>
          </cell>
          <cell r="Q82">
            <v>-3.773916862357507E-3</v>
          </cell>
          <cell r="R82">
            <v>4.9900927854147348E-3</v>
          </cell>
          <cell r="S82">
            <v>2.033871035437973E-2</v>
          </cell>
          <cell r="T82">
            <v>3.9554921279372435E-2</v>
          </cell>
          <cell r="U82">
            <v>4.9318976936924663E-2</v>
          </cell>
          <cell r="V82">
            <v>-4.0606946280623557E-3</v>
          </cell>
          <cell r="W82">
            <v>5.9659009757152548E-2</v>
          </cell>
          <cell r="X82">
            <v>5.744633278195832E-2</v>
          </cell>
          <cell r="Z82">
            <v>41089</v>
          </cell>
          <cell r="AA82">
            <v>3.9823385301174241E-4</v>
          </cell>
          <cell r="AB82">
            <v>7.9388205562787029E-3</v>
          </cell>
          <cell r="AC82">
            <v>9.1126459843680729E-2</v>
          </cell>
          <cell r="AD82">
            <v>9.1508070903713268E-2</v>
          </cell>
          <cell r="AE82">
            <v>6.4698024788683028E-2</v>
          </cell>
          <cell r="AF82">
            <v>3.1439302156529791E-2</v>
          </cell>
          <cell r="AG82">
            <v>-7.1710812962935133E-2</v>
          </cell>
          <cell r="AH82">
            <v>-3.8201151996874572E-2</v>
          </cell>
          <cell r="AI82">
            <v>0.1247988495166974</v>
          </cell>
          <cell r="AJ82">
            <v>-9.8707593803522009E-3</v>
          </cell>
        </row>
        <row r="83">
          <cell r="O83">
            <v>6.7583333333333341E-5</v>
          </cell>
          <cell r="P83">
            <v>2.3879071642518568E-3</v>
          </cell>
          <cell r="Q83">
            <v>1.0669684654837752E-2</v>
          </cell>
          <cell r="R83">
            <v>2.8072055289132924E-2</v>
          </cell>
          <cell r="S83">
            <v>1.916201327972078E-2</v>
          </cell>
          <cell r="T83">
            <v>1.2597639043871345E-2</v>
          </cell>
          <cell r="U83">
            <v>1.2017285469200001E-2</v>
          </cell>
          <cell r="V83">
            <v>9.0257066089889371E-3</v>
          </cell>
          <cell r="W83">
            <v>2.1699615474225942E-2</v>
          </cell>
          <cell r="X83">
            <v>-8.3774840458926692E-3</v>
          </cell>
          <cell r="Z83">
            <v>41121</v>
          </cell>
          <cell r="AA83">
            <v>4.5734021292442861E-4</v>
          </cell>
          <cell r="AB83">
            <v>7.5740206559349321E-3</v>
          </cell>
          <cell r="AC83">
            <v>8.2995479146216855E-2</v>
          </cell>
          <cell r="AD83">
            <v>9.6980385433160343E-2</v>
          </cell>
          <cell r="AE83">
            <v>7.1881027489860028E-2</v>
          </cell>
          <cell r="AF83">
            <v>6.7353824248614247E-2</v>
          </cell>
          <cell r="AG83">
            <v>-4.2479231269859752E-2</v>
          </cell>
          <cell r="AH83">
            <v>-3.2809661838930304E-2</v>
          </cell>
          <cell r="AI83">
            <v>0.13723857532931283</v>
          </cell>
          <cell r="AJ83">
            <v>8.6096178141368274E-3</v>
          </cell>
        </row>
        <row r="84">
          <cell r="O84">
            <v>8.0249999999999999E-5</v>
          </cell>
          <cell r="P84">
            <v>8.7315677926858015E-5</v>
          </cell>
          <cell r="Q84">
            <v>-1.3478922593235243E-3</v>
          </cell>
          <cell r="R84">
            <v>3.9976848030722767E-3</v>
          </cell>
          <cell r="S84">
            <v>1.206136294073934E-2</v>
          </cell>
          <cell r="T84">
            <v>1.9763361656468303E-2</v>
          </cell>
          <cell r="U84">
            <v>2.2901556890058128E-2</v>
          </cell>
          <cell r="V84">
            <v>6.6002649942331626E-3</v>
          </cell>
          <cell r="W84">
            <v>1.1967347046468735E-3</v>
          </cell>
          <cell r="X84">
            <v>2.7077732798619802E-2</v>
          </cell>
          <cell r="Z84">
            <v>41152</v>
          </cell>
          <cell r="AA84">
            <v>4.6134173716882998E-4</v>
          </cell>
          <cell r="AB84">
            <v>4.0812639964153963E-3</v>
          </cell>
          <cell r="AC84">
            <v>5.2058507768059981E-2</v>
          </cell>
          <cell r="AD84">
            <v>0.10023392755573202</v>
          </cell>
          <cell r="AE84">
            <v>0.13014133386416415</v>
          </cell>
          <cell r="AF84">
            <v>0.15398436282191086</v>
          </cell>
          <cell r="AG84">
            <v>5.6133485246280257E-2</v>
          </cell>
          <cell r="AH84">
            <v>-2.0093045158717793E-3</v>
          </cell>
          <cell r="AI84">
            <v>0.2060973990076429</v>
          </cell>
          <cell r="AJ84">
            <v>0.1572949877445573</v>
          </cell>
        </row>
        <row r="85">
          <cell r="O85">
            <v>5.9166666666666664E-5</v>
          </cell>
          <cell r="P85">
            <v>8.554425548279454E-5</v>
          </cell>
          <cell r="Q85">
            <v>-3.4400613881659936E-3</v>
          </cell>
          <cell r="R85">
            <v>7.3862068362684496E-3</v>
          </cell>
          <cell r="S85">
            <v>1.4240658825719121E-2</v>
          </cell>
          <cell r="T85">
            <v>2.4236090375236552E-2</v>
          </cell>
          <cell r="U85">
            <v>2.5242141634289839E-2</v>
          </cell>
          <cell r="V85">
            <v>6.5387650685306831E-3</v>
          </cell>
          <cell r="W85">
            <v>-1.2332339756289779E-2</v>
          </cell>
          <cell r="X85">
            <v>4.7865263763851917E-2</v>
          </cell>
          <cell r="Z85">
            <v>41180</v>
          </cell>
          <cell r="AA85">
            <v>5.1203134762167757E-4</v>
          </cell>
          <cell r="AB85">
            <v>5.6221972149728128E-3</v>
          </cell>
          <cell r="AC85">
            <v>3.1904402968044421E-2</v>
          </cell>
          <cell r="AD85">
            <v>0.1098441162160313</v>
          </cell>
          <cell r="AE85">
            <v>0.18907798765662998</v>
          </cell>
          <cell r="AF85">
            <v>0.27332909087695079</v>
          </cell>
          <cell r="AG85">
            <v>0.1878883394018438</v>
          </cell>
          <cell r="AH85">
            <v>2.7888703479614474E-2</v>
          </cell>
          <cell r="AI85">
            <v>0.33805453265737073</v>
          </cell>
          <cell r="AJ85">
            <v>0.35737161949194296</v>
          </cell>
        </row>
        <row r="86">
          <cell r="O86">
            <v>7.6083333333333344E-5</v>
          </cell>
          <cell r="P86">
            <v>-5.555491868257656E-4</v>
          </cell>
          <cell r="Q86">
            <v>-1.7316643948622756E-3</v>
          </cell>
          <cell r="R86">
            <v>1.3162983493898883E-2</v>
          </cell>
          <cell r="S86">
            <v>8.2474834853727419E-3</v>
          </cell>
          <cell r="T86">
            <v>-1.9789403541407791E-2</v>
          </cell>
          <cell r="U86">
            <v>-7.6096073198628211E-3</v>
          </cell>
          <cell r="V86">
            <v>-2.0813062460760534E-3</v>
          </cell>
          <cell r="W86">
            <v>-2.5119402928182044E-3</v>
          </cell>
          <cell r="X86">
            <v>-2.9301181310135926E-2</v>
          </cell>
          <cell r="Z86">
            <v>41213</v>
          </cell>
          <cell r="AA86">
            <v>5.7122730807823707E-4</v>
          </cell>
          <cell r="AB86">
            <v>4.1463520518685293E-3</v>
          </cell>
          <cell r="AC86">
            <v>3.8001180416239455E-2</v>
          </cell>
          <cell r="AD86">
            <v>0.10506697408376486</v>
          </cell>
          <cell r="AE86">
            <v>0.13147414753610054</v>
          </cell>
          <cell r="AF86">
            <v>0.12675337110029505</v>
          </cell>
          <cell r="AG86">
            <v>6.9185903228456302E-2</v>
          </cell>
          <cell r="AH86">
            <v>1.8044315886927009E-2</v>
          </cell>
          <cell r="AI86">
            <v>0.16794367548689837</v>
          </cell>
          <cell r="AJ86">
            <v>0.19593247828725846</v>
          </cell>
        </row>
        <row r="87">
          <cell r="O87">
            <v>8.8750000000000002E-5</v>
          </cell>
          <cell r="P87">
            <v>8.9025510352636061E-4</v>
          </cell>
          <cell r="Q87">
            <v>5.7531373731054547E-3</v>
          </cell>
          <cell r="R87">
            <v>-8.2135255640869431E-4</v>
          </cell>
          <cell r="S87">
            <v>7.4227903061738765E-3</v>
          </cell>
          <cell r="T87">
            <v>2.8467029231815655E-3</v>
          </cell>
          <cell r="U87">
            <v>1.0733603786342139E-2</v>
          </cell>
          <cell r="V87">
            <v>4.5185292148639533E-3</v>
          </cell>
          <cell r="W87">
            <v>-2.7179312769405328E-3</v>
          </cell>
          <cell r="X87">
            <v>-5.83134684303932E-3</v>
          </cell>
          <cell r="Z87">
            <v>41243</v>
          </cell>
          <cell r="AA87">
            <v>6.7270319207524132E-4</v>
          </cell>
          <cell r="AB87">
            <v>4.5410107822441148E-3</v>
          </cell>
          <cell r="AC87">
            <v>3.6403683534776965E-2</v>
          </cell>
          <cell r="AD87">
            <v>0.12515677317521989</v>
          </cell>
          <cell r="AE87">
            <v>0.16565512988282727</v>
          </cell>
          <cell r="AF87">
            <v>0.13570603708218321</v>
          </cell>
          <cell r="AG87">
            <v>0.11049299341549879</v>
          </cell>
          <cell r="AH87">
            <v>3.1316428394692952E-2</v>
          </cell>
          <cell r="AI87">
            <v>0.21025960294383639</v>
          </cell>
          <cell r="AJ87">
            <v>0.2053819642441328</v>
          </cell>
        </row>
        <row r="88">
          <cell r="O88">
            <v>6.3416666666666672E-5</v>
          </cell>
          <cell r="P88">
            <v>3.3762579425800077E-4</v>
          </cell>
          <cell r="Q88">
            <v>-4.9419567051486313E-3</v>
          </cell>
          <cell r="R88">
            <v>-1.9428262162357601E-4</v>
          </cell>
          <cell r="S88">
            <v>1.5858831878961865E-2</v>
          </cell>
          <cell r="T88">
            <v>7.0683105254980561E-3</v>
          </cell>
          <cell r="U88">
            <v>1.7491581083854735E-2</v>
          </cell>
          <cell r="V88">
            <v>1.1279931639825103E-2</v>
          </cell>
          <cell r="W88">
            <v>3.6475471473991439E-2</v>
          </cell>
          <cell r="X88">
            <v>1.6741172024358209E-2</v>
          </cell>
          <cell r="Z88">
            <v>41274</v>
          </cell>
          <cell r="AA88">
            <v>7.3616251933605881E-4</v>
          </cell>
          <cell r="AB88">
            <v>4.3358740251142613E-3</v>
          </cell>
          <cell r="AC88">
            <v>2.162087335993168E-2</v>
          </cell>
          <cell r="AD88">
            <v>0.10367869921102191</v>
          </cell>
          <cell r="AE88">
            <v>0.15546855220140099</v>
          </cell>
          <cell r="AF88">
            <v>0.13405693384223927</v>
          </cell>
          <cell r="AG88">
            <v>0.13183774596436604</v>
          </cell>
          <cell r="AH88">
            <v>4.8094887745631976E-2</v>
          </cell>
          <cell r="AI88">
            <v>0.19700809928455065</v>
          </cell>
          <cell r="AJ88">
            <v>0.21105237383693942</v>
          </cell>
        </row>
        <row r="89">
          <cell r="O89">
            <v>3.3833333333333334E-5</v>
          </cell>
          <cell r="P89">
            <v>1.1015399528546688E-4</v>
          </cell>
          <cell r="Q89">
            <v>-9.5016863564771903E-3</v>
          </cell>
          <cell r="R89">
            <v>-7.1759738369659987E-3</v>
          </cell>
          <cell r="S89">
            <v>1.3759880089297738E-2</v>
          </cell>
          <cell r="T89">
            <v>5.0428063581991145E-2</v>
          </cell>
          <cell r="U89">
            <v>5.0033619723571121E-2</v>
          </cell>
          <cell r="V89">
            <v>2.0520075697851192E-2</v>
          </cell>
          <cell r="W89">
            <v>3.6573553767893063E-2</v>
          </cell>
          <cell r="X89">
            <v>7.8911474695946948E-2</v>
          </cell>
          <cell r="Z89">
            <v>41305</v>
          </cell>
          <cell r="AA89">
            <v>7.6151428662996068E-4</v>
          </cell>
          <cell r="AB89">
            <v>3.3090013145835595E-3</v>
          </cell>
          <cell r="AC89">
            <v>7.3713107630004604E-3</v>
          </cell>
          <cell r="AD89">
            <v>7.2352492198719975E-2</v>
          </cell>
          <cell r="AE89">
            <v>0.1383366792778471</v>
          </cell>
          <cell r="AF89">
            <v>0.14149541682858224</v>
          </cell>
          <cell r="AG89">
            <v>0.13263061189952308</v>
          </cell>
          <cell r="AH89">
            <v>5.3021327400762708E-2</v>
          </cell>
          <cell r="AI89">
            <v>0.16661049740997336</v>
          </cell>
          <cell r="AJ89">
            <v>0.19194628681491488</v>
          </cell>
        </row>
        <row r="90">
          <cell r="O90">
            <v>5.9166666666666664E-5</v>
          </cell>
          <cell r="P90">
            <v>8.3091021235359719E-4</v>
          </cell>
          <cell r="Q90">
            <v>5.9378731064057E-3</v>
          </cell>
          <cell r="R90">
            <v>7.0715896685218382E-3</v>
          </cell>
          <cell r="S90">
            <v>4.6267001635165173E-3</v>
          </cell>
          <cell r="T90">
            <v>1.1060603026480154E-2</v>
          </cell>
          <cell r="U90">
            <v>-2.0633667029534841E-4</v>
          </cell>
          <cell r="V90">
            <v>2.6238727119396454E-3</v>
          </cell>
          <cell r="W90">
            <v>1.2409545310265502E-2</v>
          </cell>
          <cell r="X90">
            <v>7.555418131898195E-3</v>
          </cell>
          <cell r="Z90">
            <v>41333</v>
          </cell>
          <cell r="AA90">
            <v>7.7835972566320244E-4</v>
          </cell>
          <cell r="AB90">
            <v>5.5587819725133603E-3</v>
          </cell>
          <cell r="AC90">
            <v>2.0591278680684999E-2</v>
          </cell>
          <cell r="AD90">
            <v>7.0845406224080865E-2</v>
          </cell>
          <cell r="AE90">
            <v>0.1180949459100471</v>
          </cell>
          <cell r="AF90">
            <v>0.10910315740144094</v>
          </cell>
          <cell r="AG90">
            <v>8.197301958851777E-2</v>
          </cell>
          <cell r="AH90">
            <v>4.202854833006886E-2</v>
          </cell>
          <cell r="AI90">
            <v>0.19194601846272752</v>
          </cell>
          <cell r="AJ90">
            <v>0.16890636310146423</v>
          </cell>
        </row>
        <row r="91">
          <cell r="O91">
            <v>8.4500000000000008E-5</v>
          </cell>
          <cell r="P91">
            <v>2.3418729525115367E-4</v>
          </cell>
          <cell r="Q91">
            <v>1.0737913451743797E-3</v>
          </cell>
          <cell r="R91">
            <v>6.6103676205497841E-4</v>
          </cell>
          <cell r="S91">
            <v>1.0305228071378902E-2</v>
          </cell>
          <cell r="T91">
            <v>3.5987799403174314E-2</v>
          </cell>
          <cell r="U91">
            <v>2.0872770748231462E-2</v>
          </cell>
          <cell r="V91">
            <v>9.3186486452792039E-3</v>
          </cell>
          <cell r="W91">
            <v>3.0075545543094773E-2</v>
          </cell>
          <cell r="X91">
            <v>5.8131380463207538E-2</v>
          </cell>
          <cell r="Z91">
            <v>41362</v>
          </cell>
          <cell r="AA91">
            <v>7.9929134211953468E-4</v>
          </cell>
          <cell r="AB91">
            <v>6.3609016695487242E-3</v>
          </cell>
          <cell r="AC91">
            <v>3.2343838300247896E-2</v>
          </cell>
          <cell r="AD91">
            <v>7.7917142774205139E-2</v>
          </cell>
          <cell r="AE91">
            <v>0.1305591804548536</v>
          </cell>
          <cell r="AF91">
            <v>0.11410963669797747</v>
          </cell>
          <cell r="AG91">
            <v>9.3368190791228489E-2</v>
          </cell>
          <cell r="AH91">
            <v>5.0295459214502181E-2</v>
          </cell>
          <cell r="AI91">
            <v>0.17110310321936639</v>
          </cell>
          <cell r="AJ91">
            <v>0.17857745181961082</v>
          </cell>
        </row>
        <row r="92">
          <cell r="O92">
            <v>5.9166666666666664E-5</v>
          </cell>
          <cell r="P92">
            <v>1.0131070170205092E-3</v>
          </cell>
          <cell r="Q92">
            <v>1.0531370167573773E-2</v>
          </cell>
          <cell r="R92">
            <v>1.699892524977531E-2</v>
          </cell>
          <cell r="S92">
            <v>1.8570070613796785E-2</v>
          </cell>
          <cell r="T92">
            <v>1.8085763992887971E-2</v>
          </cell>
          <cell r="U92">
            <v>2.9020362353695761E-2</v>
          </cell>
          <cell r="V92">
            <v>8.5975033639389409E-3</v>
          </cell>
          <cell r="W92">
            <v>6.330666949378605E-2</v>
          </cell>
          <cell r="X92">
            <v>1.144776349459864E-4</v>
          </cell>
          <cell r="Z92">
            <v>41394</v>
          </cell>
          <cell r="AA92">
            <v>8.0337771413496739E-4</v>
          </cell>
          <cell r="AB92">
            <v>5.2638324766531852E-3</v>
          </cell>
          <cell r="AC92">
            <v>2.7541593440784551E-2</v>
          </cell>
          <cell r="AD92">
            <v>8.2425833729975473E-2</v>
          </cell>
          <cell r="AE92">
            <v>0.14010094066195267</v>
          </cell>
          <cell r="AF92">
            <v>0.1428275067779754</v>
          </cell>
          <cell r="AG92">
            <v>0.14076615738916054</v>
          </cell>
          <cell r="AH92">
            <v>6.231536578942154E-2</v>
          </cell>
          <cell r="AI92">
            <v>0.21282326587890243</v>
          </cell>
          <cell r="AJ92">
            <v>0.19582957676573942</v>
          </cell>
        </row>
        <row r="93">
          <cell r="O93">
            <v>3.8000000000000002E-5</v>
          </cell>
          <cell r="P93">
            <v>-1.4332694370678967E-3</v>
          </cell>
          <cell r="Q93">
            <v>-2.0148458119876533E-2</v>
          </cell>
          <cell r="R93">
            <v>-2.2811171118688689E-2</v>
          </cell>
          <cell r="S93">
            <v>-5.3085600530856647E-3</v>
          </cell>
          <cell r="T93">
            <v>2.0762783477406455E-2</v>
          </cell>
          <cell r="U93">
            <v>-2.8520330049995879E-3</v>
          </cell>
          <cell r="V93">
            <v>6.1574763744156602E-3</v>
          </cell>
          <cell r="W93">
            <v>-5.9001229426800861E-2</v>
          </cell>
          <cell r="X93">
            <v>4.029264164309776E-2</v>
          </cell>
          <cell r="Z93">
            <v>41425</v>
          </cell>
          <cell r="AA93">
            <v>7.6509990361994795E-4</v>
          </cell>
          <cell r="AB93">
            <v>3.4105869567142566E-3</v>
          </cell>
          <cell r="AC93">
            <v>-1.128078814426059E-2</v>
          </cell>
          <cell r="AD93">
            <v>5.1648777261031897E-2</v>
          </cell>
          <cell r="AE93">
            <v>0.14820501699847477</v>
          </cell>
          <cell r="AF93">
            <v>0.24452618805949689</v>
          </cell>
          <cell r="AG93">
            <v>0.24989810128732004</v>
          </cell>
          <cell r="AH93">
            <v>8.1730031821573235E-2</v>
          </cell>
          <cell r="AI93">
            <v>0.19392595826991132</v>
          </cell>
          <cell r="AJ93">
            <v>0.32515914819014946</v>
          </cell>
        </row>
        <row r="94">
          <cell r="O94">
            <v>2.1083333333333332E-5</v>
          </cell>
          <cell r="P94">
            <v>-7.0885763849148908E-4</v>
          </cell>
          <cell r="Q94">
            <v>-1.2550513797482843E-2</v>
          </cell>
          <cell r="R94">
            <v>-2.759722730309111E-2</v>
          </cell>
          <cell r="S94">
            <v>-2.6358516027427781E-2</v>
          </cell>
          <cell r="T94">
            <v>-1.499932545960736E-2</v>
          </cell>
          <cell r="U94">
            <v>-2.6074609526268278E-2</v>
          </cell>
          <cell r="V94">
            <v>-1.3137384469871116E-2</v>
          </cell>
          <cell r="W94">
            <v>-2.1880028129755758E-2</v>
          </cell>
          <cell r="X94">
            <v>9.4600744182702368E-3</v>
          </cell>
          <cell r="Z94">
            <v>41453</v>
          </cell>
          <cell r="AA94">
            <v>7.3124254374024034E-4</v>
          </cell>
          <cell r="AB94">
            <v>3.2790624480605324E-3</v>
          </cell>
          <cell r="AC94">
            <v>-1.9991250710289843E-2</v>
          </cell>
          <cell r="AD94">
            <v>1.7548525356749556E-2</v>
          </cell>
          <cell r="AE94">
            <v>9.5655810477748071E-2</v>
          </cell>
          <cell r="AF94">
            <v>0.17921536383391112</v>
          </cell>
          <cell r="AG94">
            <v>0.16009290130450227</v>
          </cell>
          <cell r="AH94">
            <v>7.1871471226108374E-2</v>
          </cell>
          <cell r="AI94">
            <v>0.10205529700139193</v>
          </cell>
          <cell r="AJ94">
            <v>0.26502424839739658</v>
          </cell>
        </row>
        <row r="95">
          <cell r="O95">
            <v>2.5333333333333334E-5</v>
          </cell>
          <cell r="P95">
            <v>1.5896724164516929E-3</v>
          </cell>
          <cell r="Q95">
            <v>-1.9451251847627526E-3</v>
          </cell>
          <cell r="R95">
            <v>7.3868715089695502E-3</v>
          </cell>
          <cell r="S95">
            <v>1.8803108613763442E-2</v>
          </cell>
          <cell r="T95">
            <v>4.9462111213487203E-2</v>
          </cell>
          <cell r="U95">
            <v>5.1871228767744526E-2</v>
          </cell>
          <cell r="V95">
            <v>9.1891103847112632E-3</v>
          </cell>
          <cell r="W95">
            <v>8.2878695885766351E-3</v>
          </cell>
          <cell r="X95">
            <v>7.1868724591266364E-2</v>
          </cell>
          <cell r="Z95">
            <v>41486</v>
          </cell>
          <cell r="AA95">
            <v>6.8896450603372905E-4</v>
          </cell>
          <cell r="AB95">
            <v>2.4801180437410419E-3</v>
          </cell>
          <cell r="AC95">
            <v>-3.2223361954089924E-2</v>
          </cell>
          <cell r="AD95">
            <v>-2.9249211725592694E-3</v>
          </cell>
          <cell r="AE95">
            <v>9.5269968013507178E-2</v>
          </cell>
          <cell r="AF95">
            <v>0.22214569498013592</v>
          </cell>
          <cell r="AG95">
            <v>0.20577816515668834</v>
          </cell>
          <cell r="AH95">
            <v>7.2045052379037022E-2</v>
          </cell>
          <cell r="AI95">
            <v>8.7588730339863252E-2</v>
          </cell>
          <cell r="AJ95">
            <v>0.36739525967913345</v>
          </cell>
        </row>
        <row r="96">
          <cell r="O96">
            <v>2.9583333333333332E-5</v>
          </cell>
          <cell r="P96">
            <v>-9.1058735963966964E-4</v>
          </cell>
          <cell r="Q96">
            <v>-5.3898417918450958E-3</v>
          </cell>
          <cell r="R96">
            <v>-6.6851475720129949E-3</v>
          </cell>
          <cell r="S96">
            <v>-6.2001363477234284E-3</v>
          </cell>
          <cell r="T96">
            <v>-3.1298013323604601E-2</v>
          </cell>
          <cell r="U96">
            <v>-2.33236731635178E-2</v>
          </cell>
          <cell r="V96">
            <v>-6.9632203176211993E-3</v>
          </cell>
          <cell r="W96">
            <v>-6.622236547065774E-2</v>
          </cell>
          <cell r="X96">
            <v>-2.683995058753863E-2</v>
          </cell>
          <cell r="Z96">
            <v>41516</v>
          </cell>
          <cell r="AA96">
            <v>6.3826700030711336E-4</v>
          </cell>
          <cell r="AB96">
            <v>1.4798274298983838E-3</v>
          </cell>
          <cell r="AC96">
            <v>-3.6140345956241493E-2</v>
          </cell>
          <cell r="AD96">
            <v>-1.353409497217628E-2</v>
          </cell>
          <cell r="AE96">
            <v>7.5507063832049859E-2</v>
          </cell>
          <cell r="AF96">
            <v>0.16095067468611868</v>
          </cell>
          <cell r="AG96">
            <v>0.15128868598588174</v>
          </cell>
          <cell r="AH96">
            <v>5.7599728026104025E-2</v>
          </cell>
          <cell r="AI96">
            <v>1.4352121570912146E-2</v>
          </cell>
          <cell r="AJ96">
            <v>0.29561219757903356</v>
          </cell>
        </row>
        <row r="97">
          <cell r="O97">
            <v>1.6916666666666667E-5</v>
          </cell>
          <cell r="P97">
            <v>2.2604909853345401E-3</v>
          </cell>
          <cell r="Q97">
            <v>7.6369728708005624E-3</v>
          </cell>
          <cell r="R97">
            <v>8.2365093403367062E-3</v>
          </cell>
          <cell r="S97">
            <v>9.9159814473190888E-3</v>
          </cell>
          <cell r="T97">
            <v>2.9749474883188354E-2</v>
          </cell>
          <cell r="U97">
            <v>4.816192946480724E-2</v>
          </cell>
          <cell r="V97">
            <v>1.2089449946689035E-2</v>
          </cell>
          <cell r="W97">
            <v>3.434223467626718E-2</v>
          </cell>
          <cell r="X97">
            <v>6.2364057265549055E-2</v>
          </cell>
          <cell r="Z97">
            <v>41547</v>
          </cell>
          <cell r="AA97">
            <v>5.9599253476516623E-4</v>
          </cell>
          <cell r="AB97">
            <v>3.6578063919903148E-3</v>
          </cell>
          <cell r="AC97">
            <v>-2.5426784237564615E-2</v>
          </cell>
          <cell r="AD97">
            <v>-1.2701450626312671E-2</v>
          </cell>
          <cell r="AE97">
            <v>7.0921149208346357E-2</v>
          </cell>
          <cell r="AF97">
            <v>0.16719998334108488</v>
          </cell>
          <cell r="AG97">
            <v>0.17702630575676692</v>
          </cell>
          <cell r="AH97">
            <v>6.3431995019913812E-2</v>
          </cell>
          <cell r="AI97">
            <v>6.2287733421766411E-2</v>
          </cell>
          <cell r="AJ97">
            <v>0.31353894289694262</v>
          </cell>
        </row>
        <row r="98">
          <cell r="O98">
            <v>4.25E-6</v>
          </cell>
          <cell r="P98">
            <v>1.0262168533272664E-3</v>
          </cell>
          <cell r="Q98">
            <v>5.4804354642623565E-3</v>
          </cell>
          <cell r="R98">
            <v>1.4968260558051671E-2</v>
          </cell>
          <cell r="S98">
            <v>2.4520542915539734E-2</v>
          </cell>
          <cell r="T98">
            <v>4.4595759864410889E-2</v>
          </cell>
          <cell r="U98">
            <v>3.8343687446150909E-2</v>
          </cell>
          <cell r="V98">
            <v>1.2077240762550012E-2</v>
          </cell>
          <cell r="W98">
            <v>4.3348655126880242E-2</v>
          </cell>
          <cell r="X98">
            <v>9.1877396119739441E-3</v>
          </cell>
          <cell r="Z98">
            <v>41578</v>
          </cell>
          <cell r="AA98">
            <v>5.2412185746208984E-4</v>
          </cell>
          <cell r="AB98">
            <v>5.246240679452896E-3</v>
          </cell>
          <cell r="AC98">
            <v>-1.838587238910272E-2</v>
          </cell>
          <cell r="AD98">
            <v>-1.0942259404669974E-2</v>
          </cell>
          <cell r="AE98">
            <v>8.8205758187331229E-2</v>
          </cell>
          <cell r="AF98">
            <v>0.24386755041921626</v>
          </cell>
          <cell r="AG98">
            <v>0.23152928883152013</v>
          </cell>
          <cell r="AH98">
            <v>7.8520049774482459E-2</v>
          </cell>
          <cell r="AI98">
            <v>0.11112756412216118</v>
          </cell>
          <cell r="AJ98">
            <v>0.36562172648321312</v>
          </cell>
        </row>
        <row r="99">
          <cell r="O99">
            <v>2.9583333333333332E-5</v>
          </cell>
          <cell r="P99">
            <v>9.3212759439986748E-4</v>
          </cell>
          <cell r="Q99">
            <v>-4.2729139111795655E-3</v>
          </cell>
          <cell r="R99">
            <v>-2.8776747035942352E-3</v>
          </cell>
          <cell r="S99">
            <v>4.6409948572760928E-3</v>
          </cell>
          <cell r="T99">
            <v>2.804946087194149E-2</v>
          </cell>
          <cell r="U99">
            <v>1.5946495639045377E-2</v>
          </cell>
          <cell r="V99">
            <v>1.1616239432692188E-2</v>
          </cell>
          <cell r="W99">
            <v>-4.8655503729338134E-2</v>
          </cell>
          <cell r="X99">
            <v>5.8603609212572794E-2</v>
          </cell>
          <cell r="Z99">
            <v>41607</v>
          </cell>
          <cell r="AA99">
            <v>4.6492943357967498E-4</v>
          </cell>
          <cell r="AB99">
            <v>5.2882954040576191E-3</v>
          </cell>
          <cell r="AC99">
            <v>-2.8171289127161048E-2</v>
          </cell>
          <cell r="AD99">
            <v>-1.2977752599040548E-2</v>
          </cell>
          <cell r="AE99">
            <v>8.5200896817587912E-2</v>
          </cell>
          <cell r="AF99">
            <v>0.27512745554943652</v>
          </cell>
          <cell r="AG99">
            <v>0.23788094170233154</v>
          </cell>
          <cell r="AH99">
            <v>8.6140638698212424E-2</v>
          </cell>
          <cell r="AI99">
            <v>5.9945953039878486E-2</v>
          </cell>
          <cell r="AJ99">
            <v>0.45413163438979631</v>
          </cell>
        </row>
        <row r="100">
          <cell r="O100">
            <v>4.6499999999999999E-5</v>
          </cell>
          <cell r="P100">
            <v>-1.3626905157968494E-3</v>
          </cell>
          <cell r="Q100">
            <v>-1.0392957075136766E-2</v>
          </cell>
          <cell r="R100">
            <v>-1.7959320051789129E-3</v>
          </cell>
          <cell r="S100">
            <v>5.4905528008655224E-3</v>
          </cell>
          <cell r="T100">
            <v>2.3562833299184183E-2</v>
          </cell>
          <cell r="U100">
            <v>2.0050109922501447E-2</v>
          </cell>
          <cell r="V100">
            <v>1.5226749450585553E-2</v>
          </cell>
          <cell r="W100">
            <v>5.7822744998801134E-3</v>
          </cell>
          <cell r="X100">
            <v>3.0384616499948613E-2</v>
          </cell>
          <cell r="Z100">
            <v>41639</v>
          </cell>
          <cell r="AA100">
            <v>4.4800597508642959E-4</v>
          </cell>
          <cell r="AB100">
            <v>3.5795642307945297E-3</v>
          </cell>
          <cell r="AC100">
            <v>-3.3495037523779359E-2</v>
          </cell>
          <cell r="AD100">
            <v>-1.4558923367147369E-2</v>
          </cell>
          <cell r="AE100">
            <v>7.4124883693604815E-2</v>
          </cell>
          <cell r="AF100">
            <v>0.29601245275874954</v>
          </cell>
          <cell r="AG100">
            <v>0.24099364960777003</v>
          </cell>
          <cell r="AH100">
            <v>9.0379622468861998E-2</v>
          </cell>
          <cell r="AI100">
            <v>2.8557723589258233E-2</v>
          </cell>
          <cell r="AJ100">
            <v>0.47364433315707055</v>
          </cell>
        </row>
        <row r="101">
          <cell r="O101">
            <v>5.4916666666666669E-5</v>
          </cell>
          <cell r="P101">
            <v>1.5814379055123506E-3</v>
          </cell>
          <cell r="Q101">
            <v>1.5969001717037301E-2</v>
          </cell>
          <cell r="R101">
            <v>1.7841252744521308E-2</v>
          </cell>
          <cell r="S101">
            <v>7.4059182303847226E-3</v>
          </cell>
          <cell r="T101">
            <v>-3.5582895107013734E-2</v>
          </cell>
          <cell r="U101">
            <v>-3.7692571655619567E-2</v>
          </cell>
          <cell r="V101">
            <v>-4.6752741251663288E-3</v>
          </cell>
          <cell r="W101">
            <v>3.3120283084565161E-2</v>
          </cell>
          <cell r="X101">
            <v>1.6008568298106152E-2</v>
          </cell>
          <cell r="Z101">
            <v>41670</v>
          </cell>
          <cell r="AA101">
            <v>4.6909804026373791E-4</v>
          </cell>
          <cell r="AB101">
            <v>5.0559520662611934E-3</v>
          </cell>
          <cell r="AC101">
            <v>-8.6413390553986558E-3</v>
          </cell>
          <cell r="AD101">
            <v>1.0272267304280547E-2</v>
          </cell>
          <cell r="AE101">
            <v>6.7392570966751775E-2</v>
          </cell>
          <cell r="AF101">
            <v>0.18989259800682268</v>
          </cell>
          <cell r="AG101">
            <v>0.13731349655275449</v>
          </cell>
          <cell r="AH101">
            <v>6.345952880073269E-2</v>
          </cell>
          <cell r="AI101">
            <v>2.5131157071069055E-2</v>
          </cell>
          <cell r="AJ101">
            <v>0.3877276349604819</v>
          </cell>
        </row>
        <row r="102">
          <cell r="O102">
            <v>1.6916666666666667E-5</v>
          </cell>
          <cell r="P102">
            <v>9.038801092022819E-4</v>
          </cell>
          <cell r="Q102">
            <v>3.1205105942291311E-3</v>
          </cell>
          <cell r="R102">
            <v>1.0973285355480922E-2</v>
          </cell>
          <cell r="S102">
            <v>1.9994247948630584E-2</v>
          </cell>
          <cell r="T102">
            <v>4.3117037568930705E-2</v>
          </cell>
          <cell r="U102">
            <v>4.8133828810229984E-2</v>
          </cell>
          <cell r="V102">
            <v>1.5665185253169511E-2</v>
          </cell>
          <cell r="W102">
            <v>4.6666991377195766E-2</v>
          </cell>
          <cell r="X102">
            <v>4.7248047749419486E-2</v>
          </cell>
          <cell r="Z102">
            <v>41698</v>
          </cell>
          <cell r="AA102">
            <v>4.2683072168747671E-4</v>
          </cell>
          <cell r="AB102">
            <v>5.1292300080205688E-3</v>
          </cell>
          <cell r="AC102">
            <v>-1.1417869099785816E-2</v>
          </cell>
          <cell r="AD102">
            <v>1.4186363370969124E-2</v>
          </cell>
          <cell r="AE102">
            <v>8.372023410484819E-2</v>
          </cell>
          <cell r="AF102">
            <v>0.22761903504370617</v>
          </cell>
          <cell r="AG102">
            <v>0.19230276548200265</v>
          </cell>
          <cell r="AH102">
            <v>7.7292141874792497E-2</v>
          </cell>
          <cell r="AI102">
            <v>5.9819071154425307E-2</v>
          </cell>
          <cell r="AJ102">
            <v>0.44239714299271848</v>
          </cell>
        </row>
        <row r="103">
          <cell r="O103">
            <v>3.8000000000000002E-5</v>
          </cell>
          <cell r="P103">
            <v>-1.107151021881192E-3</v>
          </cell>
          <cell r="Q103">
            <v>-2.817973742041735E-3</v>
          </cell>
          <cell r="R103">
            <v>7.1137327652026627E-4</v>
          </cell>
          <cell r="S103">
            <v>2.3247717666827761E-3</v>
          </cell>
          <cell r="T103">
            <v>6.9321573583585039E-3</v>
          </cell>
          <cell r="U103">
            <v>-9.1321475468553182E-4</v>
          </cell>
          <cell r="V103">
            <v>-6.0962559799637717E-3</v>
          </cell>
          <cell r="W103">
            <v>3.5325000810206841E-3</v>
          </cell>
          <cell r="X103">
            <v>-2.0103930094331979E-2</v>
          </cell>
          <cell r="Z103">
            <v>41729</v>
          </cell>
          <cell r="AA103">
            <v>3.8031480465439138E-4</v>
          </cell>
          <cell r="AB103">
            <v>3.7813273198261665E-3</v>
          </cell>
          <cell r="AC103">
            <v>-1.5261071724952169E-2</v>
          </cell>
          <cell r="AD103">
            <v>1.4237380253484533E-2</v>
          </cell>
          <cell r="AE103">
            <v>7.5159868648461581E-2</v>
          </cell>
          <cell r="AF103">
            <v>0.19318884265130465</v>
          </cell>
          <cell r="AG103">
            <v>0.16685836975692014</v>
          </cell>
          <cell r="AH103">
            <v>6.0839106311828317E-2</v>
          </cell>
          <cell r="AI103">
            <v>3.2509592826412526E-2</v>
          </cell>
          <cell r="AJ103">
            <v>0.33575028371524107</v>
          </cell>
        </row>
        <row r="104">
          <cell r="O104">
            <v>2.5333333333333334E-5</v>
          </cell>
          <cell r="P104">
            <v>1.3240910027578767E-3</v>
          </cell>
          <cell r="Q104">
            <v>6.2432860090160247E-3</v>
          </cell>
          <cell r="R104">
            <v>1.1659515749116389E-2</v>
          </cell>
          <cell r="S104">
            <v>6.9236929807185987E-3</v>
          </cell>
          <cell r="T104">
            <v>6.2007968638175814E-3</v>
          </cell>
          <cell r="U104">
            <v>8.28618709935669E-3</v>
          </cell>
          <cell r="V104">
            <v>-6.8337410025893774E-3</v>
          </cell>
          <cell r="W104">
            <v>2.9944155912981385E-2</v>
          </cell>
          <cell r="X104">
            <v>-6.6140347562259394E-2</v>
          </cell>
          <cell r="Z104">
            <v>41759</v>
          </cell>
          <cell r="AA104">
            <v>3.4647060645154326E-4</v>
          </cell>
          <cell r="AB104">
            <v>4.0931713064731312E-3</v>
          </cell>
          <cell r="AC104">
            <v>-1.9439708354462404E-2</v>
          </cell>
          <cell r="AD104">
            <v>8.9124693124833509E-3</v>
          </cell>
          <cell r="AE104">
            <v>6.2866440628664089E-2</v>
          </cell>
          <cell r="AF104">
            <v>0.1792597507464464</v>
          </cell>
          <cell r="AG104">
            <v>0.1433468370208788</v>
          </cell>
          <cell r="AH104">
            <v>4.4608580826221544E-2</v>
          </cell>
          <cell r="AI104">
            <v>1.1337421773816025E-4</v>
          </cell>
          <cell r="AJ104">
            <v>0.24726051226032331</v>
          </cell>
        </row>
        <row r="105">
          <cell r="O105">
            <v>2.1083333333333332E-5</v>
          </cell>
          <cell r="P105">
            <v>1.8372645950004429E-3</v>
          </cell>
          <cell r="Q105">
            <v>1.0908523280633409E-2</v>
          </cell>
          <cell r="R105">
            <v>1.529301775138503E-2</v>
          </cell>
          <cell r="S105">
            <v>1.002619868236887E-2</v>
          </cell>
          <cell r="T105">
            <v>2.1030282120013677E-2</v>
          </cell>
          <cell r="U105">
            <v>1.6258428430919514E-2</v>
          </cell>
          <cell r="V105">
            <v>1.1947396226139828E-2</v>
          </cell>
          <cell r="W105">
            <v>2.9140302779363303E-2</v>
          </cell>
          <cell r="X105">
            <v>-2.8122567931710973E-3</v>
          </cell>
          <cell r="Z105">
            <v>41789</v>
          </cell>
          <cell r="AA105">
            <v>3.2954872168922122E-4</v>
          </cell>
          <cell r="AB105">
            <v>7.3818056937555721E-3</v>
          </cell>
          <cell r="AC105">
            <v>1.1639737294294683E-2</v>
          </cell>
          <cell r="AD105">
            <v>4.8253679678207373E-2</v>
          </cell>
          <cell r="AE105">
            <v>7.9252225989319802E-2</v>
          </cell>
          <cell r="AF105">
            <v>0.17956878472349991</v>
          </cell>
          <cell r="AG105">
            <v>0.16525921748996208</v>
          </cell>
          <cell r="AH105">
            <v>5.0619767048483366E-2</v>
          </cell>
          <cell r="AI105">
            <v>9.3792056847399552E-2</v>
          </cell>
          <cell r="AJ105">
            <v>0.19557982592995216</v>
          </cell>
        </row>
        <row r="106">
          <cell r="O106">
            <v>2.5333333333333334E-5</v>
          </cell>
          <cell r="P106">
            <v>-4.440508980227964E-4</v>
          </cell>
          <cell r="Q106">
            <v>-1.5609181018162444E-3</v>
          </cell>
          <cell r="R106">
            <v>1.6740210267067734E-3</v>
          </cell>
          <cell r="S106">
            <v>8.4928506511467994E-3</v>
          </cell>
          <cell r="T106">
            <v>1.9058313448431896E-2</v>
          </cell>
          <cell r="U106">
            <v>1.6464744225095806E-2</v>
          </cell>
          <cell r="V106">
            <v>1.0105954770549097E-2</v>
          </cell>
          <cell r="W106">
            <v>1.0665166731117059E-2</v>
          </cell>
          <cell r="X106">
            <v>5.8146016781268406E-2</v>
          </cell>
          <cell r="Z106">
            <v>41820</v>
          </cell>
          <cell r="AA106">
            <v>3.3380003263894231E-4</v>
          </cell>
          <cell r="AB106">
            <v>7.6487564161875632E-3</v>
          </cell>
          <cell r="AC106">
            <v>2.2898552917653525E-2</v>
          </cell>
          <cell r="AD106">
            <v>7.9808190455038952E-2</v>
          </cell>
          <cell r="AE106">
            <v>0.11788391505124718</v>
          </cell>
          <cell r="AF106">
            <v>0.22035386109520205</v>
          </cell>
          <cell r="AG106">
            <v>0.21615569739458018</v>
          </cell>
          <cell r="AH106">
            <v>7.5364763235293619E-2</v>
          </cell>
          <cell r="AI106">
            <v>0.13018603371233173</v>
          </cell>
          <cell r="AJ106">
            <v>0.25324226545648143</v>
          </cell>
        </row>
        <row r="107">
          <cell r="O107">
            <v>1.6916666666666667E-5</v>
          </cell>
          <cell r="P107">
            <v>-7.8093230899733967E-4</v>
          </cell>
          <cell r="Q107">
            <v>-1.4961171557231756E-3</v>
          </cell>
          <cell r="R107">
            <v>-1.1757998723708196E-3</v>
          </cell>
          <cell r="S107">
            <v>-1.3184740293361252E-2</v>
          </cell>
          <cell r="T107">
            <v>-1.5079863077291922E-2</v>
          </cell>
          <cell r="U107">
            <v>-1.6674123274942443E-2</v>
          </cell>
          <cell r="V107">
            <v>-4.2614192498401371E-3</v>
          </cell>
          <cell r="W107">
            <v>3.1769171844953092E-4</v>
          </cell>
          <cell r="X107">
            <v>-7.0071541545150828E-2</v>
          </cell>
          <cell r="Z107">
            <v>41851</v>
          </cell>
          <cell r="AA107">
            <v>3.2538076977695063E-4</v>
          </cell>
          <cell r="AB107">
            <v>5.2638107949034563E-3</v>
          </cell>
          <cell r="AC107">
            <v>2.335873769781216E-2</v>
          </cell>
          <cell r="AD107">
            <v>7.0629946275723388E-2</v>
          </cell>
          <cell r="AE107">
            <v>8.2785178633943302E-2</v>
          </cell>
          <cell r="AF107">
            <v>0.14530203532001007</v>
          </cell>
          <cell r="AG107">
            <v>0.13690472243038365</v>
          </cell>
          <cell r="AH107">
            <v>6.1032240750647837E-2</v>
          </cell>
          <cell r="AI107">
            <v>0.12125229168616158</v>
          </cell>
          <cell r="AJ107">
            <v>8.7283938087491242E-2</v>
          </cell>
        </row>
        <row r="108">
          <cell r="O108">
            <v>1.6916666666666667E-5</v>
          </cell>
          <cell r="P108">
            <v>1.667232621397341E-3</v>
          </cell>
          <cell r="Q108">
            <v>1.2175428530638577E-2</v>
          </cell>
          <cell r="R108">
            <v>1.4268707223337396E-2</v>
          </cell>
          <cell r="S108">
            <v>1.5227058730104659E-2</v>
          </cell>
          <cell r="T108">
            <v>3.7655321727690261E-2</v>
          </cell>
          <cell r="U108">
            <v>2.0030915507335267E-2</v>
          </cell>
          <cell r="V108">
            <v>8.0954935211421386E-3</v>
          </cell>
          <cell r="W108">
            <v>3.2749718340985945E-2</v>
          </cell>
          <cell r="X108">
            <v>4.2050966136969237E-2</v>
          </cell>
          <cell r="Z108">
            <v>41880</v>
          </cell>
          <cell r="AA108">
            <v>3.1271035645330514E-4</v>
          </cell>
          <cell r="AB108">
            <v>7.8575617694356392E-3</v>
          </cell>
          <cell r="AC108">
            <v>4.1431721083505346E-2</v>
          </cell>
          <cell r="AD108">
            <v>9.3214753478574996E-2</v>
          </cell>
          <cell r="AE108">
            <v>0.10613097500455759</v>
          </cell>
          <cell r="AF108">
            <v>0.22682596740907668</v>
          </cell>
          <cell r="AG108">
            <v>0.18737183752733033</v>
          </cell>
          <cell r="AH108">
            <v>7.7122058584259801E-2</v>
          </cell>
          <cell r="AI108">
            <v>0.24009501363965402</v>
          </cell>
          <cell r="AJ108">
            <v>0.16425379240888782</v>
          </cell>
        </row>
        <row r="109">
          <cell r="O109">
            <v>1.6916666666666667E-5</v>
          </cell>
          <cell r="P109">
            <v>-5.5918784954711587E-4</v>
          </cell>
          <cell r="Q109">
            <v>-6.3298466173178358E-3</v>
          </cell>
          <cell r="R109">
            <v>-1.2431832190915149E-2</v>
          </cell>
          <cell r="S109">
            <v>-2.1004846842568314E-2</v>
          </cell>
          <cell r="T109">
            <v>-1.5513859147336717E-2</v>
          </cell>
          <cell r="U109">
            <v>-2.8752952209940008E-2</v>
          </cell>
          <cell r="V109">
            <v>-1.7792870055177712E-4</v>
          </cell>
          <cell r="W109">
            <v>-5.6053123830901552E-2</v>
          </cell>
          <cell r="X109">
            <v>-5.6895766713681462E-2</v>
          </cell>
          <cell r="Z109">
            <v>41912</v>
          </cell>
          <cell r="AA109">
            <v>3.1271035645330514E-4</v>
          </cell>
          <cell r="AB109">
            <v>5.0221365870029011E-3</v>
          </cell>
          <cell r="AC109">
            <v>2.6996473817683775E-2</v>
          </cell>
          <cell r="AD109">
            <v>7.0804400666930167E-2</v>
          </cell>
          <cell r="AE109">
            <v>7.2264310279413158E-2</v>
          </cell>
          <cell r="AF109">
            <v>0.1729000029734471</v>
          </cell>
          <cell r="AG109">
            <v>0.10024163195501634</v>
          </cell>
          <cell r="AH109">
            <v>6.4066429812865477E-2</v>
          </cell>
          <cell r="AI109">
            <v>0.13171808617522096</v>
          </cell>
          <cell r="AJ109">
            <v>3.3555938504434168E-2</v>
          </cell>
        </row>
        <row r="110">
          <cell r="O110">
            <v>1.2666666666666667E-5</v>
          </cell>
          <cell r="P110">
            <v>2.7450503856620845E-3</v>
          </cell>
          <cell r="Q110">
            <v>1.0856203181201174E-2</v>
          </cell>
          <cell r="R110">
            <v>9.3323015351907124E-3</v>
          </cell>
          <cell r="S110">
            <v>1.1348396043898257E-2</v>
          </cell>
          <cell r="T110">
            <v>2.3201456175308888E-2</v>
          </cell>
          <cell r="U110">
            <v>5.6994483075345492E-3</v>
          </cell>
          <cell r="V110">
            <v>-6.0266638932718886E-3</v>
          </cell>
          <cell r="W110">
            <v>8.9890891220171465E-2</v>
          </cell>
          <cell r="X110">
            <v>3.0866053579467367E-2</v>
          </cell>
          <cell r="Z110">
            <v>41943</v>
          </cell>
          <cell r="AA110">
            <v>3.2112961931729522E-4</v>
          </cell>
          <cell r="AB110">
            <v>6.7478313990079197E-3</v>
          </cell>
          <cell r="AC110">
            <v>3.248727631829107E-2</v>
          </cell>
          <cell r="AD110">
            <v>6.4858392345112925E-2</v>
          </cell>
          <cell r="AE110">
            <v>5.8478327091583626E-2</v>
          </cell>
          <cell r="AF110">
            <v>0.14887790770491982</v>
          </cell>
          <cell r="AG110">
            <v>6.5651398125849969E-2</v>
          </cell>
          <cell r="AH110">
            <v>4.5032549376745168E-2</v>
          </cell>
          <cell r="AI110">
            <v>0.18220235152505238</v>
          </cell>
          <cell r="AJ110">
            <v>5.5757704596520297E-2</v>
          </cell>
        </row>
        <row r="111">
          <cell r="O111">
            <v>4.25E-6</v>
          </cell>
          <cell r="P111">
            <v>1.443744948854242E-3</v>
          </cell>
          <cell r="Q111">
            <v>9.2188180995642632E-3</v>
          </cell>
          <cell r="R111">
            <v>6.3511658001995652E-3</v>
          </cell>
          <cell r="S111">
            <v>-7.0988620941643266E-3</v>
          </cell>
          <cell r="T111">
            <v>2.4533584400783015E-2</v>
          </cell>
          <cell r="U111">
            <v>1.838896076904617E-2</v>
          </cell>
          <cell r="V111">
            <v>1.3678156225395588E-2</v>
          </cell>
          <cell r="W111">
            <v>2.3367442672310501E-2</v>
          </cell>
          <cell r="X111">
            <v>-1.2540837045626696E-2</v>
          </cell>
          <cell r="Z111">
            <v>41971</v>
          </cell>
          <cell r="AA111">
            <v>2.957889003629699E-4</v>
          </cell>
          <cell r="AB111">
            <v>7.262421397573382E-3</v>
          </cell>
          <cell r="AC111">
            <v>4.6477095246794997E-2</v>
          </cell>
          <cell r="AD111">
            <v>7.4714162307096599E-2</v>
          </cell>
          <cell r="AE111">
            <v>4.6109347316852345E-2</v>
          </cell>
          <cell r="AF111">
            <v>0.14494880413775535</v>
          </cell>
          <cell r="AG111">
            <v>6.8213360189631755E-2</v>
          </cell>
          <cell r="AH111">
            <v>4.7162576632624242E-2</v>
          </cell>
          <cell r="AI111">
            <v>0.27170273433440162</v>
          </cell>
          <cell r="AJ111">
            <v>-1.5195479978598936E-2</v>
          </cell>
        </row>
        <row r="112">
          <cell r="O112">
            <v>8.4166666666666668E-6</v>
          </cell>
          <cell r="P112">
            <v>-2.4358542422430185E-3</v>
          </cell>
          <cell r="Q112">
            <v>2.5858855279670134E-3</v>
          </cell>
          <cell r="R112">
            <v>-1.4009665553383899E-3</v>
          </cell>
          <cell r="S112">
            <v>-1.4708431489001361E-2</v>
          </cell>
          <cell r="T112">
            <v>-4.1885120625277938E-3</v>
          </cell>
          <cell r="U112">
            <v>-1.7148605921241677E-2</v>
          </cell>
          <cell r="V112">
            <v>2.6518146280041233E-3</v>
          </cell>
          <cell r="W112">
            <v>1.2562539086929281E-2</v>
          </cell>
          <cell r="X112">
            <v>4.4136589459581099E-2</v>
          </cell>
          <cell r="Z112">
            <v>42004</v>
          </cell>
          <cell r="AA112">
            <v>2.5769607371883829E-4</v>
          </cell>
          <cell r="AB112">
            <v>6.1799888833964367E-3</v>
          </cell>
          <cell r="AC112">
            <v>6.0201796989840961E-2</v>
          </cell>
          <cell r="AD112">
            <v>7.5139400969385317E-2</v>
          </cell>
          <cell r="AE112">
            <v>2.5094384806189307E-2</v>
          </cell>
          <cell r="AF112">
            <v>0.11390638187366098</v>
          </cell>
          <cell r="AG112">
            <v>2.9258249200816433E-2</v>
          </cell>
          <cell r="AH112">
            <v>3.4192074075508172E-2</v>
          </cell>
          <cell r="AI112">
            <v>0.28027564442982844</v>
          </cell>
          <cell r="AJ112">
            <v>-2.0518393292836556E-3</v>
          </cell>
        </row>
        <row r="113">
          <cell r="O113">
            <v>2.9583333333333332E-5</v>
          </cell>
          <cell r="P113">
            <v>5.0476709937821163E-3</v>
          </cell>
          <cell r="Q113">
            <v>2.8827648147808693E-2</v>
          </cell>
          <cell r="R113">
            <v>2.7403604776210955E-2</v>
          </cell>
          <cell r="S113">
            <v>6.8669948749895404E-3</v>
          </cell>
          <cell r="T113">
            <v>-3.1040847054252363E-2</v>
          </cell>
          <cell r="U113">
            <v>-1.8793100422888731E-2</v>
          </cell>
          <cell r="V113">
            <v>1.7400226083439385E-3</v>
          </cell>
          <cell r="W113">
            <v>6.1657906354378955E-2</v>
          </cell>
          <cell r="X113">
            <v>-3.4130387039484344E-2</v>
          </cell>
          <cell r="Z113">
            <v>42034</v>
          </cell>
          <cell r="AA113">
            <v>2.3235760358941704E-4</v>
          </cell>
          <cell r="AB113">
            <v>9.6621364534585918E-3</v>
          </cell>
          <cell r="AC113">
            <v>7.3620277307371085E-2</v>
          </cell>
          <cell r="AD113">
            <v>8.5240054099220641E-2</v>
          </cell>
          <cell r="AE113">
            <v>2.4545998802633973E-2</v>
          </cell>
          <cell r="AF113">
            <v>0.11915246916004207</v>
          </cell>
          <cell r="AG113">
            <v>4.9472617394241913E-2</v>
          </cell>
          <cell r="AH113">
            <v>4.0857887615714406E-2</v>
          </cell>
          <cell r="AI113">
            <v>0.31564037845012249</v>
          </cell>
          <cell r="AJ113">
            <v>-5.1299532526314029E-2</v>
          </cell>
        </row>
        <row r="114">
          <cell r="O114">
            <v>0</v>
          </cell>
          <cell r="P114">
            <v>-2.1577567665429509E-3</v>
          </cell>
          <cell r="Q114">
            <v>-1.7481816683666107E-2</v>
          </cell>
          <cell r="R114">
            <v>-8.3607142066883799E-3</v>
          </cell>
          <cell r="S114">
            <v>2.3854808771969882E-2</v>
          </cell>
          <cell r="T114">
            <v>5.4892505726845675E-2</v>
          </cell>
          <cell r="U114">
            <v>5.6821297852808206E-2</v>
          </cell>
          <cell r="V114">
            <v>1.8316968696278524E-2</v>
          </cell>
          <cell r="W114">
            <v>-3.0393079151976643E-2</v>
          </cell>
          <cell r="X114">
            <v>4.9937771905749218E-2</v>
          </cell>
          <cell r="Z114">
            <v>42062</v>
          </cell>
          <cell r="AA114">
            <v>2.1543729244188903E-4</v>
          </cell>
          <cell r="AB114">
            <v>6.5737091924191748E-3</v>
          </cell>
          <cell r="AC114">
            <v>5.1570009077716694E-2</v>
          </cell>
          <cell r="AD114">
            <v>6.4485766093058894E-2</v>
          </cell>
          <cell r="AE114">
            <v>2.8423787479032514E-2</v>
          </cell>
          <cell r="AF114">
            <v>0.13178628088951005</v>
          </cell>
          <cell r="AG114">
            <v>5.8171183001073823E-2</v>
          </cell>
          <cell r="AH114">
            <v>4.3575446268983464E-2</v>
          </cell>
          <cell r="AI114">
            <v>0.21877734446737152</v>
          </cell>
          <cell r="AJ114">
            <v>-4.8862915365776916E-2</v>
          </cell>
        </row>
        <row r="115">
          <cell r="O115">
            <v>8.4166666666666668E-6</v>
          </cell>
          <cell r="P115">
            <v>2.3251483239266069E-3</v>
          </cell>
          <cell r="Q115">
            <v>6.5880564035545319E-3</v>
          </cell>
          <cell r="R115">
            <v>3.7165680952275792E-3</v>
          </cell>
          <cell r="S115">
            <v>-5.3015890778871366E-3</v>
          </cell>
          <cell r="T115">
            <v>-1.7396056070325572E-2</v>
          </cell>
          <cell r="U115">
            <v>-1.807813363717381E-2</v>
          </cell>
          <cell r="V115">
            <v>6.0464427522566311E-3</v>
          </cell>
          <cell r="W115">
            <v>1.0117456310984263E-2</v>
          </cell>
          <cell r="X115">
            <v>1.2128288720708813E-2</v>
          </cell>
          <cell r="Z115">
            <v>42094</v>
          </cell>
          <cell r="AA115">
            <v>1.8584871012183868E-4</v>
          </cell>
          <cell r="AB115">
            <v>1.0032400769901972E-2</v>
          </cell>
          <cell r="AC115">
            <v>6.148905990809217E-2</v>
          </cell>
          <cell r="AD115">
            <v>6.7682479145671826E-2</v>
          </cell>
          <cell r="AE115">
            <v>2.0598847773481532E-2</v>
          </cell>
          <cell r="AF115">
            <v>0.10444150100943195</v>
          </cell>
          <cell r="AG115">
            <v>3.9991158214197631E-2</v>
          </cell>
          <cell r="AH115">
            <v>5.6324993017980773E-2</v>
          </cell>
          <cell r="AI115">
            <v>0.22677468931344302</v>
          </cell>
          <cell r="AJ115">
            <v>-1.7576680451107274E-2</v>
          </cell>
        </row>
        <row r="116">
          <cell r="O116">
            <v>1.6916666666666667E-5</v>
          </cell>
          <cell r="P116">
            <v>4.5665826855323388E-4</v>
          </cell>
          <cell r="Q116">
            <v>-6.1820809081205574E-3</v>
          </cell>
          <cell r="R116">
            <v>-5.341883159823646E-3</v>
          </cell>
          <cell r="S116">
            <v>1.202098187289935E-2</v>
          </cell>
          <cell r="T116">
            <v>8.5207627098153882E-3</v>
          </cell>
          <cell r="U116">
            <v>2.1593396177641555E-2</v>
          </cell>
          <cell r="V116">
            <v>-1.9388279982579526E-4</v>
          </cell>
          <cell r="W116">
            <v>-4.9485930589829974E-2</v>
          </cell>
          <cell r="X116">
            <v>-2.7343051697233389E-2</v>
          </cell>
          <cell r="Z116">
            <v>42124</v>
          </cell>
          <cell r="AA116">
            <v>1.7743069248465915E-4</v>
          </cell>
          <cell r="AB116">
            <v>9.1574241515348653E-3</v>
          </cell>
          <cell r="AC116">
            <v>4.8381503086325495E-2</v>
          </cell>
          <cell r="AD116">
            <v>4.9739588821943848E-2</v>
          </cell>
          <cell r="AE116">
            <v>2.5765363574423494E-2</v>
          </cell>
          <cell r="AF116">
            <v>0.10698797738793453</v>
          </cell>
          <cell r="AG116">
            <v>5.3716804721106515E-2</v>
          </cell>
          <cell r="AH116">
            <v>6.3387101810072455E-2</v>
          </cell>
          <cell r="AI116">
            <v>0.13216488048817765</v>
          </cell>
          <cell r="AJ116">
            <v>2.3238197987792253E-2</v>
          </cell>
        </row>
        <row r="117">
          <cell r="O117">
            <v>0</v>
          </cell>
          <cell r="P117">
            <v>7.428156879896175E-4</v>
          </cell>
          <cell r="Q117">
            <v>-2.3382848175917958E-3</v>
          </cell>
          <cell r="R117">
            <v>-5.0527397229136461E-3</v>
          </cell>
          <cell r="S117">
            <v>2.9431464152809284E-3</v>
          </cell>
          <cell r="T117">
            <v>1.0491438545008114E-2</v>
          </cell>
          <cell r="U117">
            <v>5.1169590643262985E-4</v>
          </cell>
          <cell r="V117">
            <v>9.3528241236220389E-3</v>
          </cell>
          <cell r="W117">
            <v>-2.2127570128632756E-3</v>
          </cell>
          <cell r="X117">
            <v>3.1398585286663616E-2</v>
          </cell>
          <cell r="Z117">
            <v>42153</v>
          </cell>
          <cell r="AA117">
            <v>1.5634406289710689E-4</v>
          </cell>
          <cell r="AB117">
            <v>8.0549783962249322E-3</v>
          </cell>
          <cell r="AC117">
            <v>3.4643654146201408E-2</v>
          </cell>
          <cell r="AD117">
            <v>2.8703546308184391E-2</v>
          </cell>
          <cell r="AE117">
            <v>1.857193661832679E-2</v>
          </cell>
          <cell r="AF117">
            <v>9.5561897929370865E-2</v>
          </cell>
          <cell r="AG117">
            <v>3.7389661726465739E-2</v>
          </cell>
          <cell r="AH117">
            <v>6.0660641404301163E-2</v>
          </cell>
          <cell r="AI117">
            <v>9.7673146856971815E-2</v>
          </cell>
          <cell r="AJ117">
            <v>5.8342761436236401E-2</v>
          </cell>
        </row>
        <row r="118">
          <cell r="O118">
            <v>0</v>
          </cell>
          <cell r="P118">
            <v>2.5320231558723094E-4</v>
          </cell>
          <cell r="Q118">
            <v>-9.962299900720839E-3</v>
          </cell>
          <cell r="R118">
            <v>-1.639343013945227E-2</v>
          </cell>
          <cell r="S118">
            <v>-1.5232294570464266E-2</v>
          </cell>
          <cell r="T118">
            <v>-2.10117728564716E-2</v>
          </cell>
          <cell r="U118">
            <v>-2.4560082279085793E-2</v>
          </cell>
          <cell r="V118">
            <v>-1.098083826675933E-2</v>
          </cell>
          <cell r="W118">
            <v>-4.1164857282350753E-2</v>
          </cell>
          <cell r="X118">
            <v>1.4612741634211446E-2</v>
          </cell>
          <cell r="Z118">
            <v>42185</v>
          </cell>
          <cell r="AA118">
            <v>1.3100741070948274E-4</v>
          </cell>
          <cell r="AB118">
            <v>8.7581602179263029E-3</v>
          </cell>
          <cell r="AC118">
            <v>2.593762838870517E-2</v>
          </cell>
          <cell r="AD118">
            <v>1.0148556663622132E-2</v>
          </cell>
          <cell r="AE118">
            <v>-5.3903226077300914E-3</v>
          </cell>
          <cell r="AF118">
            <v>5.2483637124214999E-2</v>
          </cell>
          <cell r="AG118">
            <v>-4.4797008179328079E-3</v>
          </cell>
          <cell r="AH118">
            <v>3.8518477681297014E-2</v>
          </cell>
          <cell r="AI118">
            <v>4.138108551627262E-2</v>
          </cell>
          <cell r="AJ118">
            <v>1.4801392000619362E-2</v>
          </cell>
        </row>
        <row r="119">
          <cell r="O119">
            <v>4.25E-6</v>
          </cell>
          <cell r="P119">
            <v>5.2014702822655856E-4</v>
          </cell>
          <cell r="Q119">
            <v>9.3933699796231451E-3</v>
          </cell>
          <cell r="R119">
            <v>5.3891014886802147E-3</v>
          </cell>
          <cell r="S119">
            <v>-6.1342615390241884E-3</v>
          </cell>
          <cell r="T119">
            <v>1.9742039930008559E-2</v>
          </cell>
          <cell r="U119">
            <v>1.7279227476218795E-2</v>
          </cell>
          <cell r="V119">
            <v>4.8657597218020321E-3</v>
          </cell>
          <cell r="W119">
            <v>4.9871515288270274E-2</v>
          </cell>
          <cell r="X119">
            <v>-8.6567911548922627E-3</v>
          </cell>
          <cell r="Z119">
            <v>42216</v>
          </cell>
          <cell r="AA119">
            <v>1.1833929891791328E-4</v>
          </cell>
          <cell r="AB119">
            <v>1.0071660371149704E-2</v>
          </cell>
          <cell r="AC119">
            <v>3.7126302562092706E-2</v>
          </cell>
          <cell r="AD119">
            <v>1.6787888824033592E-2</v>
          </cell>
          <cell r="AE119">
            <v>1.7158447628446982E-3</v>
          </cell>
          <cell r="AF119">
            <v>8.9694251218489063E-2</v>
          </cell>
          <cell r="AG119">
            <v>2.9894712281622882E-2</v>
          </cell>
          <cell r="AH119">
            <v>4.8037787462397841E-2</v>
          </cell>
          <cell r="AI119">
            <v>9.2969111008424532E-2</v>
          </cell>
          <cell r="AJ119">
            <v>8.1821358556929846E-2</v>
          </cell>
        </row>
        <row r="120">
          <cell r="O120">
            <v>5.0833333333333333E-5</v>
          </cell>
          <cell r="P120">
            <v>-4.245659030255311E-4</v>
          </cell>
          <cell r="Q120">
            <v>5.7009692297005365E-4</v>
          </cell>
          <cell r="R120">
            <v>-6.7093163473843642E-3</v>
          </cell>
          <cell r="S120">
            <v>-1.7698137887491971E-2</v>
          </cell>
          <cell r="T120">
            <v>-6.258080462392579E-2</v>
          </cell>
          <cell r="U120">
            <v>-6.806184866334386E-2</v>
          </cell>
          <cell r="V120">
            <v>-1.6784729683966271E-2</v>
          </cell>
          <cell r="W120">
            <v>-5.8197253878061184E-2</v>
          </cell>
          <cell r="X120">
            <v>-6.1800803717803166E-2</v>
          </cell>
          <cell r="Z120">
            <v>42247</v>
          </cell>
          <cell r="AA120">
            <v>1.5225940544394412E-4</v>
          </cell>
          <cell r="AB120">
            <v>7.9623107389403813E-3</v>
          </cell>
          <cell r="AC120">
            <v>2.5234890934227483E-2</v>
          </cell>
          <cell r="AD120">
            <v>-4.2422387410455675E-3</v>
          </cell>
          <cell r="AE120">
            <v>-3.0771164778679694E-2</v>
          </cell>
          <cell r="AF120">
            <v>-1.556876662823159E-2</v>
          </cell>
          <cell r="AG120">
            <v>-5.9049917366714832E-2</v>
          </cell>
          <cell r="AH120">
            <v>2.2171771547204733E-2</v>
          </cell>
          <cell r="AI120">
            <v>-3.2809577254017119E-3</v>
          </cell>
          <cell r="AJ120">
            <v>-2.5993965648685502E-2</v>
          </cell>
        </row>
        <row r="121">
          <cell r="O121">
            <v>0</v>
          </cell>
          <cell r="P121">
            <v>3.025233393722182E-3</v>
          </cell>
          <cell r="Q121">
            <v>8.9755328959022496E-3</v>
          </cell>
          <cell r="R121">
            <v>5.2409861317948003E-3</v>
          </cell>
          <cell r="S121">
            <v>-2.5637699956766014E-2</v>
          </cell>
          <cell r="T121">
            <v>-2.6442819620927094E-2</v>
          </cell>
          <cell r="U121">
            <v>-3.8597813337546971E-2</v>
          </cell>
          <cell r="V121">
            <v>-1.7603409999926489E-2</v>
          </cell>
          <cell r="W121">
            <v>2.1329990278617261E-2</v>
          </cell>
          <cell r="X121">
            <v>-5.7876888444267416E-2</v>
          </cell>
          <cell r="Z121">
            <v>42277</v>
          </cell>
          <cell r="AA121">
            <v>1.3534044926810651E-4</v>
          </cell>
          <cell r="AB121">
            <v>1.157729371252314E-2</v>
          </cell>
          <cell r="AC121">
            <v>4.1026458228993645E-2</v>
          </cell>
          <cell r="AD121">
            <v>1.3577134727824403E-2</v>
          </cell>
          <cell r="AE121">
            <v>-3.5357801201897243E-2</v>
          </cell>
          <cell r="AF121">
            <v>-2.6497117563847095E-2</v>
          </cell>
          <cell r="AG121">
            <v>-6.8587679064536999E-2</v>
          </cell>
          <cell r="AH121">
            <v>4.3567666566899366E-3</v>
          </cell>
          <cell r="AI121">
            <v>7.8428326272110382E-2</v>
          </cell>
          <cell r="AJ121">
            <v>-2.7007234863578256E-2</v>
          </cell>
        </row>
        <row r="122">
          <cell r="O122">
            <v>-1.6916666666666667E-5</v>
          </cell>
          <cell r="P122">
            <v>-9.7742671460165909E-4</v>
          </cell>
          <cell r="Q122">
            <v>-3.5650933433152288E-3</v>
          </cell>
          <cell r="R122">
            <v>5.3601883874283551E-3</v>
          </cell>
          <cell r="S122">
            <v>2.7181967431335163E-2</v>
          </cell>
          <cell r="T122">
            <v>8.2983078389400333E-2</v>
          </cell>
          <cell r="U122">
            <v>7.8309901891372435E-2</v>
          </cell>
          <cell r="V122">
            <v>6.5510692940444759E-3</v>
          </cell>
          <cell r="W122">
            <v>6.4710858790955506E-2</v>
          </cell>
          <cell r="X122">
            <v>3.9538167190084961E-2</v>
          </cell>
          <cell r="Z122">
            <v>42307</v>
          </cell>
          <cell r="AA122">
            <v>1.0575348688157682E-4</v>
          </cell>
          <cell r="AB122">
            <v>7.8220287929473553E-3</v>
          </cell>
          <cell r="AC122">
            <v>2.6174740252944639E-2</v>
          </cell>
          <cell r="AD122">
            <v>9.5883165189942776E-3</v>
          </cell>
          <cell r="AE122">
            <v>-2.025545746184676E-2</v>
          </cell>
          <cell r="AF122">
            <v>3.0380813161219766E-2</v>
          </cell>
          <cell r="AG122">
            <v>-1.3406787698539979E-3</v>
          </cell>
          <cell r="AH122">
            <v>1.7065891717693349E-2</v>
          </cell>
          <cell r="AI122">
            <v>5.3513116459029231E-2</v>
          </cell>
          <cell r="AJ122">
            <v>-1.8821977649730148E-2</v>
          </cell>
        </row>
        <row r="123">
          <cell r="O123">
            <v>5.933333333333333E-5</v>
          </cell>
          <cell r="P123">
            <v>-2.4550406621516307E-3</v>
          </cell>
          <cell r="Q123">
            <v>-4.225256655618348E-3</v>
          </cell>
          <cell r="R123">
            <v>-2.2383480101869635E-3</v>
          </cell>
          <cell r="S123">
            <v>-2.2307080899886089E-2</v>
          </cell>
          <cell r="T123">
            <v>5.0496306555847248E-4</v>
          </cell>
          <cell r="U123">
            <v>-6.6830812521982974E-3</v>
          </cell>
          <cell r="V123">
            <v>4.5484707354561671E-3</v>
          </cell>
          <cell r="W123">
            <v>-1.7051298867158948E-3</v>
          </cell>
          <cell r="X123">
            <v>4.2856835927226333E-2</v>
          </cell>
          <cell r="Z123">
            <v>42338</v>
          </cell>
          <cell r="AA123">
            <v>1.6084241134195487E-4</v>
          </cell>
          <cell r="AB123">
            <v>3.8984114713238593E-3</v>
          </cell>
          <cell r="AC123">
            <v>1.2504791107704527E-2</v>
          </cell>
          <cell r="AD123">
            <v>9.7117264094337408E-4</v>
          </cell>
          <cell r="AE123">
            <v>-3.5262157331340638E-2</v>
          </cell>
          <cell r="AF123">
            <v>6.2150554276534375E-3</v>
          </cell>
          <cell r="AG123">
            <v>-2.5926990514515635E-2</v>
          </cell>
          <cell r="AH123">
            <v>7.9056946108491122E-3</v>
          </cell>
          <cell r="AI123">
            <v>2.7701972823924059E-2</v>
          </cell>
          <cell r="AJ123">
            <v>3.6223315613523432E-2</v>
          </cell>
        </row>
        <row r="124">
          <cell r="O124">
            <v>1.3983333333333334E-4</v>
          </cell>
          <cell r="P124">
            <v>-9.365642487412229E-4</v>
          </cell>
          <cell r="Q124">
            <v>-1.5686691398054675E-3</v>
          </cell>
          <cell r="R124">
            <v>-8.6713379184790718E-3</v>
          </cell>
          <cell r="S124">
            <v>-2.5785129809306584E-2</v>
          </cell>
          <cell r="T124">
            <v>-1.7530198374358763E-2</v>
          </cell>
          <cell r="U124">
            <v>-1.8655571293673345E-2</v>
          </cell>
          <cell r="V124">
            <v>-6.8836839044544851E-3</v>
          </cell>
          <cell r="W124">
            <v>1.3104902842127064E-2</v>
          </cell>
          <cell r="X124">
            <v>-4.867506855543402E-2</v>
          </cell>
          <cell r="Z124">
            <v>42369</v>
          </cell>
          <cell r="AA124">
            <v>2.9227910912266175E-4</v>
          </cell>
          <cell r="AB124">
            <v>5.407221555580044E-3</v>
          </cell>
          <cell r="AC124">
            <v>8.309134090427106E-3</v>
          </cell>
          <cell r="AD124">
            <v>-6.3164692505119913E-3</v>
          </cell>
          <cell r="AE124">
            <v>-4.6107789612120365E-2</v>
          </cell>
          <cell r="AF124">
            <v>-7.26601583369757E-3</v>
          </cell>
          <cell r="AG124">
            <v>-2.7420496353097734E-2</v>
          </cell>
          <cell r="AH124">
            <v>-1.6797697862648286E-3</v>
          </cell>
          <cell r="AI124">
            <v>2.8252445787013913E-2</v>
          </cell>
          <cell r="AJ124">
            <v>-5.5884943944437215E-2</v>
          </cell>
        </row>
        <row r="125">
          <cell r="O125">
            <v>1.3558333333333334E-4</v>
          </cell>
          <cell r="P125">
            <v>6.0925064514252281E-3</v>
          </cell>
          <cell r="Q125">
            <v>2.1998469118457598E-2</v>
          </cell>
          <cell r="R125">
            <v>4.3871656211247334E-3</v>
          </cell>
          <cell r="S125">
            <v>-1.5818881068137336E-2</v>
          </cell>
          <cell r="T125">
            <v>-5.0735344481736222E-2</v>
          </cell>
          <cell r="U125">
            <v>-6.0506738674156013E-2</v>
          </cell>
          <cell r="V125">
            <v>-1.9818491900314816E-2</v>
          </cell>
          <cell r="W125">
            <v>-3.5196044369786406E-2</v>
          </cell>
          <cell r="X125">
            <v>-0.10899116125409236</v>
          </cell>
          <cell r="Z125">
            <v>42398</v>
          </cell>
          <cell r="AA125">
            <v>3.9830695405118632E-4</v>
          </cell>
          <cell r="AB125">
            <v>6.4524307976576711E-3</v>
          </cell>
          <cell r="AC125">
            <v>1.6161533894996083E-3</v>
          </cell>
          <cell r="AD125">
            <v>-2.8577493465906545E-2</v>
          </cell>
          <cell r="AE125">
            <v>-6.7600082495016145E-2</v>
          </cell>
          <cell r="AF125">
            <v>-2.7443746585195772E-2</v>
          </cell>
          <cell r="AG125">
            <v>-6.8767361732059995E-2</v>
          </cell>
          <cell r="AH125">
            <v>-2.3164686712425553E-2</v>
          </cell>
          <cell r="AI125">
            <v>-6.5553959383782279E-2</v>
          </cell>
          <cell r="AJ125">
            <v>-0.12905960757978319</v>
          </cell>
        </row>
        <row r="126">
          <cell r="O126">
            <v>2.5858333333333338E-4</v>
          </cell>
          <cell r="P126">
            <v>1.1526283550027383E-3</v>
          </cell>
          <cell r="Q126">
            <v>9.8407227159911237E-3</v>
          </cell>
          <cell r="R126">
            <v>7.3469230175275957E-3</v>
          </cell>
          <cell r="S126">
            <v>4.6511342131780875E-3</v>
          </cell>
          <cell r="T126">
            <v>-4.1283552550199776E-3</v>
          </cell>
          <cell r="U126">
            <v>-9.608367793724093E-3</v>
          </cell>
          <cell r="V126">
            <v>-1.0674167849841876E-2</v>
          </cell>
          <cell r="W126">
            <v>-4.2787800666013176E-3</v>
          </cell>
          <cell r="X126">
            <v>-1.1605799253826099E-2</v>
          </cell>
          <cell r="Z126">
            <v>42429</v>
          </cell>
          <cell r="AA126">
            <v>6.5699328292434522E-4</v>
          </cell>
          <cell r="AB126">
            <v>9.7913805916247654E-3</v>
          </cell>
          <cell r="AC126">
            <v>2.9469782237309561E-2</v>
          </cell>
          <cell r="AD126">
            <v>-1.3190091471370624E-2</v>
          </cell>
          <cell r="AE126">
            <v>-8.5088406445837039E-2</v>
          </cell>
          <cell r="AF126">
            <v>-8.1857923497267615E-2</v>
          </cell>
          <cell r="AG126">
            <v>-0.12730277630495357</v>
          </cell>
          <cell r="AH126">
            <v>-5.0974854686793303E-2</v>
          </cell>
          <cell r="AI126">
            <v>-4.0386643784947385E-2</v>
          </cell>
          <cell r="AJ126">
            <v>-0.18011099695819466</v>
          </cell>
        </row>
        <row r="127">
          <cell r="O127">
            <v>2.6283333333333334E-4</v>
          </cell>
          <cell r="P127">
            <v>1.7450488010437581E-3</v>
          </cell>
          <cell r="Q127">
            <v>1.3902308915594297E-3</v>
          </cell>
          <cell r="R127">
            <v>2.7141723803574269E-2</v>
          </cell>
          <cell r="S127">
            <v>4.4204436344510878E-2</v>
          </cell>
          <cell r="T127">
            <v>6.5991108718941094E-2</v>
          </cell>
          <cell r="U127">
            <v>6.5248162774614205E-2</v>
          </cell>
          <cell r="V127">
            <v>1.8839440904836469E-3</v>
          </cell>
          <cell r="W127">
            <v>0.10171169052442064</v>
          </cell>
          <cell r="X127">
            <v>5.8208810944742062E-2</v>
          </cell>
          <cell r="Z127">
            <v>42460</v>
          </cell>
          <cell r="AA127">
            <v>9.1157495690330492E-4</v>
          </cell>
          <cell r="AB127">
            <v>9.2069599581887651E-3</v>
          </cell>
          <cell r="AC127">
            <v>2.4153799930645148E-2</v>
          </cell>
          <cell r="AD127">
            <v>9.8404895677473014E-3</v>
          </cell>
          <cell r="AE127">
            <v>-3.9553361740426674E-2</v>
          </cell>
          <cell r="AF127">
            <v>-3.9412154418270173E-3</v>
          </cell>
          <cell r="AG127">
            <v>-5.3245328324170837E-2</v>
          </cell>
          <cell r="AH127">
            <v>-5.4901428778689088E-2</v>
          </cell>
          <cell r="AI127">
            <v>4.6628039462387028E-2</v>
          </cell>
          <cell r="AJ127">
            <v>-0.14278281055441155</v>
          </cell>
        </row>
        <row r="128">
          <cell r="O128">
            <v>1.6525000000000001E-4</v>
          </cell>
          <cell r="P128">
            <v>3.6216580311787538E-4</v>
          </cell>
          <cell r="Q128">
            <v>-1.2004718966450723E-3</v>
          </cell>
          <cell r="R128">
            <v>1.3602736367879897E-2</v>
          </cell>
          <cell r="S128">
            <v>3.9958182276078835E-2</v>
          </cell>
          <cell r="T128">
            <v>2.69936982337593E-3</v>
          </cell>
          <cell r="U128">
            <v>1.3761133898017253E-2</v>
          </cell>
          <cell r="V128">
            <v>4.1334144080384938E-3</v>
          </cell>
          <cell r="W128">
            <v>-1.8136298910351623E-2</v>
          </cell>
          <cell r="X128">
            <v>3.3984880828749731E-2</v>
          </cell>
          <cell r="Z128">
            <v>42489</v>
          </cell>
          <cell r="AA128">
            <v>1.0600409956380563E-3</v>
          </cell>
          <cell r="AB128">
            <v>9.1116410325833286E-3</v>
          </cell>
          <cell r="AC128">
            <v>2.9287470496309309E-2</v>
          </cell>
          <cell r="AD128">
            <v>2.9074278077216631E-2</v>
          </cell>
          <cell r="AE128">
            <v>-1.3039889499998791E-2</v>
          </cell>
          <cell r="AF128">
            <v>-9.6906751825689419E-3</v>
          </cell>
          <cell r="AG128">
            <v>-6.0503823661718026E-2</v>
          </cell>
          <cell r="AH128">
            <v>-5.0810913289690673E-2</v>
          </cell>
          <cell r="AI128">
            <v>8.1147679516659021E-2</v>
          </cell>
          <cell r="AJ128">
            <v>-8.8733581742376666E-2</v>
          </cell>
        </row>
        <row r="129">
          <cell r="O129">
            <v>1.7374999999999999E-4</v>
          </cell>
          <cell r="P129">
            <v>-1.0628856830331435E-3</v>
          </cell>
          <cell r="Q129">
            <v>3.748514902548461E-4</v>
          </cell>
          <cell r="R129">
            <v>-6.4936379649593867E-4</v>
          </cell>
          <cell r="S129">
            <v>7.2143205106904862E-3</v>
          </cell>
          <cell r="T129">
            <v>1.5329492083474561E-2</v>
          </cell>
          <cell r="U129">
            <v>2.2803447450323588E-3</v>
          </cell>
          <cell r="V129">
            <v>4.6060075648992616E-3</v>
          </cell>
          <cell r="W129">
            <v>2.3136088067416738E-2</v>
          </cell>
          <cell r="X129">
            <v>4.0540901846650712E-3</v>
          </cell>
          <cell r="Z129">
            <v>42521</v>
          </cell>
          <cell r="AA129">
            <v>1.2339751777610264E-3</v>
          </cell>
          <cell r="AB129">
            <v>7.2908392789630128E-3</v>
          </cell>
          <cell r="AC129">
            <v>3.2086612895899647E-2</v>
          </cell>
          <cell r="AD129">
            <v>3.3628691244120601E-2</v>
          </cell>
          <cell r="AE129">
            <v>-8.8367814053503801E-3</v>
          </cell>
          <cell r="AF129">
            <v>-4.9492500201668843E-3</v>
          </cell>
          <cell r="AG129">
            <v>-5.8843034659502691E-2</v>
          </cell>
          <cell r="AH129">
            <v>-5.5274789910898514E-2</v>
          </cell>
          <cell r="AI129">
            <v>0.10861430151407547</v>
          </cell>
          <cell r="AJ129">
            <v>-0.11289312633176141</v>
          </cell>
        </row>
        <row r="130">
          <cell r="O130">
            <v>2.3741666666666665E-4</v>
          </cell>
          <cell r="P130">
            <v>5.9906889937983987E-3</v>
          </cell>
          <cell r="Q130">
            <v>2.3245915429732422E-2</v>
          </cell>
          <cell r="R130">
            <v>2.179508100404437E-2</v>
          </cell>
          <cell r="S130">
            <v>1.084182068780426E-2</v>
          </cell>
          <cell r="T130">
            <v>9.0607355409733081E-4</v>
          </cell>
          <cell r="U130">
            <v>-1.2767151754736861E-2</v>
          </cell>
          <cell r="V130">
            <v>-4.1309263733818602E-3</v>
          </cell>
          <cell r="W130">
            <v>6.9189455695406243E-2</v>
          </cell>
          <cell r="X130">
            <v>-1.5839829545465478E-2</v>
          </cell>
          <cell r="Z130">
            <v>42551</v>
          </cell>
          <cell r="AA130">
            <v>1.471684810701257E-3</v>
          </cell>
          <cell r="AB130">
            <v>1.3068694084194199E-2</v>
          </cell>
          <cell r="AC130">
            <v>6.6705248607740186E-2</v>
          </cell>
          <cell r="AD130">
            <v>7.3759310541844592E-2</v>
          </cell>
          <cell r="AE130">
            <v>1.7406670587341688E-2</v>
          </cell>
          <cell r="AF130">
            <v>1.73282083844295E-2</v>
          </cell>
          <cell r="AG130">
            <v>-4.7464580176421522E-2</v>
          </cell>
          <cell r="AH130">
            <v>-4.8731656367133835E-2</v>
          </cell>
          <cell r="AI130">
            <v>0.23620700661054239</v>
          </cell>
          <cell r="AJ130">
            <v>-0.13951873835674988</v>
          </cell>
        </row>
        <row r="131">
          <cell r="O131">
            <v>2.1558333333333333E-4</v>
          </cell>
          <cell r="P131">
            <v>-5.7077088298329581E-4</v>
          </cell>
          <cell r="Q131">
            <v>4.2456896419305057E-3</v>
          </cell>
          <cell r="R131">
            <v>1.4501917690883159E-2</v>
          </cell>
          <cell r="S131">
            <v>2.5256729734737915E-2</v>
          </cell>
          <cell r="T131">
            <v>3.5609807228685897E-2</v>
          </cell>
          <cell r="U131">
            <v>4.1470333831348238E-2</v>
          </cell>
          <cell r="V131">
            <v>1.3747623526983777E-2</v>
          </cell>
          <cell r="W131">
            <v>3.8891123826907625E-2</v>
          </cell>
          <cell r="X131">
            <v>5.4431207944801496E-2</v>
          </cell>
          <cell r="Z131">
            <v>42580</v>
          </cell>
          <cell r="AA131">
            <v>1.6833282606065758E-3</v>
          </cell>
          <cell r="AB131">
            <v>1.1964093855058477E-2</v>
          </cell>
          <cell r="AC131">
            <v>6.1265290512431125E-2</v>
          </cell>
          <cell r="AD131">
            <v>8.3491832237060581E-2</v>
          </cell>
          <cell r="AE131">
            <v>4.9541196089478712E-2</v>
          </cell>
          <cell r="AF131">
            <v>3.3158415088599735E-2</v>
          </cell>
          <cell r="AG131">
            <v>-2.4813094698685756E-2</v>
          </cell>
          <cell r="AH131">
            <v>-4.0323532407703477E-2</v>
          </cell>
          <cell r="AI131">
            <v>0.22327777035429808</v>
          </cell>
          <cell r="AJ131">
            <v>-8.475865065403132E-2</v>
          </cell>
        </row>
        <row r="132">
          <cell r="O132">
            <v>2.1133333333333334E-4</v>
          </cell>
          <cell r="P132">
            <v>-1.6602050811351798E-3</v>
          </cell>
          <cell r="Q132">
            <v>-5.7267215803793459E-3</v>
          </cell>
          <cell r="R132">
            <v>2.7415164014816806E-3</v>
          </cell>
          <cell r="S132">
            <v>2.2274136158986213E-2</v>
          </cell>
          <cell r="T132">
            <v>-1.2191755612808164E-3</v>
          </cell>
          <cell r="U132">
            <v>-1.3183953908432189E-3</v>
          </cell>
          <cell r="V132">
            <v>2.9105835379368283E-3</v>
          </cell>
          <cell r="W132">
            <v>-3.4749474350986742E-2</v>
          </cell>
          <cell r="X132">
            <v>2.4849076945562043E-2</v>
          </cell>
          <cell r="Z132">
            <v>42613</v>
          </cell>
          <cell r="AA132">
            <v>1.8440902627239186E-3</v>
          </cell>
          <cell r="AB132">
            <v>1.0713140261608967E-2</v>
          </cell>
          <cell r="AC132">
            <v>5.4586503150294341E-2</v>
          </cell>
          <cell r="AD132">
            <v>9.3800899119254266E-2</v>
          </cell>
          <cell r="AE132">
            <v>9.2249603689292581E-2</v>
          </cell>
          <cell r="AF132">
            <v>0.1007869464247686</v>
          </cell>
          <cell r="AG132">
            <v>4.5027743507775941E-2</v>
          </cell>
          <cell r="AH132">
            <v>-2.1099737587221723E-2</v>
          </cell>
          <cell r="AI132">
            <v>0.25373334884750975</v>
          </cell>
          <cell r="AJ132">
            <v>-2.2910297026679238E-4</v>
          </cell>
        </row>
        <row r="133">
          <cell r="O133">
            <v>2.7483333333333331E-4</v>
          </cell>
          <cell r="P133">
            <v>1.1621035875981622E-3</v>
          </cell>
          <cell r="Q133">
            <v>-1.8386753168915249E-3</v>
          </cell>
          <cell r="R133">
            <v>-2.8800244945604847E-3</v>
          </cell>
          <cell r="S133">
            <v>6.4677693452537266E-3</v>
          </cell>
          <cell r="T133">
            <v>-1.2344825997834263E-3</v>
          </cell>
          <cell r="U133">
            <v>3.5765795105611176E-3</v>
          </cell>
          <cell r="V133">
            <v>1.0128589559255108E-3</v>
          </cell>
          <cell r="W133">
            <v>-1.4809740874441535E-2</v>
          </cell>
          <cell r="X133">
            <v>4.1000322595745375E-2</v>
          </cell>
          <cell r="Z133">
            <v>42643</v>
          </cell>
          <cell r="AA133">
            <v>2.1194304135310205E-3</v>
          </cell>
          <cell r="AB133">
            <v>8.8357300884955858E-3</v>
          </cell>
          <cell r="AC133">
            <v>4.3283436176274614E-2</v>
          </cell>
          <cell r="AD133">
            <v>8.4964442142857033E-2</v>
          </cell>
          <cell r="AE133">
            <v>0.12823948765733406</v>
          </cell>
          <cell r="AF133">
            <v>0.12928964651593988</v>
          </cell>
          <cell r="AG133">
            <v>9.0870587640335954E-2</v>
          </cell>
          <cell r="AH133">
            <v>-2.5497235180272915E-3</v>
          </cell>
          <cell r="AI133">
            <v>0.20937003180380609</v>
          </cell>
          <cell r="AJ133">
            <v>0.10469832823777647</v>
          </cell>
        </row>
        <row r="134">
          <cell r="O134">
            <v>2.2824999999999999E-4</v>
          </cell>
          <cell r="P134">
            <v>-6.6904014583524241E-4</v>
          </cell>
          <cell r="Q134">
            <v>-1.151288919576221E-2</v>
          </cell>
          <cell r="R134">
            <v>-8.2772866137545975E-3</v>
          </cell>
          <cell r="S134">
            <v>3.1278922515842744E-3</v>
          </cell>
          <cell r="T134">
            <v>-1.9425625037472249E-2</v>
          </cell>
          <cell r="U134">
            <v>-2.0137106167459562E-2</v>
          </cell>
          <cell r="V134">
            <v>-3.5709612775044475E-3</v>
          </cell>
          <cell r="W134">
            <v>-5.1101779950321724E-2</v>
          </cell>
          <cell r="X134">
            <v>-6.1985001525921457E-2</v>
          </cell>
          <cell r="Z134">
            <v>42674</v>
          </cell>
          <cell r="AA134">
            <v>2.365120850150948E-3</v>
          </cell>
          <cell r="AB134">
            <v>9.1471458638447967E-3</v>
          </cell>
          <cell r="AC134">
            <v>3.4961965589912491E-2</v>
          </cell>
          <cell r="AD134">
            <v>7.0247154122303757E-2</v>
          </cell>
          <cell r="AE134">
            <v>0.10181889391897347</v>
          </cell>
          <cell r="AF134">
            <v>2.2502116035703512E-2</v>
          </cell>
          <cell r="AG134">
            <v>-8.72317973971104E-3</v>
          </cell>
          <cell r="AH134">
            <v>-1.2580235133529571E-2</v>
          </cell>
          <cell r="AI134">
            <v>7.7822266096909232E-2</v>
          </cell>
          <cell r="AJ134">
            <v>-3.1884991031828624E-3</v>
          </cell>
        </row>
        <row r="135">
          <cell r="O135">
            <v>2.4941666666666667E-4</v>
          </cell>
          <cell r="P135">
            <v>-3.9680668767997362E-3</v>
          </cell>
          <cell r="Q135">
            <v>-2.7309126741589806E-2</v>
          </cell>
          <cell r="R135">
            <v>-2.6791531353187459E-2</v>
          </cell>
          <cell r="S135">
            <v>-3.946680606377595E-3</v>
          </cell>
          <cell r="T135">
            <v>3.4174446769983158E-2</v>
          </cell>
          <cell r="U135">
            <v>1.2519811700139494E-2</v>
          </cell>
          <cell r="V135">
            <v>3.7140914732256558E-3</v>
          </cell>
          <cell r="W135">
            <v>-2.4222747567573477E-2</v>
          </cell>
          <cell r="X135">
            <v>0.10244622833260597</v>
          </cell>
          <cell r="Z135">
            <v>42704</v>
          </cell>
          <cell r="AA135">
            <v>2.5556424492576557E-3</v>
          </cell>
          <cell r="AB135">
            <v>7.6165220339747819E-3</v>
          </cell>
          <cell r="AC135">
            <v>1.0969664402035617E-2</v>
          </cell>
          <cell r="AD135">
            <v>4.3910228319348654E-2</v>
          </cell>
          <cell r="AE135">
            <v>0.12251029461145535</v>
          </cell>
          <cell r="AF135">
            <v>5.691185872015625E-2</v>
          </cell>
          <cell r="AG135">
            <v>1.0440273843248526E-2</v>
          </cell>
          <cell r="AH135">
            <v>-1.3400387270457337E-2</v>
          </cell>
          <cell r="AI135">
            <v>5.3510822211465081E-2</v>
          </cell>
          <cell r="AJ135">
            <v>5.3769838450717922E-2</v>
          </cell>
        </row>
        <row r="136">
          <cell r="O136">
            <v>3.9758333333333334E-4</v>
          </cell>
          <cell r="P136">
            <v>2.9691875786408417E-4</v>
          </cell>
          <cell r="Q136">
            <v>-1.1464242847030182E-3</v>
          </cell>
          <cell r="R136">
            <v>6.2562737648186317E-3</v>
          </cell>
          <cell r="S136">
            <v>1.9662022094518505E-2</v>
          </cell>
          <cell r="T136">
            <v>1.8200754044233047E-2</v>
          </cell>
          <cell r="U136">
            <v>2.2855106916108481E-2</v>
          </cell>
          <cell r="V136">
            <v>1.1094025182799561E-2</v>
          </cell>
          <cell r="W136">
            <v>4.4628686128224571E-2</v>
          </cell>
          <cell r="X136">
            <v>4.5944957468360359E-2</v>
          </cell>
          <cell r="Z136">
            <v>42734</v>
          </cell>
          <cell r="AA136">
            <v>2.8140150369986294E-3</v>
          </cell>
          <cell r="AB136">
            <v>8.8605650172604022E-3</v>
          </cell>
          <cell r="AC136">
            <v>1.1397211821937425E-2</v>
          </cell>
          <cell r="AD136">
            <v>5.9629623023274458E-2</v>
          </cell>
          <cell r="AE136">
            <v>0.17487543235856151</v>
          </cell>
          <cell r="AF136">
            <v>9.5350157049619799E-2</v>
          </cell>
          <cell r="AG136">
            <v>5.3181700635678952E-2</v>
          </cell>
          <cell r="AH136">
            <v>4.459354368852253E-3</v>
          </cell>
          <cell r="AI136">
            <v>8.629187652853032E-2</v>
          </cell>
          <cell r="AJ136">
            <v>0.15857916935503114</v>
          </cell>
        </row>
        <row r="137">
          <cell r="O137">
            <v>4.1449999999999999E-4</v>
          </cell>
          <cell r="P137">
            <v>1.2595942970663465E-3</v>
          </cell>
          <cell r="Q137">
            <v>2.2582492213598648E-3</v>
          </cell>
          <cell r="R137">
            <v>4.1011262270076454E-3</v>
          </cell>
          <cell r="S137">
            <v>1.3420556226082958E-2</v>
          </cell>
          <cell r="T137">
            <v>1.7884341374735824E-2</v>
          </cell>
          <cell r="U137">
            <v>2.3515035232580805E-2</v>
          </cell>
          <cell r="V137">
            <v>7.5129033116476673E-3</v>
          </cell>
          <cell r="W137">
            <v>1.6594689322406708E-3</v>
          </cell>
          <cell r="X137">
            <v>-8.096094125654707E-3</v>
          </cell>
          <cell r="Z137">
            <v>42766</v>
          </cell>
          <cell r="AA137">
            <v>3.0936786616331258E-3</v>
          </cell>
          <cell r="AB137">
            <v>4.0143560896914732E-3</v>
          </cell>
          <cell r="AC137">
            <v>-8.1382414766353328E-3</v>
          </cell>
          <cell r="AD137">
            <v>5.9327851131186549E-2</v>
          </cell>
          <cell r="AE137">
            <v>0.20978028459780296</v>
          </cell>
          <cell r="AF137">
            <v>0.174529955057106</v>
          </cell>
          <cell r="AG137">
            <v>0.14737098157702744</v>
          </cell>
          <cell r="AH137">
            <v>3.2467713393939501E-2</v>
          </cell>
          <cell r="AI137">
            <v>0.12778822868551298</v>
          </cell>
          <cell r="AJ137">
            <v>0.28977306775699829</v>
          </cell>
        </row>
        <row r="138">
          <cell r="O138">
            <v>4.2725000000000006E-4</v>
          </cell>
          <cell r="P138">
            <v>1.0199846529690415E-3</v>
          </cell>
          <cell r="Q138">
            <v>5.1711262346592068E-3</v>
          </cell>
          <cell r="R138">
            <v>1.1310662928395665E-2</v>
          </cell>
          <cell r="S138">
            <v>1.5589210712090962E-2</v>
          </cell>
          <cell r="T138">
            <v>3.7198260541408734E-2</v>
          </cell>
          <cell r="U138">
            <v>2.5831287659004554E-2</v>
          </cell>
          <cell r="V138">
            <v>8.7237137833338085E-3</v>
          </cell>
          <cell r="W138">
            <v>4.0141420249743875E-2</v>
          </cell>
          <cell r="X138">
            <v>1.6566408186121651E-2</v>
          </cell>
          <cell r="Z138">
            <v>42794</v>
          </cell>
          <cell r="AA138">
            <v>3.2628233907592286E-3</v>
          </cell>
          <cell r="AB138">
            <v>3.8813332345197793E-3</v>
          </cell>
          <cell r="AC138">
            <v>-1.2724701572155772E-2</v>
          </cell>
          <cell r="AD138">
            <v>6.3496127209942799E-2</v>
          </cell>
          <cell r="AE138">
            <v>0.22295169191440389</v>
          </cell>
          <cell r="AF138">
            <v>0.22327052162527172</v>
          </cell>
          <cell r="AG138">
            <v>0.18842790385025565</v>
          </cell>
          <cell r="AH138">
            <v>5.2711485307752826E-2</v>
          </cell>
          <cell r="AI138">
            <v>0.17810008106923303</v>
          </cell>
          <cell r="AJ138">
            <v>0.32653547934123961</v>
          </cell>
        </row>
        <row r="139">
          <cell r="O139">
            <v>5.0349999999999993E-4</v>
          </cell>
          <cell r="P139">
            <v>3.210493334364628E-4</v>
          </cell>
          <cell r="Q139">
            <v>-5.8683501589096299E-4</v>
          </cell>
          <cell r="R139">
            <v>-1.2306723182694546E-3</v>
          </cell>
          <cell r="S139">
            <v>-2.1003308021013689E-3</v>
          </cell>
          <cell r="T139">
            <v>-3.8923017041514463E-4</v>
          </cell>
          <cell r="U139">
            <v>8.152499048240669E-3</v>
          </cell>
          <cell r="V139">
            <v>2.6199055521012315E-3</v>
          </cell>
          <cell r="W139">
            <v>-1.5737251704356359E-2</v>
          </cell>
          <cell r="X139">
            <v>1.5649377992877467E-2</v>
          </cell>
          <cell r="Z139">
            <v>42825</v>
          </cell>
          <cell r="AA139">
            <v>3.5042118653179077E-3</v>
          </cell>
          <cell r="AB139">
            <v>2.4542969983256668E-3</v>
          </cell>
          <cell r="AC139">
            <v>-1.4673900069980372E-2</v>
          </cell>
          <cell r="AD139">
            <v>3.411952542658736E-2</v>
          </cell>
          <cell r="AE139">
            <v>0.16872045964355342</v>
          </cell>
          <cell r="AF139">
            <v>0.1470962354471923</v>
          </cell>
          <cell r="AG139">
            <v>0.12472999538868601</v>
          </cell>
          <cell r="AH139">
            <v>5.3484783540506342E-2</v>
          </cell>
          <cell r="AI139">
            <v>5.2507687386494917E-2</v>
          </cell>
          <cell r="AJ139">
            <v>0.27318438529686984</v>
          </cell>
        </row>
        <row r="140">
          <cell r="O140">
            <v>6.2633333333333334E-4</v>
          </cell>
          <cell r="P140">
            <v>1.3859044506840945E-3</v>
          </cell>
          <cell r="Q140">
            <v>7.0034395590732323E-3</v>
          </cell>
          <cell r="R140">
            <v>9.9762185769320944E-3</v>
          </cell>
          <cell r="S140">
            <v>1.1318050499001586E-2</v>
          </cell>
          <cell r="T140">
            <v>9.0912169025529899E-3</v>
          </cell>
          <cell r="U140">
            <v>1.3265432731470739E-2</v>
          </cell>
          <cell r="V140">
            <v>3.9763621055644016E-3</v>
          </cell>
          <cell r="W140">
            <v>4.3320812985214729E-3</v>
          </cell>
          <cell r="X140">
            <v>9.4768430201785936E-3</v>
          </cell>
          <cell r="Z140">
            <v>42853</v>
          </cell>
          <cell r="AA140">
            <v>3.9668344839511871E-3</v>
          </cell>
          <cell r="AB140">
            <v>3.4801766660474964E-3</v>
          </cell>
          <cell r="AC140">
            <v>-6.5806562794228363E-3</v>
          </cell>
          <cell r="AD140">
            <v>3.041960165727664E-2</v>
          </cell>
          <cell r="AE140">
            <v>0.13653425394295526</v>
          </cell>
          <cell r="AF140">
            <v>0.15440856049968521</v>
          </cell>
          <cell r="AG140">
            <v>0.12418003351687812</v>
          </cell>
          <cell r="AH140">
            <v>5.3320012397047201E-2</v>
          </cell>
          <cell r="AI140">
            <v>7.6592642219551088E-2</v>
          </cell>
          <cell r="AJ140">
            <v>0.24300671864943491</v>
          </cell>
        </row>
        <row r="141">
          <cell r="O141">
            <v>6.6025000000000003E-4</v>
          </cell>
          <cell r="P141">
            <v>1.1568926377922839E-3</v>
          </cell>
          <cell r="Q141">
            <v>6.7014878125990496E-3</v>
          </cell>
          <cell r="R141">
            <v>1.1623927349114549E-2</v>
          </cell>
          <cell r="S141">
            <v>8.894636955110613E-3</v>
          </cell>
          <cell r="T141">
            <v>1.1576210049492719E-2</v>
          </cell>
          <cell r="U141">
            <v>1.7814170411227348E-2</v>
          </cell>
          <cell r="V141">
            <v>2.3365582587326905E-3</v>
          </cell>
          <cell r="W141">
            <v>-1.2732752519705182E-3</v>
          </cell>
          <cell r="X141">
            <v>-1.2401877762159841E-2</v>
          </cell>
          <cell r="Z141">
            <v>42886</v>
          </cell>
          <cell r="AA141">
            <v>4.45517949898111E-3</v>
          </cell>
          <cell r="AB141">
            <v>5.7100503083584719E-3</v>
          </cell>
          <cell r="AC141">
            <v>-2.9800843602789673E-4</v>
          </cell>
          <cell r="AD141">
            <v>4.3074459036792634E-2</v>
          </cell>
          <cell r="AE141">
            <v>0.1384303123663293</v>
          </cell>
          <cell r="AF141">
            <v>0.15014115672211203</v>
          </cell>
          <cell r="AG141">
            <v>0.14160311953230886</v>
          </cell>
          <cell r="AH141">
            <v>5.0940516004128078E-2</v>
          </cell>
          <cell r="AI141">
            <v>5.0907944692603735E-2</v>
          </cell>
          <cell r="AJ141">
            <v>0.22263443102096603</v>
          </cell>
        </row>
        <row r="142">
          <cell r="O142">
            <v>8.0883333333333339E-4</v>
          </cell>
          <cell r="P142">
            <v>-8.0204131069117057E-4</v>
          </cell>
          <cell r="Q142">
            <v>-1.4999198156073756E-3</v>
          </cell>
          <cell r="R142">
            <v>2.4540228281686449E-3</v>
          </cell>
          <cell r="S142">
            <v>1.0608933114606423E-3</v>
          </cell>
          <cell r="T142">
            <v>4.8138319927024664E-3</v>
          </cell>
          <cell r="U142">
            <v>2.4532624729305397E-3</v>
          </cell>
          <cell r="V142">
            <v>-2.9037344609021964E-3</v>
          </cell>
          <cell r="W142">
            <v>1.9629283692721877E-2</v>
          </cell>
          <cell r="X142">
            <v>3.6731266832960907E-2</v>
          </cell>
          <cell r="Z142">
            <v>42916</v>
          </cell>
          <cell r="AA142">
            <v>5.0290056935637928E-3</v>
          </cell>
          <cell r="AB142">
            <v>-1.0807850452889678E-3</v>
          </cell>
          <cell r="AC142">
            <v>-2.447446534110187E-2</v>
          </cell>
          <cell r="AD142">
            <v>2.3330613945879097E-2</v>
          </cell>
          <cell r="AE142">
            <v>0.12741483597784087</v>
          </cell>
          <cell r="AF142">
            <v>0.1546315618955052</v>
          </cell>
          <cell r="AG142">
            <v>0.15920349860576</v>
          </cell>
          <cell r="AH142">
            <v>5.2235571484705368E-2</v>
          </cell>
          <cell r="AI142">
            <v>2.1951761364660261E-3</v>
          </cell>
          <cell r="AJ142">
            <v>0.28794415848036947</v>
          </cell>
        </row>
        <row r="143">
          <cell r="O143">
            <v>8.4275000000000007E-4</v>
          </cell>
          <cell r="P143">
            <v>2.1296426380839062E-3</v>
          </cell>
          <cell r="Q143">
            <v>1.5204383699691792E-3</v>
          </cell>
          <cell r="R143">
            <v>7.4729816467542509E-3</v>
          </cell>
          <cell r="S143">
            <v>1.1559332345523865E-2</v>
          </cell>
          <cell r="T143">
            <v>1.9348768883515444E-2</v>
          </cell>
          <cell r="U143">
            <v>2.330896510699576E-2</v>
          </cell>
          <cell r="V143">
            <v>9.3084108201244575E-3</v>
          </cell>
          <cell r="W143">
            <v>1.2650932284321348E-2</v>
          </cell>
          <cell r="X143">
            <v>-1.3990187078771754E-4</v>
          </cell>
          <cell r="Z143">
            <v>42947</v>
          </cell>
          <cell r="AA143">
            <v>5.6591905276213161E-3</v>
          </cell>
          <cell r="AB143">
            <v>1.6182504400954478E-3</v>
          </cell>
          <cell r="AC143">
            <v>-2.7121777877845532E-2</v>
          </cell>
          <cell r="AD143">
            <v>1.6240508632133999E-2</v>
          </cell>
          <cell r="AE143">
            <v>0.11235260952956416</v>
          </cell>
          <cell r="AF143">
            <v>0.13650165623849864</v>
          </cell>
          <cell r="AG143">
            <v>0.13898907532277516</v>
          </cell>
          <cell r="AH143">
            <v>4.7627819603331956E-2</v>
          </cell>
          <cell r="AI143">
            <v>-2.3118153414377618E-2</v>
          </cell>
          <cell r="AJ143">
            <v>0.22128780235281176</v>
          </cell>
        </row>
        <row r="144">
          <cell r="O144">
            <v>8.9366666666666663E-4</v>
          </cell>
          <cell r="P144">
            <v>1.8943117647360896E-3</v>
          </cell>
          <cell r="Q144">
            <v>1.1306736498137848E-2</v>
          </cell>
          <cell r="R144">
            <v>8.4693578904266875E-3</v>
          </cell>
          <cell r="S144">
            <v>-2.6919010156467582E-4</v>
          </cell>
          <cell r="T144">
            <v>5.4649232886694321E-4</v>
          </cell>
          <cell r="U144">
            <v>-6.9348834837590356E-4</v>
          </cell>
          <cell r="V144">
            <v>1.1849653249928149E-2</v>
          </cell>
          <cell r="W144">
            <v>6.4203824067796678E-3</v>
          </cell>
          <cell r="X144">
            <v>-1.5894101846673836E-2</v>
          </cell>
          <cell r="Z144">
            <v>42978</v>
          </cell>
          <cell r="AA144">
            <v>6.345240330099422E-3</v>
          </cell>
          <cell r="AB144">
            <v>5.1844399904288352E-3</v>
          </cell>
          <cell r="AC144">
            <v>-1.0454850613783928E-2</v>
          </cell>
          <cell r="AD144">
            <v>2.2045458814090368E-2</v>
          </cell>
          <cell r="AE144">
            <v>8.7822860701505912E-2</v>
          </cell>
          <cell r="AF144">
            <v>0.13851079020705259</v>
          </cell>
          <cell r="AG144">
            <v>0.13970177724016031</v>
          </cell>
          <cell r="AH144">
            <v>5.6965459733341994E-2</v>
          </cell>
          <cell r="AI144">
            <v>1.8547802339596631E-2</v>
          </cell>
          <cell r="AJ144">
            <v>0.17273514381274779</v>
          </cell>
        </row>
      </sheetData>
      <sheetData sheetId="2">
        <row r="4">
          <cell r="C4">
            <v>0.03</v>
          </cell>
          <cell r="D4">
            <v>0.03</v>
          </cell>
        </row>
        <row r="5">
          <cell r="C5">
            <v>0.04</v>
          </cell>
          <cell r="D5">
            <v>0.04</v>
          </cell>
        </row>
      </sheetData>
      <sheetData sheetId="3">
        <row r="19">
          <cell r="C19">
            <v>1.5341947763978604E-6</v>
          </cell>
          <cell r="D19">
            <v>1.9942955066371696E-6</v>
          </cell>
          <cell r="E19">
            <v>1.7279558788958729E-6</v>
          </cell>
          <cell r="F19">
            <v>-1.7496041798600717E-6</v>
          </cell>
          <cell r="G19">
            <v>-3.7049312217129023E-6</v>
          </cell>
          <cell r="H19">
            <v>-3.7445632606641503E-6</v>
          </cell>
          <cell r="I19">
            <v>-1.8952750273536431E-6</v>
          </cell>
          <cell r="J19">
            <v>1.4017016350493811E-6</v>
          </cell>
          <cell r="K19">
            <v>-6.8364439040157314E-6</v>
          </cell>
          <cell r="L19">
            <v>-7.0315487681069991E-6</v>
          </cell>
        </row>
        <row r="20">
          <cell r="C20">
            <v>1.9942955066371696E-6</v>
          </cell>
          <cell r="D20">
            <v>1.3535480640522648E-5</v>
          </cell>
          <cell r="E20">
            <v>3.3270806066055407E-5</v>
          </cell>
          <cell r="F20">
            <v>8.751606619029712E-6</v>
          </cell>
          <cell r="G20">
            <v>-3.307712480832521E-5</v>
          </cell>
          <cell r="H20">
            <v>-5.0553276725415859E-5</v>
          </cell>
          <cell r="I20">
            <v>-4.9333504881127327E-5</v>
          </cell>
          <cell r="J20">
            <v>-2.0142294142080499E-5</v>
          </cell>
          <cell r="K20">
            <v>-4.2765972155422631E-5</v>
          </cell>
          <cell r="L20">
            <v>-8.3783046147970028E-5</v>
          </cell>
        </row>
        <row r="21">
          <cell r="C21">
            <v>1.7279558788958729E-6</v>
          </cell>
          <cell r="D21">
            <v>3.3270806066055407E-5</v>
          </cell>
          <cell r="E21">
            <v>1.5295013971605421E-4</v>
          </cell>
          <cell r="F21">
            <v>8.7615423086087805E-5</v>
          </cell>
          <cell r="G21">
            <v>-8.6607632931042815E-5</v>
          </cell>
          <cell r="H21">
            <v>-1.6089195086862876E-4</v>
          </cell>
          <cell r="I21">
            <v>-1.6111999135551172E-4</v>
          </cell>
          <cell r="J21">
            <v>-6.535854840612236E-5</v>
          </cell>
          <cell r="K21">
            <v>-4.2795590121329108E-5</v>
          </cell>
          <cell r="L21">
            <v>-2.9856027517233009E-4</v>
          </cell>
        </row>
        <row r="22">
          <cell r="C22">
            <v>-1.7496041798600717E-6</v>
          </cell>
          <cell r="D22">
            <v>8.751606619029712E-6</v>
          </cell>
          <cell r="E22">
            <v>8.7615423086087805E-5</v>
          </cell>
          <cell r="F22">
            <v>2.7163505483523916E-4</v>
          </cell>
          <cell r="G22">
            <v>3.1752034706585913E-4</v>
          </cell>
          <cell r="H22">
            <v>2.5125607416955282E-4</v>
          </cell>
          <cell r="I22">
            <v>3.3775318608085005E-4</v>
          </cell>
          <cell r="J22">
            <v>9.2477293850610486E-5</v>
          </cell>
          <cell r="K22">
            <v>5.2952437114745323E-4</v>
          </cell>
          <cell r="L22">
            <v>2.7153086988256027E-4</v>
          </cell>
        </row>
        <row r="23">
          <cell r="C23">
            <v>-3.7049312217129023E-6</v>
          </cell>
          <cell r="D23">
            <v>-3.307712480832521E-5</v>
          </cell>
          <cell r="E23">
            <v>-8.6607632931042815E-5</v>
          </cell>
          <cell r="F23">
            <v>3.1752034706585913E-4</v>
          </cell>
          <cell r="G23">
            <v>8.5969760948285999E-4</v>
          </cell>
          <cell r="H23">
            <v>9.053358903338873E-4</v>
          </cell>
          <cell r="I23">
            <v>1.0437291337414198E-3</v>
          </cell>
          <cell r="J23">
            <v>2.7411561588729506E-4</v>
          </cell>
          <cell r="K23">
            <v>1.4719881718907564E-3</v>
          </cell>
          <cell r="L23">
            <v>1.218080175124507E-3</v>
          </cell>
        </row>
        <row r="24">
          <cell r="C24">
            <v>-3.7445632606641503E-6</v>
          </cell>
          <cell r="D24">
            <v>-5.0553276725415859E-5</v>
          </cell>
          <cell r="E24">
            <v>-1.6089195086862876E-4</v>
          </cell>
          <cell r="F24">
            <v>2.5125607416955282E-4</v>
          </cell>
          <cell r="G24">
            <v>9.053358903338873E-4</v>
          </cell>
          <cell r="H24">
            <v>1.8007123236824724E-3</v>
          </cell>
          <cell r="I24">
            <v>1.8847106724223463E-3</v>
          </cell>
          <cell r="J24">
            <v>4.161797717773171E-4</v>
          </cell>
          <cell r="K24">
            <v>2.2670109279133051E-3</v>
          </cell>
          <cell r="L24">
            <v>2.1406799238035076E-3</v>
          </cell>
        </row>
        <row r="25">
          <cell r="C25">
            <v>-1.8952750273536431E-6</v>
          </cell>
          <cell r="D25">
            <v>-4.9333504881127327E-5</v>
          </cell>
          <cell r="E25">
            <v>-1.6111999135551172E-4</v>
          </cell>
          <cell r="F25">
            <v>3.3775318608085005E-4</v>
          </cell>
          <cell r="G25">
            <v>1.0437291337414198E-3</v>
          </cell>
          <cell r="H25">
            <v>1.8847106724223463E-3</v>
          </cell>
          <cell r="I25">
            <v>2.0997791721933637E-3</v>
          </cell>
          <cell r="J25">
            <v>4.9046946173680178E-4</v>
          </cell>
          <cell r="K25">
            <v>2.3790912679287398E-3</v>
          </cell>
          <cell r="L25">
            <v>2.2431570160772593E-3</v>
          </cell>
        </row>
        <row r="26">
          <cell r="C26">
            <v>1.4017016350493811E-6</v>
          </cell>
          <cell r="D26">
            <v>-2.0142294142080499E-5</v>
          </cell>
          <cell r="E26">
            <v>-6.535854840612236E-5</v>
          </cell>
          <cell r="F26">
            <v>9.2477293850610486E-5</v>
          </cell>
          <cell r="G26">
            <v>2.7411561588729506E-4</v>
          </cell>
          <cell r="H26">
            <v>4.161797717773171E-4</v>
          </cell>
          <cell r="I26">
            <v>4.9046946173680178E-4</v>
          </cell>
          <cell r="J26">
            <v>2.0575365802345865E-4</v>
          </cell>
          <cell r="K26">
            <v>3.821518778766717E-4</v>
          </cell>
          <cell r="L26">
            <v>5.5152177472265541E-4</v>
          </cell>
        </row>
        <row r="27">
          <cell r="C27">
            <v>-6.8364439040157314E-6</v>
          </cell>
          <cell r="D27">
            <v>-4.2765972155422631E-5</v>
          </cell>
          <cell r="E27">
            <v>-4.2795590121329108E-5</v>
          </cell>
          <cell r="F27">
            <v>5.2952437114745323E-4</v>
          </cell>
          <cell r="G27">
            <v>1.4719881718907564E-3</v>
          </cell>
          <cell r="H27">
            <v>2.2670109279133051E-3</v>
          </cell>
          <cell r="I27">
            <v>2.3790912679287398E-3</v>
          </cell>
          <cell r="J27">
            <v>3.821518778766717E-4</v>
          </cell>
          <cell r="K27">
            <v>4.9918463264759681E-3</v>
          </cell>
          <cell r="L27">
            <v>2.8543878643756963E-3</v>
          </cell>
        </row>
        <row r="28">
          <cell r="C28">
            <v>-7.0315487681069991E-6</v>
          </cell>
          <cell r="D28">
            <v>-8.3783046147970028E-5</v>
          </cell>
          <cell r="E28">
            <v>-2.9856027517233009E-4</v>
          </cell>
          <cell r="F28">
            <v>2.7153086988256027E-4</v>
          </cell>
          <cell r="G28">
            <v>1.218080175124507E-3</v>
          </cell>
          <cell r="H28">
            <v>2.1406799238035076E-3</v>
          </cell>
          <cell r="I28">
            <v>2.2431570160772593E-3</v>
          </cell>
          <cell r="J28">
            <v>5.5152177472265541E-4</v>
          </cell>
          <cell r="K28">
            <v>2.8543878643756963E-3</v>
          </cell>
          <cell r="L28">
            <v>3.3760413482416926E-3</v>
          </cell>
        </row>
        <row r="34">
          <cell r="C34">
            <v>1.2386261649092757E-3</v>
          </cell>
          <cell r="D34">
            <v>3.679059749517891E-3</v>
          </cell>
          <cell r="E34">
            <v>1.2367301230100859E-2</v>
          </cell>
          <cell r="F34">
            <v>1.6481354763345127E-2</v>
          </cell>
          <cell r="G34">
            <v>2.9320600428416537E-2</v>
          </cell>
          <cell r="H34">
            <v>4.2434800855930412E-2</v>
          </cell>
          <cell r="I34">
            <v>4.5823347457310051E-2</v>
          </cell>
          <cell r="J34">
            <v>1.4344115797896316E-2</v>
          </cell>
          <cell r="K34">
            <v>7.0652999415990597E-2</v>
          </cell>
          <cell r="L34">
            <v>5.8103712000539973E-2</v>
          </cell>
        </row>
      </sheetData>
      <sheetData sheetId="4">
        <row r="4">
          <cell r="C4">
            <v>0</v>
          </cell>
          <cell r="D4">
            <v>1</v>
          </cell>
          <cell r="E4">
            <v>0</v>
          </cell>
          <cell r="F4">
            <v>0</v>
          </cell>
          <cell r="G4">
            <v>0</v>
          </cell>
          <cell r="H4">
            <v>0</v>
          </cell>
          <cell r="I4">
            <v>0</v>
          </cell>
          <cell r="J4">
            <v>0</v>
          </cell>
          <cell r="K4">
            <v>0</v>
          </cell>
          <cell r="L4">
            <v>0</v>
          </cell>
        </row>
        <row r="5">
          <cell r="C5">
            <v>0</v>
          </cell>
          <cell r="D5">
            <v>0</v>
          </cell>
          <cell r="E5">
            <v>0</v>
          </cell>
          <cell r="F5">
            <v>1</v>
          </cell>
          <cell r="G5">
            <v>0</v>
          </cell>
          <cell r="H5">
            <v>0</v>
          </cell>
          <cell r="I5">
            <v>0</v>
          </cell>
          <cell r="J5">
            <v>0</v>
          </cell>
          <cell r="K5">
            <v>0</v>
          </cell>
          <cell r="L5">
            <v>0</v>
          </cell>
        </row>
        <row r="6">
          <cell r="C6">
            <v>0</v>
          </cell>
          <cell r="D6">
            <v>0</v>
          </cell>
          <cell r="E6">
            <v>0</v>
          </cell>
          <cell r="F6">
            <v>0</v>
          </cell>
          <cell r="G6">
            <v>0</v>
          </cell>
          <cell r="H6">
            <v>1</v>
          </cell>
          <cell r="I6">
            <v>0</v>
          </cell>
          <cell r="J6">
            <v>0</v>
          </cell>
          <cell r="K6">
            <v>0</v>
          </cell>
          <cell r="L6">
            <v>0</v>
          </cell>
        </row>
        <row r="7">
          <cell r="C7">
            <v>0</v>
          </cell>
          <cell r="D7">
            <v>-1</v>
          </cell>
          <cell r="E7">
            <v>0</v>
          </cell>
          <cell r="F7">
            <v>1</v>
          </cell>
          <cell r="G7">
            <v>0</v>
          </cell>
          <cell r="H7">
            <v>0</v>
          </cell>
          <cell r="I7">
            <v>0</v>
          </cell>
          <cell r="J7">
            <v>0</v>
          </cell>
          <cell r="K7">
            <v>0</v>
          </cell>
          <cell r="L7">
            <v>0</v>
          </cell>
        </row>
        <row r="8">
          <cell r="C8">
            <v>0</v>
          </cell>
          <cell r="D8">
            <v>-1</v>
          </cell>
          <cell r="E8">
            <v>0</v>
          </cell>
          <cell r="F8">
            <v>0</v>
          </cell>
          <cell r="G8">
            <v>0</v>
          </cell>
          <cell r="H8">
            <v>1</v>
          </cell>
          <cell r="I8">
            <v>0</v>
          </cell>
          <cell r="J8">
            <v>0</v>
          </cell>
          <cell r="K8">
            <v>0</v>
          </cell>
          <cell r="L8">
            <v>0</v>
          </cell>
        </row>
        <row r="22">
          <cell r="O22">
            <v>3.8266234516892705E-3</v>
          </cell>
          <cell r="P22">
            <v>8.6237809614901906E-3</v>
          </cell>
          <cell r="Q22">
            <v>3.1508028596025195E-2</v>
          </cell>
          <cell r="R22">
            <v>4.79715750980092E-3</v>
          </cell>
          <cell r="S22">
            <v>2.7681405144335924E-2</v>
          </cell>
        </row>
        <row r="23">
          <cell r="O23">
            <v>5.0756062737051799E-3</v>
          </cell>
          <cell r="P23">
            <v>1.4163739755291171E-2</v>
          </cell>
          <cell r="Q23">
            <v>1.6466609576614388E-2</v>
          </cell>
          <cell r="R23">
            <v>9.0881334815859915E-3</v>
          </cell>
          <cell r="S23">
            <v>1.1391003302909208E-2</v>
          </cell>
        </row>
        <row r="24">
          <cell r="O24">
            <v>1.8778266861452231E-4</v>
          </cell>
          <cell r="P24">
            <v>-8.9837987108465356E-3</v>
          </cell>
          <cell r="Q24">
            <v>1.2615751483260995E-2</v>
          </cell>
          <cell r="R24">
            <v>-9.1715813794610579E-3</v>
          </cell>
          <cell r="S24">
            <v>1.2427968814646473E-2</v>
          </cell>
        </row>
        <row r="25">
          <cell r="O25">
            <v>2.1500791297006661E-3</v>
          </cell>
          <cell r="P25">
            <v>3.2647993913959006E-4</v>
          </cell>
          <cell r="Q25">
            <v>1.4059084819854739E-2</v>
          </cell>
          <cell r="R25">
            <v>-1.823599190561076E-3</v>
          </cell>
          <cell r="S25">
            <v>1.1909005690154073E-2</v>
          </cell>
        </row>
        <row r="26">
          <cell r="O26">
            <v>7.9743179121554153E-3</v>
          </cell>
          <cell r="P26">
            <v>2.0295841681039706E-2</v>
          </cell>
          <cell r="Q26">
            <v>-2.1846145288686225E-2</v>
          </cell>
          <cell r="R26">
            <v>1.232152376888429E-2</v>
          </cell>
          <cell r="S26">
            <v>-2.982046320084164E-2</v>
          </cell>
        </row>
        <row r="27">
          <cell r="O27">
            <v>3.8411579337551682E-3</v>
          </cell>
          <cell r="P27">
            <v>-4.8698411580789802E-3</v>
          </cell>
          <cell r="Q27">
            <v>9.9799547916576969E-3</v>
          </cell>
          <cell r="R27">
            <v>-8.7109990918341484E-3</v>
          </cell>
          <cell r="S27">
            <v>6.1387968579025287E-3</v>
          </cell>
        </row>
        <row r="28">
          <cell r="O28">
            <v>3.5597165197835956E-3</v>
          </cell>
          <cell r="P28">
            <v>7.39631977280375E-3</v>
          </cell>
          <cell r="Q28">
            <v>4.3290683107413797E-2</v>
          </cell>
          <cell r="R28">
            <v>3.8366032530201544E-3</v>
          </cell>
          <cell r="S28">
            <v>3.9730966587630201E-2</v>
          </cell>
        </row>
        <row r="29">
          <cell r="O29">
            <v>-7.3693580632450129E-4</v>
          </cell>
          <cell r="P29">
            <v>-9.9013677728733152E-3</v>
          </cell>
          <cell r="Q29">
            <v>3.2549228600146973E-2</v>
          </cell>
          <cell r="R29">
            <v>-9.1644319665488139E-3</v>
          </cell>
          <cell r="S29">
            <v>3.3286164406471475E-2</v>
          </cell>
        </row>
        <row r="30">
          <cell r="O30">
            <v>4.1912188853108212E-3</v>
          </cell>
          <cell r="P30">
            <v>-4.8035850460820262E-3</v>
          </cell>
          <cell r="Q30">
            <v>-1.7816309730697366E-2</v>
          </cell>
          <cell r="R30">
            <v>-8.9948039313928474E-3</v>
          </cell>
          <cell r="S30">
            <v>-2.2007528616008187E-2</v>
          </cell>
        </row>
        <row r="31">
          <cell r="O31">
            <v>9.1067831875091265E-3</v>
          </cell>
          <cell r="P31">
            <v>2.8548920904865049E-3</v>
          </cell>
          <cell r="Q31">
            <v>-3.1981907074200899E-2</v>
          </cell>
          <cell r="R31">
            <v>-6.2518910970226216E-3</v>
          </cell>
          <cell r="S31">
            <v>-4.1088690261710026E-2</v>
          </cell>
        </row>
        <row r="32">
          <cell r="O32">
            <v>1.0279415640028988E-2</v>
          </cell>
          <cell r="P32">
            <v>9.8466447879570485E-3</v>
          </cell>
          <cell r="Q32">
            <v>1.2863592323073991E-2</v>
          </cell>
          <cell r="R32">
            <v>-4.3277085207193977E-4</v>
          </cell>
          <cell r="S32">
            <v>2.584176683045003E-3</v>
          </cell>
        </row>
        <row r="33">
          <cell r="O33">
            <v>7.0844736622235338E-3</v>
          </cell>
          <cell r="P33">
            <v>5.6058559624487803E-3</v>
          </cell>
          <cell r="Q33">
            <v>3.579400131615551E-2</v>
          </cell>
          <cell r="R33">
            <v>-1.4786176997747535E-3</v>
          </cell>
          <cell r="S33">
            <v>2.8709527653931977E-2</v>
          </cell>
        </row>
        <row r="34">
          <cell r="O34">
            <v>3.6969025541409017E-3</v>
          </cell>
          <cell r="P34">
            <v>1.0869847230828844E-2</v>
          </cell>
          <cell r="Q34">
            <v>1.4822335025380884E-2</v>
          </cell>
          <cell r="R34">
            <v>7.1729446766879423E-3</v>
          </cell>
          <cell r="S34">
            <v>1.1125432471239982E-2</v>
          </cell>
        </row>
        <row r="35">
          <cell r="O35">
            <v>1.7180602974248282E-2</v>
          </cell>
          <cell r="P35">
            <v>8.7915852907327618E-3</v>
          </cell>
          <cell r="Q35">
            <v>-4.4043423821141348E-2</v>
          </cell>
          <cell r="R35">
            <v>-8.3890176835155206E-3</v>
          </cell>
          <cell r="S35">
            <v>-6.122402679538963E-2</v>
          </cell>
        </row>
        <row r="36">
          <cell r="O36">
            <v>2.6181927731141474E-3</v>
          </cell>
          <cell r="P36">
            <v>-5.5973648600271542E-4</v>
          </cell>
          <cell r="Q36">
            <v>-8.628488866683881E-3</v>
          </cell>
          <cell r="R36">
            <v>-3.1779292591168629E-3</v>
          </cell>
          <cell r="S36">
            <v>-1.1246681639798028E-2</v>
          </cell>
        </row>
        <row r="37">
          <cell r="O37">
            <v>1.7362253949897877E-2</v>
          </cell>
          <cell r="P37">
            <v>1.1817883117690497E-2</v>
          </cell>
          <cell r="Q37">
            <v>-6.1163474897164116E-2</v>
          </cell>
          <cell r="R37">
            <v>-5.5443708322073793E-3</v>
          </cell>
          <cell r="S37">
            <v>-7.8525728847061993E-2</v>
          </cell>
        </row>
        <row r="38">
          <cell r="O38">
            <v>1.0003876417102431E-2</v>
          </cell>
          <cell r="P38">
            <v>7.2377401633727523E-4</v>
          </cell>
          <cell r="Q38">
            <v>-3.4761162090602316E-2</v>
          </cell>
          <cell r="R38">
            <v>-9.2801024007651556E-3</v>
          </cell>
          <cell r="S38">
            <v>-4.4765038507704746E-2</v>
          </cell>
        </row>
        <row r="39">
          <cell r="O39">
            <v>2.2104698162175307E-3</v>
          </cell>
          <cell r="P39">
            <v>-1.3274600165815498E-2</v>
          </cell>
          <cell r="Q39">
            <v>-5.9595830546433914E-3</v>
          </cell>
          <cell r="R39">
            <v>-1.5485069982033028E-2</v>
          </cell>
          <cell r="S39">
            <v>-8.1700528708609221E-3</v>
          </cell>
        </row>
        <row r="40">
          <cell r="O40">
            <v>-7.7915646091355484E-3</v>
          </cell>
          <cell r="P40">
            <v>5.7222258433424766E-3</v>
          </cell>
          <cell r="Q40">
            <v>4.7546684811370588E-2</v>
          </cell>
          <cell r="R40">
            <v>1.3513790452478025E-2</v>
          </cell>
          <cell r="S40">
            <v>5.5338249420506136E-2</v>
          </cell>
        </row>
        <row r="41">
          <cell r="O41">
            <v>-3.6381118576714888E-3</v>
          </cell>
          <cell r="P41">
            <v>-9.1009947050794127E-3</v>
          </cell>
          <cell r="Q41">
            <v>1.0674153248796614E-2</v>
          </cell>
          <cell r="R41">
            <v>-5.4628828474079238E-3</v>
          </cell>
          <cell r="S41">
            <v>1.4312265106468103E-2</v>
          </cell>
        </row>
        <row r="42">
          <cell r="O42">
            <v>2.8785932659363134E-3</v>
          </cell>
          <cell r="P42">
            <v>-3.8380583170812832E-3</v>
          </cell>
          <cell r="Q42">
            <v>-8.5962381639269392E-2</v>
          </cell>
          <cell r="R42">
            <v>-6.7166515830175966E-3</v>
          </cell>
          <cell r="S42">
            <v>-8.8840974905205705E-2</v>
          </cell>
        </row>
        <row r="43">
          <cell r="O43">
            <v>4.0165269094718514E-3</v>
          </cell>
          <cell r="P43">
            <v>-8.6111550479441856E-3</v>
          </cell>
          <cell r="Q43">
            <v>-9.8593749999998925E-3</v>
          </cell>
          <cell r="R43">
            <v>-1.2627681957416037E-2</v>
          </cell>
          <cell r="S43">
            <v>-1.3875901909471744E-2</v>
          </cell>
        </row>
        <row r="44">
          <cell r="O44">
            <v>4.837383127107131E-3</v>
          </cell>
          <cell r="P44">
            <v>7.0194429961503158E-3</v>
          </cell>
          <cell r="Q44">
            <v>1.2190503242910378E-2</v>
          </cell>
          <cell r="R44">
            <v>2.1820598690431847E-3</v>
          </cell>
          <cell r="S44">
            <v>7.3531201158032466E-3</v>
          </cell>
        </row>
        <row r="45">
          <cell r="O45">
            <v>7.9057868939920173E-3</v>
          </cell>
          <cell r="P45">
            <v>-7.3374239290883603E-2</v>
          </cell>
          <cell r="Q45">
            <v>-9.0791453271283018E-2</v>
          </cell>
          <cell r="R45">
            <v>-8.128002618487562E-2</v>
          </cell>
          <cell r="S45">
            <v>-9.8697240165275035E-2</v>
          </cell>
        </row>
        <row r="46">
          <cell r="O46">
            <v>9.1985144522923612E-3</v>
          </cell>
          <cell r="P46">
            <v>-7.3814270690177985E-2</v>
          </cell>
          <cell r="Q46">
            <v>-0.16942453444905514</v>
          </cell>
          <cell r="R46">
            <v>-8.3012785142470347E-2</v>
          </cell>
          <cell r="S46">
            <v>-0.1786230489013475</v>
          </cell>
        </row>
        <row r="47">
          <cell r="O47">
            <v>1.1699459175943838E-2</v>
          </cell>
          <cell r="P47">
            <v>3.8786167193549659E-2</v>
          </cell>
          <cell r="Q47">
            <v>-7.4849032258064496E-2</v>
          </cell>
          <cell r="R47">
            <v>2.7086708017605821E-2</v>
          </cell>
          <cell r="S47">
            <v>-8.6548491434008334E-2</v>
          </cell>
        </row>
        <row r="48">
          <cell r="O48">
            <v>5.7298655136690524E-3</v>
          </cell>
          <cell r="P48">
            <v>5.5536517469921165E-2</v>
          </cell>
          <cell r="Q48">
            <v>7.8215656520574939E-3</v>
          </cell>
          <cell r="R48">
            <v>4.9806651956252113E-2</v>
          </cell>
          <cell r="S48">
            <v>2.0917001383884415E-3</v>
          </cell>
        </row>
        <row r="49">
          <cell r="O49">
            <v>-3.4211141150162216E-3</v>
          </cell>
          <cell r="P49">
            <v>3.3304171534906946E-3</v>
          </cell>
          <cell r="Q49">
            <v>-8.5657348463880401E-2</v>
          </cell>
          <cell r="R49">
            <v>6.7515312685069162E-3</v>
          </cell>
          <cell r="S49">
            <v>-8.2236234348864179E-2</v>
          </cell>
        </row>
        <row r="50">
          <cell r="O50">
            <v>-9.5264144027462638E-4</v>
          </cell>
          <cell r="P50">
            <v>-1.5575420508491811E-2</v>
          </cell>
          <cell r="Q50">
            <v>-0.10993122487528451</v>
          </cell>
          <cell r="R50">
            <v>-1.4622779068217184E-2</v>
          </cell>
          <cell r="S50">
            <v>-0.10897858343500988</v>
          </cell>
        </row>
        <row r="51">
          <cell r="O51">
            <v>5.2650104946354581E-3</v>
          </cell>
          <cell r="P51">
            <v>-2.0705997985362989E-3</v>
          </cell>
          <cell r="Q51">
            <v>8.5404508291501591E-2</v>
          </cell>
          <cell r="R51">
            <v>-7.3356102931717571E-3</v>
          </cell>
          <cell r="S51">
            <v>8.0139497796866133E-2</v>
          </cell>
        </row>
        <row r="52">
          <cell r="O52">
            <v>-1.2727690415141879E-3</v>
          </cell>
          <cell r="P52">
            <v>3.083789318442709E-2</v>
          </cell>
          <cell r="Q52">
            <v>9.3925075513554779E-2</v>
          </cell>
          <cell r="R52">
            <v>3.2110662225941278E-2</v>
          </cell>
          <cell r="S52">
            <v>9.5197844555068967E-2</v>
          </cell>
        </row>
        <row r="53">
          <cell r="O53">
            <v>1.7028980802513694E-3</v>
          </cell>
          <cell r="P53">
            <v>4.3350455996423509E-2</v>
          </cell>
          <cell r="Q53">
            <v>5.3081426656431674E-2</v>
          </cell>
          <cell r="R53">
            <v>4.164755791617214E-2</v>
          </cell>
          <cell r="S53">
            <v>5.1378528576180305E-2</v>
          </cell>
        </row>
        <row r="54">
          <cell r="O54">
            <v>-1.5064842712670945E-3</v>
          </cell>
          <cell r="P54">
            <v>3.0351683744133551E-2</v>
          </cell>
          <cell r="Q54">
            <v>1.9583523728705643E-4</v>
          </cell>
          <cell r="R54">
            <v>3.1858168015400645E-2</v>
          </cell>
          <cell r="S54">
            <v>1.7023195085541509E-3</v>
          </cell>
        </row>
        <row r="55">
          <cell r="O55">
            <v>1.3047457693131648E-3</v>
          </cell>
          <cell r="P55">
            <v>3.9477855326000011E-2</v>
          </cell>
          <cell r="Q55">
            <v>7.4141756950789617E-2</v>
          </cell>
          <cell r="R55">
            <v>3.8173109556686846E-2</v>
          </cell>
          <cell r="S55">
            <v>7.2837011181476452E-2</v>
          </cell>
        </row>
        <row r="56">
          <cell r="O56">
            <v>4.0230491823318726E-3</v>
          </cell>
          <cell r="P56">
            <v>2.1627922072108507E-2</v>
          </cell>
          <cell r="Q56">
            <v>3.3560173370599911E-2</v>
          </cell>
          <cell r="R56">
            <v>1.7604872889776635E-2</v>
          </cell>
          <cell r="S56">
            <v>2.9537124188268038E-2</v>
          </cell>
        </row>
        <row r="57">
          <cell r="O57">
            <v>2.4286934496302592E-3</v>
          </cell>
          <cell r="P57">
            <v>2.0028054393316896E-2</v>
          </cell>
          <cell r="Q57">
            <v>3.5723383825517763E-2</v>
          </cell>
          <cell r="R57">
            <v>1.7599360943686637E-2</v>
          </cell>
          <cell r="S57">
            <v>3.3294690375887503E-2</v>
          </cell>
        </row>
        <row r="58">
          <cell r="O58">
            <v>2.1338756205400156E-3</v>
          </cell>
          <cell r="P58">
            <v>8.1689089595957665E-3</v>
          </cell>
          <cell r="Q58">
            <v>-1.9761985847807084E-2</v>
          </cell>
          <cell r="R58">
            <v>6.0350333390557509E-3</v>
          </cell>
          <cell r="S58">
            <v>-2.18958614683471E-2</v>
          </cell>
        </row>
        <row r="59">
          <cell r="O59">
            <v>6.1042683968215439E-3</v>
          </cell>
          <cell r="P59">
            <v>1.4152194546203978E-2</v>
          </cell>
          <cell r="Q59">
            <v>5.7363996950366314E-2</v>
          </cell>
          <cell r="R59">
            <v>8.0479261493824339E-3</v>
          </cell>
          <cell r="S59">
            <v>5.125972855354477E-2</v>
          </cell>
        </row>
        <row r="60">
          <cell r="O60">
            <v>-7.9043772051670125E-3</v>
          </cell>
          <cell r="P60">
            <v>-1.0027892603759581E-2</v>
          </cell>
          <cell r="Q60">
            <v>1.7770597738287375E-2</v>
          </cell>
          <cell r="R60">
            <v>-2.1235153985925681E-3</v>
          </cell>
          <cell r="S60">
            <v>2.5674974943454387E-2</v>
          </cell>
        </row>
        <row r="61">
          <cell r="O61">
            <v>7.5846709614273422E-3</v>
          </cell>
          <cell r="P61">
            <v>2.0088116944607437E-2</v>
          </cell>
          <cell r="Q61">
            <v>-3.6974262397991176E-2</v>
          </cell>
          <cell r="R61">
            <v>1.2503445983180095E-2</v>
          </cell>
          <cell r="S61">
            <v>-4.4558933359418518E-2</v>
          </cell>
        </row>
        <row r="62">
          <cell r="O62">
            <v>1.914533472837654E-3</v>
          </cell>
          <cell r="P62">
            <v>3.7480608322701947E-3</v>
          </cell>
          <cell r="Q62">
            <v>2.8513693463827261E-2</v>
          </cell>
          <cell r="R62">
            <v>1.8335273594325407E-3</v>
          </cell>
          <cell r="S62">
            <v>2.6599159990989607E-2</v>
          </cell>
        </row>
        <row r="63">
          <cell r="O63">
            <v>-2.4494192197397346E-3</v>
          </cell>
          <cell r="P63">
            <v>3.4687897006737689E-3</v>
          </cell>
          <cell r="Q63">
            <v>5.8796367554255768E-2</v>
          </cell>
          <cell r="R63">
            <v>5.9182089204135035E-3</v>
          </cell>
          <cell r="S63">
            <v>6.1245786773995503E-2</v>
          </cell>
        </row>
        <row r="64">
          <cell r="O64">
            <v>2.6911113851550983E-3</v>
          </cell>
          <cell r="P64">
            <v>1.7576750485216897E-2</v>
          </cell>
          <cell r="Q64">
            <v>1.4759327193589966E-2</v>
          </cell>
          <cell r="R64">
            <v>1.4885639100061798E-2</v>
          </cell>
          <cell r="S64">
            <v>1.2068215808434868E-2</v>
          </cell>
        </row>
        <row r="65">
          <cell r="O65">
            <v>4.5551404304242649E-3</v>
          </cell>
          <cell r="P65">
            <v>-5.7123865628512238E-3</v>
          </cell>
          <cell r="Q65">
            <v>-8.1975916203894883E-2</v>
          </cell>
          <cell r="R65">
            <v>-1.0267526993275489E-2</v>
          </cell>
          <cell r="S65">
            <v>-8.6531056634319148E-2</v>
          </cell>
        </row>
        <row r="66">
          <cell r="O66">
            <v>4.3086678498649444E-3</v>
          </cell>
          <cell r="P66">
            <v>2.0577204833566176E-2</v>
          </cell>
          <cell r="Q66">
            <v>-5.3882376699314394E-2</v>
          </cell>
          <cell r="R66">
            <v>1.6268536983701232E-2</v>
          </cell>
          <cell r="S66">
            <v>-5.8191044549179338E-2</v>
          </cell>
        </row>
        <row r="67">
          <cell r="O67">
            <v>2.6015611172713893E-3</v>
          </cell>
          <cell r="P67">
            <v>2.0466840578057921E-2</v>
          </cell>
          <cell r="Q67">
            <v>6.8777832756061308E-2</v>
          </cell>
          <cell r="R67">
            <v>1.7865279460786532E-2</v>
          </cell>
          <cell r="S67">
            <v>6.6176271638789919E-2</v>
          </cell>
        </row>
        <row r="68">
          <cell r="O68">
            <v>1.9175118639855881E-3</v>
          </cell>
          <cell r="P68">
            <v>2.1889945119560883E-2</v>
          </cell>
          <cell r="Q68">
            <v>-4.7449164851125603E-2</v>
          </cell>
          <cell r="R68">
            <v>1.9972433255575295E-2</v>
          </cell>
          <cell r="S68">
            <v>-4.9366676715111191E-2</v>
          </cell>
        </row>
        <row r="69">
          <cell r="O69">
            <v>1.6468570380663294E-3</v>
          </cell>
          <cell r="P69">
            <v>5.9017786372683734E-3</v>
          </cell>
          <cell r="Q69">
            <v>8.7551104037814742E-2</v>
          </cell>
          <cell r="R69">
            <v>4.2549215992020439E-3</v>
          </cell>
          <cell r="S69">
            <v>8.5904246999748413E-2</v>
          </cell>
        </row>
        <row r="70">
          <cell r="O70">
            <v>2.1871135306672507E-3</v>
          </cell>
          <cell r="P70">
            <v>2.099837876308408E-3</v>
          </cell>
          <cell r="Q70">
            <v>3.6855941114616098E-2</v>
          </cell>
          <cell r="R70">
            <v>-8.7275654358842658E-5</v>
          </cell>
          <cell r="S70">
            <v>3.4668827583948847E-2</v>
          </cell>
        </row>
        <row r="71">
          <cell r="O71">
            <v>-1.8098113085893708E-3</v>
          </cell>
          <cell r="P71">
            <v>-8.5501473228345448E-3</v>
          </cell>
          <cell r="Q71">
            <v>-2.2902827780877377E-3</v>
          </cell>
          <cell r="R71">
            <v>-6.740336014245174E-3</v>
          </cell>
          <cell r="S71">
            <v>-4.8047146949836694E-4</v>
          </cell>
        </row>
        <row r="72">
          <cell r="O72">
            <v>-1.8651260014176385E-3</v>
          </cell>
          <cell r="P72">
            <v>-9.4836801630544532E-3</v>
          </cell>
          <cell r="Q72">
            <v>6.5300072000338938E-2</v>
          </cell>
          <cell r="R72">
            <v>-7.6185541616368146E-3</v>
          </cell>
          <cell r="S72">
            <v>6.7165198001756576E-2</v>
          </cell>
        </row>
        <row r="73">
          <cell r="O73">
            <v>1.6699757592864017E-3</v>
          </cell>
          <cell r="P73">
            <v>2.3696429938104835E-3</v>
          </cell>
          <cell r="Q73">
            <v>2.2645590152984729E-2</v>
          </cell>
          <cell r="R73">
            <v>6.9966723452408175E-4</v>
          </cell>
          <cell r="S73">
            <v>2.0975614393698327E-2</v>
          </cell>
        </row>
        <row r="74">
          <cell r="O74">
            <v>-8.7307718881701746E-4</v>
          </cell>
          <cell r="P74">
            <v>7.0853577327627537E-3</v>
          </cell>
          <cell r="Q74">
            <v>3.1956582589494076E-2</v>
          </cell>
          <cell r="R74">
            <v>7.9584349215797712E-3</v>
          </cell>
          <cell r="S74">
            <v>3.2829659778311093E-2</v>
          </cell>
        </row>
        <row r="75">
          <cell r="O75">
            <v>-4.7149646691990732E-4</v>
          </cell>
          <cell r="P75">
            <v>2.7543186180434276E-4</v>
          </cell>
          <cell r="Q75">
            <v>-1.0473018791158362E-3</v>
          </cell>
          <cell r="R75">
            <v>7.4692832872425008E-4</v>
          </cell>
          <cell r="S75">
            <v>-5.7580541219592885E-4</v>
          </cell>
        </row>
        <row r="76">
          <cell r="O76">
            <v>4.3622765063331403E-3</v>
          </cell>
          <cell r="P76">
            <v>1.6980447803723875E-2</v>
          </cell>
          <cell r="Q76">
            <v>2.8495357625034856E-2</v>
          </cell>
          <cell r="R76">
            <v>1.2618171297390735E-2</v>
          </cell>
          <cell r="S76">
            <v>2.4133081118701716E-2</v>
          </cell>
        </row>
        <row r="77">
          <cell r="O77">
            <v>3.5685977709907224E-3</v>
          </cell>
          <cell r="P77">
            <v>1.4315761866553922E-2</v>
          </cell>
          <cell r="Q77">
            <v>-1.350092768460176E-2</v>
          </cell>
          <cell r="R77">
            <v>1.07471640955632E-2</v>
          </cell>
          <cell r="S77">
            <v>-1.7069525455592482E-2</v>
          </cell>
        </row>
        <row r="78">
          <cell r="O78">
            <v>3.6726852945512256E-4</v>
          </cell>
          <cell r="P78">
            <v>-8.3275977528927125E-3</v>
          </cell>
          <cell r="Q78">
            <v>-1.8257508177222714E-2</v>
          </cell>
          <cell r="R78">
            <v>-8.6948662823478351E-3</v>
          </cell>
          <cell r="S78">
            <v>-1.8624776706677837E-2</v>
          </cell>
        </row>
        <row r="79">
          <cell r="O79">
            <v>2.7508293924383143E-3</v>
          </cell>
          <cell r="P79">
            <v>2.2943491715722963E-2</v>
          </cell>
          <cell r="Q79">
            <v>-2.1474436636782279E-2</v>
          </cell>
          <cell r="R79">
            <v>2.0192662323284649E-2</v>
          </cell>
          <cell r="S79">
            <v>-2.4225266029220593E-2</v>
          </cell>
        </row>
        <row r="80">
          <cell r="O80">
            <v>3.5661791496266471E-3</v>
          </cell>
          <cell r="P80">
            <v>1.0287264055361955E-3</v>
          </cell>
          <cell r="Q80">
            <v>-5.6791097904478782E-2</v>
          </cell>
          <cell r="R80">
            <v>-2.5374527440904515E-3</v>
          </cell>
          <cell r="S80">
            <v>-6.0357277054105429E-2</v>
          </cell>
        </row>
        <row r="81">
          <cell r="O81">
            <v>-1.4469050488485902E-3</v>
          </cell>
          <cell r="P81">
            <v>-1.3367943131972204E-3</v>
          </cell>
          <cell r="Q81">
            <v>-7.1762012979021961E-2</v>
          </cell>
          <cell r="R81">
            <v>1.1011073565136975E-4</v>
          </cell>
          <cell r="S81">
            <v>-7.0315107930173371E-2</v>
          </cell>
        </row>
        <row r="82">
          <cell r="O82">
            <v>9.1338535195917281E-4</v>
          </cell>
          <cell r="P82">
            <v>1.7542829864128473E-2</v>
          </cell>
          <cell r="Q82">
            <v>0.10772303830584562</v>
          </cell>
          <cell r="R82">
            <v>1.66294445121693E-2</v>
          </cell>
          <cell r="S82">
            <v>0.10680965295388645</v>
          </cell>
        </row>
        <row r="83">
          <cell r="O83">
            <v>4.9703066262773987E-4</v>
          </cell>
          <cell r="P83">
            <v>-1.8661798227784909E-2</v>
          </cell>
          <cell r="Q83">
            <v>-5.0586451767333784E-3</v>
          </cell>
          <cell r="R83">
            <v>-1.9158828890412649E-2</v>
          </cell>
          <cell r="S83">
            <v>-5.5556758393611183E-3</v>
          </cell>
        </row>
        <row r="84">
          <cell r="O84">
            <v>5.4194590458922498E-4</v>
          </cell>
          <cell r="P84">
            <v>1.9262377331161318E-2</v>
          </cell>
          <cell r="Q84">
            <v>8.5327516520175006E-3</v>
          </cell>
          <cell r="R84">
            <v>1.8720431426572093E-2</v>
          </cell>
          <cell r="S84">
            <v>7.9908057474282757E-3</v>
          </cell>
        </row>
        <row r="85">
          <cell r="O85">
            <v>1.1337527303880712E-3</v>
          </cell>
          <cell r="P85">
            <v>2.1826999715695683E-2</v>
          </cell>
          <cell r="Q85">
            <v>4.3583015267175673E-2</v>
          </cell>
          <cell r="R85">
            <v>2.0693246985307612E-2</v>
          </cell>
          <cell r="S85">
            <v>4.2449262536787602E-2</v>
          </cell>
        </row>
        <row r="86">
          <cell r="O86">
            <v>-1.4082925712344263E-3</v>
          </cell>
          <cell r="P86">
            <v>8.4889216750143603E-3</v>
          </cell>
          <cell r="Q86">
            <v>4.0589449943234213E-2</v>
          </cell>
          <cell r="R86">
            <v>9.8972142462487867E-3</v>
          </cell>
          <cell r="S86">
            <v>4.1997742514468639E-2</v>
          </cell>
        </row>
        <row r="87">
          <cell r="O87">
            <v>-5.6304910567261945E-4</v>
          </cell>
          <cell r="P87">
            <v>-5.9038567229331429E-3</v>
          </cell>
          <cell r="Q87">
            <v>3.1332376545017748E-2</v>
          </cell>
          <cell r="R87">
            <v>-5.3408076172605234E-3</v>
          </cell>
          <cell r="S87">
            <v>3.1895425650690368E-2</v>
          </cell>
        </row>
        <row r="88">
          <cell r="O88">
            <v>2.1055372884719592E-3</v>
          </cell>
          <cell r="P88">
            <v>1.2762760781581672E-2</v>
          </cell>
          <cell r="Q88">
            <v>-7.497497284287169E-3</v>
          </cell>
          <cell r="R88">
            <v>1.0657223493109713E-2</v>
          </cell>
          <cell r="S88">
            <v>-9.6030345727591282E-3</v>
          </cell>
        </row>
        <row r="89">
          <cell r="O89">
            <v>4.1102973999040948E-4</v>
          </cell>
          <cell r="P89">
            <v>5.78677566505581E-3</v>
          </cell>
          <cell r="Q89">
            <v>-6.2650671359386623E-2</v>
          </cell>
          <cell r="R89">
            <v>5.3757459250654005E-3</v>
          </cell>
          <cell r="S89">
            <v>-6.3061701099377032E-2</v>
          </cell>
        </row>
        <row r="90">
          <cell r="O90">
            <v>-5.7785592479031589E-4</v>
          </cell>
          <cell r="P90">
            <v>4.9900927854147348E-3</v>
          </cell>
          <cell r="Q90">
            <v>3.9554921279372435E-2</v>
          </cell>
          <cell r="R90">
            <v>5.5679487102050507E-3</v>
          </cell>
          <cell r="S90">
            <v>4.0132777204162751E-2</v>
          </cell>
        </row>
        <row r="91">
          <cell r="O91">
            <v>2.3879071642518568E-3</v>
          </cell>
          <cell r="P91">
            <v>2.8072055289132924E-2</v>
          </cell>
          <cell r="Q91">
            <v>1.2597639043871345E-2</v>
          </cell>
          <cell r="R91">
            <v>2.5684148124881068E-2</v>
          </cell>
          <cell r="S91">
            <v>1.0209731879619488E-2</v>
          </cell>
        </row>
        <row r="92">
          <cell r="O92">
            <v>8.7315677926858015E-5</v>
          </cell>
          <cell r="P92">
            <v>3.9976848030722767E-3</v>
          </cell>
          <cell r="Q92">
            <v>1.9763361656468303E-2</v>
          </cell>
          <cell r="R92">
            <v>3.9103691251454187E-3</v>
          </cell>
          <cell r="S92">
            <v>1.9676045978541445E-2</v>
          </cell>
        </row>
        <row r="93">
          <cell r="O93">
            <v>8.554425548279454E-5</v>
          </cell>
          <cell r="P93">
            <v>7.3862068362684496E-3</v>
          </cell>
          <cell r="Q93">
            <v>2.4236090375236552E-2</v>
          </cell>
          <cell r="R93">
            <v>7.3006625807856551E-3</v>
          </cell>
          <cell r="S93">
            <v>2.4150546119753757E-2</v>
          </cell>
        </row>
        <row r="94">
          <cell r="O94">
            <v>-5.555491868257656E-4</v>
          </cell>
          <cell r="P94">
            <v>1.3162983493898883E-2</v>
          </cell>
          <cell r="Q94">
            <v>-1.9789403541407791E-2</v>
          </cell>
          <cell r="R94">
            <v>1.3718532680724649E-2</v>
          </cell>
          <cell r="S94">
            <v>-1.9233854354582025E-2</v>
          </cell>
        </row>
        <row r="95">
          <cell r="O95">
            <v>8.9025510352636061E-4</v>
          </cell>
          <cell r="P95">
            <v>-8.2135255640869431E-4</v>
          </cell>
          <cell r="Q95">
            <v>2.8467029231815655E-3</v>
          </cell>
          <cell r="R95">
            <v>-1.7116076599350549E-3</v>
          </cell>
          <cell r="S95">
            <v>1.9564478196552049E-3</v>
          </cell>
        </row>
        <row r="96">
          <cell r="O96">
            <v>3.3762579425800077E-4</v>
          </cell>
          <cell r="P96">
            <v>-1.9428262162357601E-4</v>
          </cell>
          <cell r="Q96">
            <v>7.0683105254980561E-3</v>
          </cell>
          <cell r="R96">
            <v>-5.3190841588157678E-4</v>
          </cell>
          <cell r="S96">
            <v>6.7306847312400553E-3</v>
          </cell>
        </row>
        <row r="97">
          <cell r="O97">
            <v>1.1015399528546688E-4</v>
          </cell>
          <cell r="P97">
            <v>-7.1759738369659987E-3</v>
          </cell>
          <cell r="Q97">
            <v>5.0428063581991145E-2</v>
          </cell>
          <cell r="R97">
            <v>-7.2861278322514655E-3</v>
          </cell>
          <cell r="S97">
            <v>5.0317909586705678E-2</v>
          </cell>
        </row>
        <row r="98">
          <cell r="O98">
            <v>8.3091021235359719E-4</v>
          </cell>
          <cell r="P98">
            <v>7.0715896685218382E-3</v>
          </cell>
          <cell r="Q98">
            <v>1.1060603026480154E-2</v>
          </cell>
          <cell r="R98">
            <v>6.240679456168241E-3</v>
          </cell>
          <cell r="S98">
            <v>1.0229692814126556E-2</v>
          </cell>
        </row>
        <row r="99">
          <cell r="O99">
            <v>2.3418729525115367E-4</v>
          </cell>
          <cell r="P99">
            <v>6.6103676205497841E-4</v>
          </cell>
          <cell r="Q99">
            <v>3.5987799403174314E-2</v>
          </cell>
          <cell r="R99">
            <v>4.2684946680382474E-4</v>
          </cell>
          <cell r="S99">
            <v>3.5753612107923161E-2</v>
          </cell>
        </row>
        <row r="100">
          <cell r="O100">
            <v>1.0131070170205092E-3</v>
          </cell>
          <cell r="P100">
            <v>1.699892524977531E-2</v>
          </cell>
          <cell r="Q100">
            <v>1.8085763992887971E-2</v>
          </cell>
          <cell r="R100">
            <v>1.59858182327548E-2</v>
          </cell>
          <cell r="S100">
            <v>1.7072656975867462E-2</v>
          </cell>
        </row>
        <row r="101">
          <cell r="O101">
            <v>-1.4332694370678967E-3</v>
          </cell>
          <cell r="P101">
            <v>-2.2811171118688689E-2</v>
          </cell>
          <cell r="Q101">
            <v>2.0762783477406455E-2</v>
          </cell>
          <cell r="R101">
            <v>-2.1377901681620792E-2</v>
          </cell>
          <cell r="S101">
            <v>2.2196052914474351E-2</v>
          </cell>
        </row>
        <row r="102">
          <cell r="O102">
            <v>-7.0885763849148908E-4</v>
          </cell>
          <cell r="P102">
            <v>-2.759722730309111E-2</v>
          </cell>
          <cell r="Q102">
            <v>-1.499932545960736E-2</v>
          </cell>
          <cell r="R102">
            <v>-2.6888369664599621E-2</v>
          </cell>
          <cell r="S102">
            <v>-1.4290467821115871E-2</v>
          </cell>
        </row>
        <row r="103">
          <cell r="O103">
            <v>1.5896724164516929E-3</v>
          </cell>
          <cell r="P103">
            <v>7.3868715089695502E-3</v>
          </cell>
          <cell r="Q103">
            <v>4.9462111213487203E-2</v>
          </cell>
          <cell r="R103">
            <v>5.7971990925178574E-3</v>
          </cell>
          <cell r="S103">
            <v>4.787243879703551E-2</v>
          </cell>
        </row>
        <row r="104">
          <cell r="O104">
            <v>-9.1058735963966964E-4</v>
          </cell>
          <cell r="P104">
            <v>-6.6851475720129949E-3</v>
          </cell>
          <cell r="Q104">
            <v>-3.1298013323604601E-2</v>
          </cell>
          <cell r="R104">
            <v>-5.7745602123733253E-3</v>
          </cell>
          <cell r="S104">
            <v>-3.0387425963964931E-2</v>
          </cell>
        </row>
        <row r="105">
          <cell r="O105">
            <v>2.2604909853345401E-3</v>
          </cell>
          <cell r="P105">
            <v>8.2365093403367062E-3</v>
          </cell>
          <cell r="Q105">
            <v>2.9749474883188354E-2</v>
          </cell>
          <cell r="R105">
            <v>5.9760183550021662E-3</v>
          </cell>
          <cell r="S105">
            <v>2.7488983897853814E-2</v>
          </cell>
        </row>
        <row r="106">
          <cell r="O106">
            <v>1.0262168533272664E-3</v>
          </cell>
          <cell r="P106">
            <v>1.4968260558051671E-2</v>
          </cell>
          <cell r="Q106">
            <v>4.4595759864410889E-2</v>
          </cell>
          <cell r="R106">
            <v>1.3942043704724405E-2</v>
          </cell>
          <cell r="S106">
            <v>4.3569543011083622E-2</v>
          </cell>
        </row>
        <row r="107">
          <cell r="O107">
            <v>9.3212759439986748E-4</v>
          </cell>
          <cell r="P107">
            <v>-2.8776747035942352E-3</v>
          </cell>
          <cell r="Q107">
            <v>2.804946087194149E-2</v>
          </cell>
          <cell r="R107">
            <v>-3.8098022979941026E-3</v>
          </cell>
          <cell r="S107">
            <v>2.7117333277541622E-2</v>
          </cell>
        </row>
        <row r="108">
          <cell r="O108">
            <v>-1.3626905157968494E-3</v>
          </cell>
          <cell r="P108">
            <v>-1.7959320051789129E-3</v>
          </cell>
          <cell r="Q108">
            <v>2.3562833299184183E-2</v>
          </cell>
          <cell r="R108">
            <v>-4.3324148938206353E-4</v>
          </cell>
          <cell r="S108">
            <v>2.4925523814981032E-2</v>
          </cell>
        </row>
        <row r="109">
          <cell r="O109">
            <v>1.5814379055123506E-3</v>
          </cell>
          <cell r="P109">
            <v>1.7841252744521308E-2</v>
          </cell>
          <cell r="Q109">
            <v>-3.5582895107013734E-2</v>
          </cell>
          <cell r="R109">
            <v>1.6259814839008957E-2</v>
          </cell>
          <cell r="S109">
            <v>-3.7164333012526085E-2</v>
          </cell>
        </row>
        <row r="110">
          <cell r="O110">
            <v>9.038801092022819E-4</v>
          </cell>
          <cell r="P110">
            <v>1.0973285355480922E-2</v>
          </cell>
          <cell r="Q110">
            <v>4.3117037568930705E-2</v>
          </cell>
          <cell r="R110">
            <v>1.006940524627864E-2</v>
          </cell>
          <cell r="S110">
            <v>4.2213157459728423E-2</v>
          </cell>
        </row>
        <row r="111">
          <cell r="O111">
            <v>-1.107151021881192E-3</v>
          </cell>
          <cell r="P111">
            <v>7.1137327652026627E-4</v>
          </cell>
          <cell r="Q111">
            <v>6.9321573583585039E-3</v>
          </cell>
          <cell r="R111">
            <v>1.8185242984014582E-3</v>
          </cell>
          <cell r="S111">
            <v>8.0393083802396959E-3</v>
          </cell>
        </row>
        <row r="112">
          <cell r="O112">
            <v>1.3240910027578767E-3</v>
          </cell>
          <cell r="P112">
            <v>1.1659515749116389E-2</v>
          </cell>
          <cell r="Q112">
            <v>6.2007968638175814E-3</v>
          </cell>
          <cell r="R112">
            <v>1.0335424746358512E-2</v>
          </cell>
          <cell r="S112">
            <v>4.8767058610597047E-3</v>
          </cell>
        </row>
        <row r="113">
          <cell r="O113">
            <v>1.8372645950004429E-3</v>
          </cell>
          <cell r="P113">
            <v>1.529301775138503E-2</v>
          </cell>
          <cell r="Q113">
            <v>2.1030282120013677E-2</v>
          </cell>
          <cell r="R113">
            <v>1.3455753156384587E-2</v>
          </cell>
          <cell r="S113">
            <v>1.9193017525013234E-2</v>
          </cell>
        </row>
        <row r="114">
          <cell r="O114">
            <v>-4.440508980227964E-4</v>
          </cell>
          <cell r="P114">
            <v>1.6740210267067734E-3</v>
          </cell>
          <cell r="Q114">
            <v>1.9058313448431896E-2</v>
          </cell>
          <cell r="R114">
            <v>2.1180719247295698E-3</v>
          </cell>
          <cell r="S114">
            <v>1.9502364346454693E-2</v>
          </cell>
        </row>
        <row r="115">
          <cell r="O115">
            <v>-7.8093230899733967E-4</v>
          </cell>
          <cell r="P115">
            <v>-1.1757998723708196E-3</v>
          </cell>
          <cell r="Q115">
            <v>-1.5079863077291922E-2</v>
          </cell>
          <cell r="R115">
            <v>-3.9486756337347995E-4</v>
          </cell>
          <cell r="S115">
            <v>-1.4298930768294582E-2</v>
          </cell>
        </row>
        <row r="116">
          <cell r="O116">
            <v>1.667232621397341E-3</v>
          </cell>
          <cell r="P116">
            <v>1.4268707223337396E-2</v>
          </cell>
          <cell r="Q116">
            <v>3.7655321727690261E-2</v>
          </cell>
          <cell r="R116">
            <v>1.2601474601940055E-2</v>
          </cell>
          <cell r="S116">
            <v>3.598808910629292E-2</v>
          </cell>
        </row>
        <row r="117">
          <cell r="O117">
            <v>-5.5918784954711587E-4</v>
          </cell>
          <cell r="P117">
            <v>-1.2431832190915149E-2</v>
          </cell>
          <cell r="Q117">
            <v>-1.5513859147336717E-2</v>
          </cell>
          <cell r="R117">
            <v>-1.1872644341368033E-2</v>
          </cell>
          <cell r="S117">
            <v>-1.4954671297789601E-2</v>
          </cell>
        </row>
        <row r="118">
          <cell r="O118">
            <v>2.7450503856620845E-3</v>
          </cell>
          <cell r="P118">
            <v>9.3323015351907124E-3</v>
          </cell>
          <cell r="Q118">
            <v>2.3201456175308888E-2</v>
          </cell>
          <cell r="R118">
            <v>6.5872511495286279E-3</v>
          </cell>
          <cell r="S118">
            <v>2.0456405789646803E-2</v>
          </cell>
        </row>
        <row r="119">
          <cell r="O119">
            <v>1.443744948854242E-3</v>
          </cell>
          <cell r="P119">
            <v>6.3511658001995652E-3</v>
          </cell>
          <cell r="Q119">
            <v>2.4533584400783015E-2</v>
          </cell>
          <cell r="R119">
            <v>4.9074208513453232E-3</v>
          </cell>
          <cell r="S119">
            <v>2.3089839451928773E-2</v>
          </cell>
        </row>
        <row r="120">
          <cell r="O120">
            <v>-2.4358542422430185E-3</v>
          </cell>
          <cell r="P120">
            <v>-1.4009665553383899E-3</v>
          </cell>
          <cell r="Q120">
            <v>-4.1885120625277938E-3</v>
          </cell>
          <cell r="R120">
            <v>1.0348876869046286E-3</v>
          </cell>
          <cell r="S120">
            <v>-1.7526578202847753E-3</v>
          </cell>
        </row>
        <row r="121">
          <cell r="O121">
            <v>5.0476709937821163E-3</v>
          </cell>
          <cell r="P121">
            <v>2.7403604776210955E-2</v>
          </cell>
          <cell r="Q121">
            <v>-3.1040847054252363E-2</v>
          </cell>
          <cell r="R121">
            <v>2.2355933782428838E-2</v>
          </cell>
          <cell r="S121">
            <v>-3.6088518048034479E-2</v>
          </cell>
        </row>
        <row r="122">
          <cell r="O122">
            <v>-2.1577567665429509E-3</v>
          </cell>
          <cell r="P122">
            <v>-8.3607142066883799E-3</v>
          </cell>
          <cell r="Q122">
            <v>5.4892505726845675E-2</v>
          </cell>
          <cell r="R122">
            <v>-6.202957440145429E-3</v>
          </cell>
          <cell r="S122">
            <v>5.7050262493388626E-2</v>
          </cell>
        </row>
        <row r="123">
          <cell r="O123">
            <v>2.3251483239266069E-3</v>
          </cell>
          <cell r="P123">
            <v>3.7165680952275792E-3</v>
          </cell>
          <cell r="Q123">
            <v>-1.7396056070325572E-2</v>
          </cell>
          <cell r="R123">
            <v>1.3914197713009724E-3</v>
          </cell>
          <cell r="S123">
            <v>-1.9721204394252179E-2</v>
          </cell>
        </row>
        <row r="124">
          <cell r="O124">
            <v>4.5665826855323388E-4</v>
          </cell>
          <cell r="P124">
            <v>-5.341883159823646E-3</v>
          </cell>
          <cell r="Q124">
            <v>8.5207627098153882E-3</v>
          </cell>
          <cell r="R124">
            <v>-5.7985414283768799E-3</v>
          </cell>
          <cell r="S124">
            <v>8.0641044412621543E-3</v>
          </cell>
        </row>
        <row r="125">
          <cell r="O125">
            <v>7.428156879896175E-4</v>
          </cell>
          <cell r="P125">
            <v>-5.0527397229136461E-3</v>
          </cell>
          <cell r="Q125">
            <v>1.0491438545008114E-2</v>
          </cell>
          <cell r="R125">
            <v>-5.7955554109032636E-3</v>
          </cell>
          <cell r="S125">
            <v>9.7486228570184963E-3</v>
          </cell>
        </row>
        <row r="126">
          <cell r="O126">
            <v>2.5320231558723094E-4</v>
          </cell>
          <cell r="P126">
            <v>-1.639343013945227E-2</v>
          </cell>
          <cell r="Q126">
            <v>-2.10117728564716E-2</v>
          </cell>
          <cell r="R126">
            <v>-1.6646632455039501E-2</v>
          </cell>
          <cell r="S126">
            <v>-2.1264975172058831E-2</v>
          </cell>
        </row>
        <row r="127">
          <cell r="O127">
            <v>5.2014702822655856E-4</v>
          </cell>
          <cell r="P127">
            <v>5.3891014886802147E-3</v>
          </cell>
          <cell r="Q127">
            <v>1.9742039930008559E-2</v>
          </cell>
          <cell r="R127">
            <v>4.8689544604536561E-3</v>
          </cell>
          <cell r="S127">
            <v>1.9221892901782001E-2</v>
          </cell>
        </row>
        <row r="128">
          <cell r="O128">
            <v>-4.245659030255311E-4</v>
          </cell>
          <cell r="P128">
            <v>-6.7093163473843642E-3</v>
          </cell>
          <cell r="Q128">
            <v>-6.258080462392579E-2</v>
          </cell>
          <cell r="R128">
            <v>-6.2847504443588331E-3</v>
          </cell>
          <cell r="S128">
            <v>-6.2156238720900259E-2</v>
          </cell>
        </row>
        <row r="129">
          <cell r="O129">
            <v>3.025233393722182E-3</v>
          </cell>
          <cell r="P129">
            <v>5.2409861317948003E-3</v>
          </cell>
          <cell r="Q129">
            <v>-2.6442819620927094E-2</v>
          </cell>
          <cell r="R129">
            <v>2.2157527380726183E-3</v>
          </cell>
          <cell r="S129">
            <v>-2.9468053014649276E-2</v>
          </cell>
        </row>
        <row r="130">
          <cell r="O130">
            <v>-9.7742671460165909E-4</v>
          </cell>
          <cell r="P130">
            <v>5.3601883874283551E-3</v>
          </cell>
          <cell r="Q130">
            <v>8.2983078389400333E-2</v>
          </cell>
          <cell r="R130">
            <v>6.3376151020300142E-3</v>
          </cell>
          <cell r="S130">
            <v>8.3960505104001992E-2</v>
          </cell>
        </row>
        <row r="131">
          <cell r="O131">
            <v>-2.4550406621516307E-3</v>
          </cell>
          <cell r="P131">
            <v>-2.2383480101869635E-3</v>
          </cell>
          <cell r="Q131">
            <v>5.0496306555847248E-4</v>
          </cell>
          <cell r="R131">
            <v>2.1669265196466725E-4</v>
          </cell>
          <cell r="S131">
            <v>2.9600037277101032E-3</v>
          </cell>
        </row>
        <row r="132">
          <cell r="O132">
            <v>-9.365642487412229E-4</v>
          </cell>
          <cell r="P132">
            <v>-8.6713379184790718E-3</v>
          </cell>
          <cell r="Q132">
            <v>-1.7530198374358763E-2</v>
          </cell>
          <cell r="R132">
            <v>-7.7347736697378489E-3</v>
          </cell>
          <cell r="S132">
            <v>-1.659363412561754E-2</v>
          </cell>
        </row>
        <row r="133">
          <cell r="O133">
            <v>6.0925064514252281E-3</v>
          </cell>
          <cell r="P133">
            <v>4.3871656211247334E-3</v>
          </cell>
          <cell r="Q133">
            <v>-5.0735344481736222E-2</v>
          </cell>
          <cell r="R133">
            <v>-1.7053408303004947E-3</v>
          </cell>
          <cell r="S133">
            <v>-5.682785093316145E-2</v>
          </cell>
        </row>
        <row r="134">
          <cell r="O134">
            <v>1.1526283550027383E-3</v>
          </cell>
          <cell r="P134">
            <v>7.3469230175275957E-3</v>
          </cell>
          <cell r="Q134">
            <v>-4.1283552550199776E-3</v>
          </cell>
          <cell r="R134">
            <v>6.1942946625248574E-3</v>
          </cell>
          <cell r="S134">
            <v>-5.2809836100227159E-3</v>
          </cell>
        </row>
        <row r="135">
          <cell r="O135">
            <v>1.7450488010437581E-3</v>
          </cell>
          <cell r="P135">
            <v>2.7141723803574269E-2</v>
          </cell>
          <cell r="Q135">
            <v>6.5991108718941094E-2</v>
          </cell>
          <cell r="R135">
            <v>2.5396675002530511E-2</v>
          </cell>
          <cell r="S135">
            <v>6.4246059917897336E-2</v>
          </cell>
        </row>
        <row r="136">
          <cell r="O136">
            <v>3.6216580311787538E-4</v>
          </cell>
          <cell r="P136">
            <v>1.3602736367879897E-2</v>
          </cell>
          <cell r="Q136">
            <v>2.69936982337593E-3</v>
          </cell>
          <cell r="R136">
            <v>1.3240570564762022E-2</v>
          </cell>
          <cell r="S136">
            <v>2.3372040202580546E-3</v>
          </cell>
        </row>
        <row r="137">
          <cell r="O137">
            <v>-1.0628856830331435E-3</v>
          </cell>
          <cell r="P137">
            <v>-6.4936379649593867E-4</v>
          </cell>
          <cell r="Q137">
            <v>1.5329492083474561E-2</v>
          </cell>
          <cell r="R137">
            <v>4.1352188653720479E-4</v>
          </cell>
          <cell r="S137">
            <v>1.6392377766507704E-2</v>
          </cell>
        </row>
        <row r="138">
          <cell r="O138">
            <v>5.9906889937983987E-3</v>
          </cell>
          <cell r="P138">
            <v>2.179508100404437E-2</v>
          </cell>
          <cell r="Q138">
            <v>9.0607355409733081E-4</v>
          </cell>
          <cell r="R138">
            <v>1.5804392010245971E-2</v>
          </cell>
          <cell r="S138">
            <v>-5.0846154397010679E-3</v>
          </cell>
        </row>
        <row r="139">
          <cell r="O139">
            <v>-5.7077088298329581E-4</v>
          </cell>
          <cell r="P139">
            <v>1.4501917690883159E-2</v>
          </cell>
          <cell r="Q139">
            <v>3.5609807228685897E-2</v>
          </cell>
          <cell r="R139">
            <v>1.5072688573866455E-2</v>
          </cell>
          <cell r="S139">
            <v>3.6180578111669193E-2</v>
          </cell>
        </row>
        <row r="140">
          <cell r="O140">
            <v>-1.6602050811351798E-3</v>
          </cell>
          <cell r="P140">
            <v>2.7415164014816806E-3</v>
          </cell>
          <cell r="Q140">
            <v>-1.2191755612808164E-3</v>
          </cell>
          <cell r="R140">
            <v>4.4017214826168605E-3</v>
          </cell>
          <cell r="S140">
            <v>4.4102951985436345E-4</v>
          </cell>
        </row>
        <row r="141">
          <cell r="O141">
            <v>1.1621035875981622E-3</v>
          </cell>
          <cell r="P141">
            <v>-2.8800244945604847E-3</v>
          </cell>
          <cell r="Q141">
            <v>-1.2344825997834263E-3</v>
          </cell>
          <cell r="R141">
            <v>-4.0421280821586469E-3</v>
          </cell>
          <cell r="S141">
            <v>-2.3965861873815886E-3</v>
          </cell>
        </row>
        <row r="142">
          <cell r="O142">
            <v>-6.6904014583524241E-4</v>
          </cell>
          <cell r="P142">
            <v>-8.2772866137545975E-3</v>
          </cell>
          <cell r="Q142">
            <v>-1.9425625037472249E-2</v>
          </cell>
          <cell r="R142">
            <v>-7.6082464679193551E-3</v>
          </cell>
          <cell r="S142">
            <v>-1.8756584891637007E-2</v>
          </cell>
        </row>
        <row r="143">
          <cell r="O143">
            <v>-3.9680668767997362E-3</v>
          </cell>
          <cell r="P143">
            <v>-2.6791531353187459E-2</v>
          </cell>
          <cell r="Q143">
            <v>3.4174446769983158E-2</v>
          </cell>
          <cell r="R143">
            <v>-2.2823464476387723E-2</v>
          </cell>
          <cell r="S143">
            <v>3.8142513646782894E-2</v>
          </cell>
        </row>
        <row r="144">
          <cell r="O144">
            <v>2.9691875786408417E-4</v>
          </cell>
          <cell r="P144">
            <v>6.2562737648186317E-3</v>
          </cell>
          <cell r="Q144">
            <v>1.8200754044233047E-2</v>
          </cell>
          <cell r="R144">
            <v>5.9593550069545476E-3</v>
          </cell>
          <cell r="S144">
            <v>1.7903835286368963E-2</v>
          </cell>
        </row>
        <row r="145">
          <cell r="O145">
            <v>1.2595942970663465E-3</v>
          </cell>
          <cell r="P145">
            <v>4.1011262270076454E-3</v>
          </cell>
          <cell r="Q145">
            <v>1.7884341374735824E-2</v>
          </cell>
          <cell r="R145">
            <v>2.8415319299412989E-3</v>
          </cell>
          <cell r="S145">
            <v>1.6624747077669477E-2</v>
          </cell>
        </row>
        <row r="146">
          <cell r="O146">
            <v>1.0199846529690415E-3</v>
          </cell>
          <cell r="P146">
            <v>1.1310662928395665E-2</v>
          </cell>
          <cell r="Q146">
            <v>3.7198260541408734E-2</v>
          </cell>
          <cell r="R146">
            <v>1.0290678275426624E-2</v>
          </cell>
          <cell r="S146">
            <v>3.6178275888439693E-2</v>
          </cell>
        </row>
        <row r="147">
          <cell r="O147">
            <v>3.210493334364628E-4</v>
          </cell>
          <cell r="P147">
            <v>-1.2306723182694546E-3</v>
          </cell>
          <cell r="Q147">
            <v>-3.8923017041514463E-4</v>
          </cell>
          <cell r="R147">
            <v>-1.5517216517059174E-3</v>
          </cell>
          <cell r="S147">
            <v>-7.1027950385160743E-4</v>
          </cell>
        </row>
        <row r="148">
          <cell r="O148">
            <v>1.3859044506840945E-3</v>
          </cell>
          <cell r="P148">
            <v>9.9762185769320944E-3</v>
          </cell>
          <cell r="Q148">
            <v>9.0912169025529899E-3</v>
          </cell>
          <cell r="R148">
            <v>8.5903141262479998E-3</v>
          </cell>
          <cell r="S148">
            <v>7.7053124518688954E-3</v>
          </cell>
        </row>
        <row r="149">
          <cell r="O149">
            <v>1.1568926377922839E-3</v>
          </cell>
          <cell r="P149">
            <v>1.1623927349114549E-2</v>
          </cell>
          <cell r="Q149">
            <v>1.1576210049492719E-2</v>
          </cell>
          <cell r="R149">
            <v>1.0467034711322265E-2</v>
          </cell>
          <cell r="S149">
            <v>1.0419317411700435E-2</v>
          </cell>
        </row>
        <row r="150">
          <cell r="O150">
            <v>-8.0204131069117057E-4</v>
          </cell>
          <cell r="P150">
            <v>2.4540228281686449E-3</v>
          </cell>
          <cell r="Q150">
            <v>4.8138319927024664E-3</v>
          </cell>
          <cell r="R150">
            <v>3.2560641388598155E-3</v>
          </cell>
          <cell r="S150">
            <v>5.615873303393637E-3</v>
          </cell>
        </row>
        <row r="151">
          <cell r="O151">
            <v>2.1296426380839062E-3</v>
          </cell>
          <cell r="P151">
            <v>7.4729816467542509E-3</v>
          </cell>
          <cell r="Q151">
            <v>1.9348768883515444E-2</v>
          </cell>
          <cell r="R151">
            <v>5.3433390086703447E-3</v>
          </cell>
          <cell r="S151">
            <v>1.7219126245431537E-2</v>
          </cell>
        </row>
        <row r="152">
          <cell r="O152">
            <v>1.8943117647360896E-3</v>
          </cell>
          <cell r="P152">
            <v>8.4693578904266875E-3</v>
          </cell>
          <cell r="Q152">
            <v>5.4649232886694321E-4</v>
          </cell>
          <cell r="R152">
            <v>6.5750461256905979E-3</v>
          </cell>
          <cell r="S152">
            <v>-1.3478194358691464E-3</v>
          </cell>
        </row>
      </sheetData>
      <sheetData sheetId="5"/>
      <sheetData sheetId="6">
        <row r="1">
          <cell r="B1">
            <v>-3.5</v>
          </cell>
        </row>
        <row r="2">
          <cell r="B2">
            <v>3.5</v>
          </cell>
        </row>
      </sheetData>
    </sheetDataSet>
  </externalBook>
</externalLink>
</file>

<file path=xl/theme/theme1.xml><?xml version="1.0" encoding="utf-8"?>
<a:theme xmlns:a="http://schemas.openxmlformats.org/drawingml/2006/main" name="Office Theme">
  <a:themeElements>
    <a:clrScheme name="JPMAM 2016">
      <a:dk1>
        <a:srgbClr val="000000"/>
      </a:dk1>
      <a:lt1>
        <a:srgbClr val="FFFFFF"/>
      </a:lt1>
      <a:dk2>
        <a:srgbClr val="63666A"/>
      </a:dk2>
      <a:lt2>
        <a:srgbClr val="ED8B00"/>
      </a:lt2>
      <a:accent1>
        <a:srgbClr val="91897E"/>
      </a:accent1>
      <a:accent2>
        <a:srgbClr val="006496"/>
      </a:accent2>
      <a:accent3>
        <a:srgbClr val="582C83"/>
      </a:accent3>
      <a:accent4>
        <a:srgbClr val="828838"/>
      </a:accent4>
      <a:accent5>
        <a:srgbClr val="373741"/>
      </a:accent5>
      <a:accent6>
        <a:srgbClr val="649099"/>
      </a:accent6>
      <a:hlink>
        <a:srgbClr val="A89968"/>
      </a:hlink>
      <a:folHlink>
        <a:srgbClr val="F6BE00"/>
      </a:folHlink>
    </a:clrScheme>
    <a:fontScheme name="JPMAM 2016">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8D766-AD38-4A64-BC7B-19688EC9F00A}">
  <sheetPr codeName="Sheet2"/>
  <dimension ref="B1"/>
  <sheetViews>
    <sheetView showGridLines="0" zoomScale="75" zoomScaleNormal="75" workbookViewId="0">
      <selection activeCell="G26" sqref="G26"/>
    </sheetView>
  </sheetViews>
  <sheetFormatPr baseColWidth="10" defaultColWidth="9" defaultRowHeight="14"/>
  <cols>
    <col min="1" max="2" width="9" customWidth="1"/>
  </cols>
  <sheetData>
    <row r="1" spans="2:2">
      <c r="B1" s="1"/>
    </row>
  </sheetData>
  <sheetProtection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503"/>
  <sheetViews>
    <sheetView showGridLines="0" tabSelected="1" zoomScale="75" zoomScaleNormal="75" workbookViewId="0">
      <selection activeCell="C6" sqref="C6"/>
    </sheetView>
  </sheetViews>
  <sheetFormatPr baseColWidth="10" defaultColWidth="9" defaultRowHeight="14"/>
  <cols>
    <col min="1" max="1" width="9" style="2"/>
    <col min="2" max="2" width="10.6640625" style="2" bestFit="1" customWidth="1"/>
    <col min="3" max="12" width="10.6640625" style="2" customWidth="1"/>
    <col min="13" max="15" width="9" style="2" customWidth="1"/>
    <col min="16" max="16" width="9" style="2"/>
    <col min="17" max="26" width="10.6640625" style="2" customWidth="1"/>
    <col min="27" max="16384" width="9" style="2"/>
  </cols>
  <sheetData>
    <row r="1" spans="1:26">
      <c r="Q1" s="18">
        <v>1</v>
      </c>
      <c r="R1" s="18">
        <v>2</v>
      </c>
      <c r="S1" s="18">
        <v>3</v>
      </c>
      <c r="T1" s="18">
        <v>4</v>
      </c>
      <c r="U1" s="18">
        <v>5</v>
      </c>
      <c r="V1" s="18">
        <v>6</v>
      </c>
      <c r="W1" s="18">
        <v>7</v>
      </c>
      <c r="X1" s="18">
        <v>8</v>
      </c>
      <c r="Y1" s="18">
        <v>9</v>
      </c>
      <c r="Z1" s="18">
        <v>10</v>
      </c>
    </row>
    <row r="2" spans="1:26">
      <c r="B2" s="10" t="s">
        <v>17</v>
      </c>
      <c r="C2" s="10"/>
      <c r="D2" s="10"/>
      <c r="E2" s="10"/>
      <c r="F2" s="10"/>
      <c r="G2" s="10"/>
      <c r="H2" s="10"/>
      <c r="I2" s="10"/>
      <c r="J2" s="10"/>
      <c r="K2" s="10"/>
      <c r="L2" s="10"/>
      <c r="P2" s="17" t="s">
        <v>9</v>
      </c>
      <c r="Q2" s="17"/>
      <c r="R2" s="17"/>
      <c r="S2" s="17"/>
      <c r="T2" s="17"/>
      <c r="U2" s="17"/>
      <c r="V2" s="17"/>
      <c r="W2" s="17"/>
      <c r="X2" s="17"/>
      <c r="Y2" s="17"/>
      <c r="Z2" s="17"/>
    </row>
    <row r="3" spans="1:26">
      <c r="B3" s="9" t="s">
        <v>6</v>
      </c>
      <c r="C3" s="9" t="str">
        <f t="array" ref="C3:L3">assetnames</f>
        <v>US.CASH</v>
      </c>
      <c r="D3" s="9" t="str">
        <v>US.GOVT.13</v>
      </c>
      <c r="E3" s="9" t="str">
        <v>US.AGCY.13</v>
      </c>
      <c r="F3" s="9" t="str">
        <v>US.CORP.13</v>
      </c>
      <c r="G3" s="9" t="str">
        <v>US.GOVT</v>
      </c>
      <c r="H3" s="9" t="str">
        <v>US.AGCY</v>
      </c>
      <c r="I3" s="9" t="str">
        <v>US.CORP</v>
      </c>
      <c r="J3" s="9" t="str">
        <v>US.EQ</v>
      </c>
      <c r="K3" s="9" t="str">
        <v>GL.EQ</v>
      </c>
      <c r="L3" s="9" t="str">
        <v>GOLD</v>
      </c>
      <c r="N3" s="16" t="s">
        <v>8</v>
      </c>
      <c r="P3" s="9" t="s">
        <v>6</v>
      </c>
      <c r="Q3" s="9" t="str">
        <f t="array" ref="Q3:Z3">assetnames</f>
        <v>US.CASH</v>
      </c>
      <c r="R3" s="9" t="str">
        <v>US.GOVT.13</v>
      </c>
      <c r="S3" s="9" t="str">
        <v>US.AGCY.13</v>
      </c>
      <c r="T3" s="9" t="str">
        <v>US.CORP.13</v>
      </c>
      <c r="U3" s="9" t="str">
        <v>US.GOVT</v>
      </c>
      <c r="V3" s="9" t="str">
        <v>US.AGCY</v>
      </c>
      <c r="W3" s="9" t="str">
        <v>US.CORP</v>
      </c>
      <c r="X3" s="9" t="str">
        <v>US.EQ</v>
      </c>
      <c r="Y3" s="9" t="str">
        <v>GL.EQ</v>
      </c>
      <c r="Z3" s="9" t="str">
        <v>GOLD</v>
      </c>
    </row>
    <row r="4" spans="1:26">
      <c r="A4" s="13">
        <v>1</v>
      </c>
      <c r="B4" s="11">
        <f t="array" ref="B4:B134">histdates</f>
        <v>41243</v>
      </c>
      <c r="C4" s="12">
        <f t="array" ref="C4:L134">histrets</f>
        <v>8.8750000000000002E-5</v>
      </c>
      <c r="D4" s="12">
        <v>8.9025510352636061E-4</v>
      </c>
      <c r="E4" s="12">
        <v>7.4010668307344929E-4</v>
      </c>
      <c r="F4" s="12">
        <v>8.6192379333893676E-4</v>
      </c>
      <c r="G4" s="12">
        <v>5.7531373731054547E-3</v>
      </c>
      <c r="H4" s="12">
        <v>3.7147171217664088E-3</v>
      </c>
      <c r="I4" s="12">
        <v>-8.2135255640869431E-4</v>
      </c>
      <c r="J4" s="12">
        <v>2.8467029231815655E-3</v>
      </c>
      <c r="K4" s="12">
        <v>1.0733603786342139E-2</v>
      </c>
      <c r="L4" s="12">
        <v>-3.2952663237730828E-3</v>
      </c>
      <c r="M4" s="13">
        <v>1</v>
      </c>
      <c r="N4" s="15">
        <f t="shared" ref="N4:N67" ca="1" si="0">RANDBETWEEN(1,numobs)</f>
        <v>111</v>
      </c>
      <c r="O4" s="13">
        <v>1</v>
      </c>
      <c r="P4" s="19">
        <f t="shared" ref="P4:P67" ca="1" si="1">INDEX(histdates,N4,1)</f>
        <v>44592</v>
      </c>
      <c r="Q4" s="12">
        <f t="shared" ref="Q4:Z13" ca="1" si="2">INDEX(histrets,$N4,Q$1)</f>
        <v>2.5333333333333334E-5</v>
      </c>
      <c r="R4" s="12">
        <f t="shared" ca="1" si="2"/>
        <v>-6.5472663058070424E-3</v>
      </c>
      <c r="S4" s="12">
        <f t="shared" ca="1" si="2"/>
        <v>-6.7111001230306666E-3</v>
      </c>
      <c r="T4" s="12">
        <f t="shared" ca="1" si="2"/>
        <v>-7.4958829530974436E-3</v>
      </c>
      <c r="U4" s="12">
        <f t="shared" ca="1" si="2"/>
        <v>-1.8864479239942833E-2</v>
      </c>
      <c r="V4" s="12">
        <f t="shared" ca="1" si="2"/>
        <v>-1.2502210150905135E-2</v>
      </c>
      <c r="W4" s="12">
        <f t="shared" ca="1" si="2"/>
        <v>-3.124768304575265E-2</v>
      </c>
      <c r="X4" s="12">
        <f t="shared" ca="1" si="2"/>
        <v>-5.2585089106999772E-2</v>
      </c>
      <c r="Y4" s="12">
        <f t="shared" ca="1" si="2"/>
        <v>-5.343268156683878E-2</v>
      </c>
      <c r="Z4" s="12">
        <f t="shared" ca="1" si="2"/>
        <v>-1.7510387054450072E-2</v>
      </c>
    </row>
    <row r="5" spans="1:26">
      <c r="A5" s="13">
        <v>2</v>
      </c>
      <c r="B5" s="11">
        <v>41274</v>
      </c>
      <c r="C5" s="12">
        <v>6.3416666666666672E-5</v>
      </c>
      <c r="D5" s="12">
        <v>3.3762579425800077E-4</v>
      </c>
      <c r="E5" s="12">
        <v>5.5201947805216811E-4</v>
      </c>
      <c r="F5" s="12">
        <v>1.9529105173961003E-3</v>
      </c>
      <c r="G5" s="12">
        <v>-4.9419567051486313E-3</v>
      </c>
      <c r="H5" s="12">
        <v>-1.6410959913608636E-3</v>
      </c>
      <c r="I5" s="12">
        <v>-1.9428262162357601E-4</v>
      </c>
      <c r="J5" s="12">
        <v>7.0683105254980561E-3</v>
      </c>
      <c r="K5" s="12">
        <v>1.7491581083854735E-2</v>
      </c>
      <c r="L5" s="12">
        <v>-2.3108141202812904E-2</v>
      </c>
      <c r="M5" s="13">
        <v>2</v>
      </c>
      <c r="N5" s="15">
        <f t="shared" ca="1" si="0"/>
        <v>89</v>
      </c>
      <c r="O5" s="13">
        <v>2</v>
      </c>
      <c r="P5" s="19">
        <f t="shared" ca="1" si="1"/>
        <v>43921</v>
      </c>
      <c r="Q5" s="12">
        <f t="shared" ca="1" si="2"/>
        <v>1.0558333333333333E-3</v>
      </c>
      <c r="R5" s="12">
        <f t="shared" ca="1" si="2"/>
        <v>1.3718685826674903E-2</v>
      </c>
      <c r="S5" s="12">
        <f t="shared" ca="1" si="2"/>
        <v>8.1095810185372041E-3</v>
      </c>
      <c r="T5" s="12">
        <f t="shared" ca="1" si="2"/>
        <v>-2.7939758182719765E-2</v>
      </c>
      <c r="U5" s="12">
        <f t="shared" ca="1" si="2"/>
        <v>3.2641882382009157E-2</v>
      </c>
      <c r="V5" s="12">
        <f t="shared" ca="1" si="2"/>
        <v>9.480625065106052E-3</v>
      </c>
      <c r="W5" s="12">
        <f t="shared" ca="1" si="2"/>
        <v>-7.4740274503774518E-2</v>
      </c>
      <c r="X5" s="12">
        <f t="shared" ca="1" si="2"/>
        <v>-0.12511932083595656</v>
      </c>
      <c r="Y5" s="12">
        <f t="shared" ca="1" si="2"/>
        <v>-0.13469118965774918</v>
      </c>
      <c r="Z5" s="12">
        <f t="shared" ca="1" si="2"/>
        <v>-5.366748860117676E-3</v>
      </c>
    </row>
    <row r="6" spans="1:26">
      <c r="A6" s="13">
        <v>3</v>
      </c>
      <c r="B6" s="11">
        <v>41305</v>
      </c>
      <c r="C6" s="12">
        <v>3.3833333333333334E-5</v>
      </c>
      <c r="D6" s="12">
        <v>1.1015399528546688E-4</v>
      </c>
      <c r="E6" s="12">
        <v>2.6974540434498984E-4</v>
      </c>
      <c r="F6" s="12">
        <v>2.0272989942340391E-3</v>
      </c>
      <c r="G6" s="12">
        <v>-9.5016863564771903E-3</v>
      </c>
      <c r="H6" s="12">
        <v>-4.3280887137527868E-3</v>
      </c>
      <c r="I6" s="12">
        <v>-7.1759738369659987E-3</v>
      </c>
      <c r="J6" s="12">
        <v>5.0428063581991145E-2</v>
      </c>
      <c r="K6" s="12">
        <v>5.0033619723571121E-2</v>
      </c>
      <c r="L6" s="12">
        <v>-6.9537708538514043E-3</v>
      </c>
      <c r="M6" s="13">
        <v>3</v>
      </c>
      <c r="N6" s="15">
        <f t="shared" ca="1" si="0"/>
        <v>12</v>
      </c>
      <c r="O6" s="13">
        <v>3</v>
      </c>
      <c r="P6" s="19">
        <f t="shared" ca="1" si="1"/>
        <v>41578</v>
      </c>
      <c r="Q6" s="12">
        <f t="shared" ca="1" si="2"/>
        <v>4.25E-6</v>
      </c>
      <c r="R6" s="12">
        <f t="shared" ca="1" si="2"/>
        <v>1.0262168533272664E-3</v>
      </c>
      <c r="S6" s="12">
        <f t="shared" ca="1" si="2"/>
        <v>1.6937705168518224E-3</v>
      </c>
      <c r="T6" s="12">
        <f t="shared" ca="1" si="2"/>
        <v>3.8961680711877555E-3</v>
      </c>
      <c r="U6" s="12">
        <f t="shared" ca="1" si="2"/>
        <v>5.4804354642623565E-3</v>
      </c>
      <c r="V6" s="12">
        <f t="shared" ca="1" si="2"/>
        <v>4.7594010612186377E-3</v>
      </c>
      <c r="W6" s="12">
        <f t="shared" ca="1" si="2"/>
        <v>1.4968260558051671E-2</v>
      </c>
      <c r="X6" s="12">
        <f t="shared" ca="1" si="2"/>
        <v>4.4595759864410889E-2</v>
      </c>
      <c r="Y6" s="12">
        <f t="shared" ca="1" si="2"/>
        <v>3.8343687446150909E-2</v>
      </c>
      <c r="Z6" s="12">
        <f t="shared" ca="1" si="2"/>
        <v>-4.4919979232974638E-3</v>
      </c>
    </row>
    <row r="7" spans="1:26">
      <c r="A7" s="13">
        <v>4</v>
      </c>
      <c r="B7" s="11">
        <v>41333</v>
      </c>
      <c r="C7" s="12">
        <v>5.9166666666666664E-5</v>
      </c>
      <c r="D7" s="12">
        <v>8.3091021235359719E-4</v>
      </c>
      <c r="E7" s="12">
        <v>2.998173395447612E-4</v>
      </c>
      <c r="F7" s="12">
        <v>2.2266045016940961E-3</v>
      </c>
      <c r="G7" s="12">
        <v>5.9378731064057E-3</v>
      </c>
      <c r="H7" s="12">
        <v>4.0838642808365133E-3</v>
      </c>
      <c r="I7" s="12">
        <v>7.0715896685218382E-3</v>
      </c>
      <c r="J7" s="12">
        <v>1.1060603026480154E-2</v>
      </c>
      <c r="K7" s="12">
        <v>-2.0633667029534841E-4</v>
      </c>
      <c r="L7" s="12">
        <v>-5.0543968263509154E-2</v>
      </c>
      <c r="M7" s="13">
        <v>4</v>
      </c>
      <c r="N7" s="15">
        <f t="shared" ca="1" si="0"/>
        <v>107</v>
      </c>
      <c r="O7" s="13">
        <v>4</v>
      </c>
      <c r="P7" s="19">
        <f t="shared" ca="1" si="1"/>
        <v>44469</v>
      </c>
      <c r="Q7" s="12">
        <f t="shared" ca="1" si="2"/>
        <v>2.9583333333333332E-5</v>
      </c>
      <c r="R7" s="12">
        <f t="shared" ca="1" si="2"/>
        <v>-1.0048513877685128E-3</v>
      </c>
      <c r="S7" s="12">
        <f t="shared" ca="1" si="2"/>
        <v>-7.6437253088035284E-4</v>
      </c>
      <c r="T7" s="12">
        <f t="shared" ca="1" si="2"/>
        <v>-2.8779840011450286E-4</v>
      </c>
      <c r="U7" s="12">
        <f t="shared" ca="1" si="2"/>
        <v>-1.2014615583012089E-2</v>
      </c>
      <c r="V7" s="12">
        <f t="shared" ca="1" si="2"/>
        <v>-6.0025556246581235E-3</v>
      </c>
      <c r="W7" s="12">
        <f t="shared" ca="1" si="2"/>
        <v>-1.0569251398916846E-2</v>
      </c>
      <c r="X7" s="12">
        <f t="shared" ca="1" si="2"/>
        <v>-4.7569140421166334E-2</v>
      </c>
      <c r="Y7" s="12">
        <f t="shared" ca="1" si="2"/>
        <v>-4.2895570375793834E-2</v>
      </c>
      <c r="Z7" s="12">
        <f t="shared" ca="1" si="2"/>
        <v>-3.124689846825679E-2</v>
      </c>
    </row>
    <row r="8" spans="1:26">
      <c r="A8" s="13">
        <v>5</v>
      </c>
      <c r="B8" s="11">
        <v>41362</v>
      </c>
      <c r="C8" s="12">
        <v>8.4500000000000008E-5</v>
      </c>
      <c r="D8" s="12">
        <v>2.3418729525115367E-4</v>
      </c>
      <c r="E8" s="12">
        <v>4.8135581072217271E-4</v>
      </c>
      <c r="F8" s="12">
        <v>1.2732568826077095E-3</v>
      </c>
      <c r="G8" s="12">
        <v>1.0737913451743797E-3</v>
      </c>
      <c r="H8" s="12">
        <v>7.7880569401389543E-4</v>
      </c>
      <c r="I8" s="12">
        <v>6.6103676205497841E-4</v>
      </c>
      <c r="J8" s="12">
        <v>3.5987799403174314E-2</v>
      </c>
      <c r="K8" s="12">
        <v>2.0872770748231462E-2</v>
      </c>
      <c r="L8" s="12">
        <v>1.1325580364773602E-2</v>
      </c>
      <c r="M8" s="13">
        <v>5</v>
      </c>
      <c r="N8" s="15">
        <f t="shared" ca="1" si="0"/>
        <v>100</v>
      </c>
      <c r="O8" s="13">
        <v>5</v>
      </c>
      <c r="P8" s="19">
        <f t="shared" ca="1" si="1"/>
        <v>44253</v>
      </c>
      <c r="Q8" s="12">
        <f t="shared" ca="1" si="2"/>
        <v>4.0166666666666669E-5</v>
      </c>
      <c r="R8" s="12">
        <f t="shared" ca="1" si="2"/>
        <v>-8.032788309566552E-4</v>
      </c>
      <c r="S8" s="12">
        <f t="shared" ca="1" si="2"/>
        <v>-6.6979138910350233E-4</v>
      </c>
      <c r="T8" s="12">
        <f t="shared" ca="1" si="2"/>
        <v>3.9661953240144321E-4</v>
      </c>
      <c r="U8" s="12">
        <f t="shared" ca="1" si="2"/>
        <v>-2.2862166673725981E-2</v>
      </c>
      <c r="V8" s="12">
        <f t="shared" ca="1" si="2"/>
        <v>-9.3254001979963252E-3</v>
      </c>
      <c r="W8" s="12">
        <f t="shared" ca="1" si="2"/>
        <v>-1.9555030410549623E-2</v>
      </c>
      <c r="X8" s="12">
        <f t="shared" ca="1" si="2"/>
        <v>2.6091474971999817E-2</v>
      </c>
      <c r="Y8" s="12">
        <f t="shared" ca="1" si="2"/>
        <v>2.4503229151403794E-2</v>
      </c>
      <c r="Z8" s="12">
        <f t="shared" ca="1" si="2"/>
        <v>-6.1488918355749211E-2</v>
      </c>
    </row>
    <row r="9" spans="1:26">
      <c r="A9" s="13">
        <v>6</v>
      </c>
      <c r="B9" s="11">
        <v>41394</v>
      </c>
      <c r="C9" s="12">
        <v>5.9166666666666664E-5</v>
      </c>
      <c r="D9" s="12">
        <v>1.0131070170205092E-3</v>
      </c>
      <c r="E9" s="12">
        <v>9.6550477745749319E-4</v>
      </c>
      <c r="F9" s="12">
        <v>3.0608544003447591E-3</v>
      </c>
      <c r="G9" s="12">
        <v>1.0531370167573773E-2</v>
      </c>
      <c r="H9" s="12">
        <v>4.8167506583127739E-3</v>
      </c>
      <c r="I9" s="12">
        <v>1.699892524977531E-2</v>
      </c>
      <c r="J9" s="12">
        <v>1.8085763992887971E-2</v>
      </c>
      <c r="K9" s="12">
        <v>2.9020362353695761E-2</v>
      </c>
      <c r="L9" s="12">
        <v>-7.5611893583724554E-2</v>
      </c>
      <c r="M9" s="13">
        <v>6</v>
      </c>
      <c r="N9" s="15">
        <f t="shared" ca="1" si="0"/>
        <v>31</v>
      </c>
      <c r="O9" s="13">
        <v>6</v>
      </c>
      <c r="P9" s="19">
        <f t="shared" ca="1" si="1"/>
        <v>42153</v>
      </c>
      <c r="Q9" s="12">
        <f t="shared" ca="1" si="2"/>
        <v>0</v>
      </c>
      <c r="R9" s="12">
        <f t="shared" ca="1" si="2"/>
        <v>7.428156879896175E-4</v>
      </c>
      <c r="S9" s="12">
        <f t="shared" ca="1" si="2"/>
        <v>6.6009191619720298E-4</v>
      </c>
      <c r="T9" s="12">
        <f t="shared" ca="1" si="2"/>
        <v>1.1060849460915456E-3</v>
      </c>
      <c r="U9" s="12">
        <f t="shared" ca="1" si="2"/>
        <v>-2.3382848175917958E-3</v>
      </c>
      <c r="V9" s="12">
        <f t="shared" ca="1" si="2"/>
        <v>-2.9557347784758825E-5</v>
      </c>
      <c r="W9" s="12">
        <f t="shared" ca="1" si="2"/>
        <v>-5.0527397229136461E-3</v>
      </c>
      <c r="X9" s="12">
        <f t="shared" ca="1" si="2"/>
        <v>1.0491438545008114E-2</v>
      </c>
      <c r="Y9" s="12">
        <f t="shared" ca="1" si="2"/>
        <v>5.1169590643262985E-4</v>
      </c>
      <c r="Z9" s="12">
        <f t="shared" ca="1" si="2"/>
        <v>5.2432939030877534E-3</v>
      </c>
    </row>
    <row r="10" spans="1:26">
      <c r="A10" s="13">
        <v>7</v>
      </c>
      <c r="B10" s="11">
        <v>41425</v>
      </c>
      <c r="C10" s="12">
        <v>3.8000000000000002E-5</v>
      </c>
      <c r="D10" s="12">
        <v>-1.4332694370678967E-3</v>
      </c>
      <c r="E10" s="12">
        <v>-1.2679342756223289E-3</v>
      </c>
      <c r="F10" s="12">
        <v>-1.2016687372311541E-3</v>
      </c>
      <c r="G10" s="12">
        <v>-2.0148458119876533E-2</v>
      </c>
      <c r="H10" s="12">
        <v>-1.1394651714774939E-2</v>
      </c>
      <c r="I10" s="12">
        <v>-2.2811171118688689E-2</v>
      </c>
      <c r="J10" s="12">
        <v>2.0762783477406455E-2</v>
      </c>
      <c r="K10" s="12">
        <v>-2.8520330049995879E-3</v>
      </c>
      <c r="L10" s="12">
        <v>-6.0208165448869533E-2</v>
      </c>
      <c r="M10" s="13">
        <v>7</v>
      </c>
      <c r="N10" s="15">
        <f t="shared" ca="1" si="0"/>
        <v>128</v>
      </c>
      <c r="O10" s="13">
        <v>7</v>
      </c>
      <c r="P10" s="19">
        <f t="shared" ca="1" si="1"/>
        <v>45107</v>
      </c>
      <c r="Q10" s="12">
        <f t="shared" ca="1" si="2"/>
        <v>4.4903333333333332E-3</v>
      </c>
      <c r="R10" s="12">
        <f t="shared" ca="1" si="2"/>
        <v>-4.8445195255588658E-3</v>
      </c>
      <c r="S10" s="12">
        <f t="shared" ca="1" si="2"/>
        <v>-1.3030179964843569E-3</v>
      </c>
      <c r="T10" s="12">
        <f t="shared" ca="1" si="2"/>
        <v>-1.368606954410323E-3</v>
      </c>
      <c r="U10" s="12">
        <f t="shared" ca="1" si="2"/>
        <v>-7.2523719399045783E-3</v>
      </c>
      <c r="V10" s="12">
        <f t="shared" ca="1" si="2"/>
        <v>-2.996004695004828E-3</v>
      </c>
      <c r="W10" s="12">
        <f t="shared" ca="1" si="2"/>
        <v>2.8447957469166507E-3</v>
      </c>
      <c r="X10" s="12">
        <f t="shared" ca="1" si="2"/>
        <v>6.4727512841431301E-2</v>
      </c>
      <c r="Y10" s="12">
        <f t="shared" ca="1" si="2"/>
        <v>5.9330990944668205E-2</v>
      </c>
      <c r="Z10" s="12">
        <f t="shared" ca="1" si="2"/>
        <v>-2.2101868316069972E-2</v>
      </c>
    </row>
    <row r="11" spans="1:26">
      <c r="A11" s="13">
        <v>8</v>
      </c>
      <c r="B11" s="11">
        <v>41453</v>
      </c>
      <c r="C11" s="12">
        <v>2.1083333333333332E-5</v>
      </c>
      <c r="D11" s="12">
        <v>-7.0885763849148908E-4</v>
      </c>
      <c r="E11" s="12">
        <v>-1.0936482084691335E-3</v>
      </c>
      <c r="F11" s="12">
        <v>-4.1132390946674313E-3</v>
      </c>
      <c r="G11" s="12">
        <v>-1.2550513797482843E-2</v>
      </c>
      <c r="H11" s="12">
        <v>-1.3296303543348209E-2</v>
      </c>
      <c r="I11" s="12">
        <v>-2.759722730309111E-2</v>
      </c>
      <c r="J11" s="12">
        <v>-1.499932545960736E-2</v>
      </c>
      <c r="K11" s="12">
        <v>-2.6074609526268278E-2</v>
      </c>
      <c r="L11" s="12">
        <v>-0.11044098573281447</v>
      </c>
      <c r="M11" s="13">
        <v>8</v>
      </c>
      <c r="N11" s="15">
        <f t="shared" ca="1" si="0"/>
        <v>95</v>
      </c>
      <c r="O11" s="13">
        <v>8</v>
      </c>
      <c r="P11" s="19">
        <f t="shared" ca="1" si="1"/>
        <v>44104</v>
      </c>
      <c r="Q11" s="12">
        <f t="shared" ca="1" si="2"/>
        <v>7.8166666666666665E-5</v>
      </c>
      <c r="R11" s="12">
        <f t="shared" ca="1" si="2"/>
        <v>2.7037860119394352E-4</v>
      </c>
      <c r="S11" s="12">
        <f t="shared" ca="1" si="2"/>
        <v>3.0931903851394438E-4</v>
      </c>
      <c r="T11" s="12">
        <f t="shared" ca="1" si="2"/>
        <v>-1.1885340045969528E-4</v>
      </c>
      <c r="U11" s="12">
        <f t="shared" ca="1" si="2"/>
        <v>1.8500889599100123E-3</v>
      </c>
      <c r="V11" s="12">
        <f t="shared" ca="1" si="2"/>
        <v>1.6540901537707153E-3</v>
      </c>
      <c r="W11" s="12">
        <f t="shared" ca="1" si="2"/>
        <v>-2.6417169576633537E-3</v>
      </c>
      <c r="X11" s="12">
        <f t="shared" ca="1" si="2"/>
        <v>-3.9227954095494399E-2</v>
      </c>
      <c r="Y11" s="12">
        <f t="shared" ca="1" si="2"/>
        <v>-3.5935508305810271E-2</v>
      </c>
      <c r="Z11" s="12">
        <f t="shared" ca="1" si="2"/>
        <v>-4.1660737879865906E-2</v>
      </c>
    </row>
    <row r="12" spans="1:26">
      <c r="A12" s="13">
        <v>9</v>
      </c>
      <c r="B12" s="11">
        <v>41486</v>
      </c>
      <c r="C12" s="12">
        <v>2.5333333333333334E-5</v>
      </c>
      <c r="D12" s="12">
        <v>1.5896724164516929E-3</v>
      </c>
      <c r="E12" s="12">
        <v>1.6320780788763312E-3</v>
      </c>
      <c r="F12" s="12">
        <v>4.1877250782442754E-3</v>
      </c>
      <c r="G12" s="12">
        <v>-1.9451251847627526E-3</v>
      </c>
      <c r="H12" s="12">
        <v>1.4120337701157837E-3</v>
      </c>
      <c r="I12" s="12">
        <v>7.3868715089695502E-3</v>
      </c>
      <c r="J12" s="12">
        <v>4.9462111213487203E-2</v>
      </c>
      <c r="K12" s="12">
        <v>5.1871228767744526E-2</v>
      </c>
      <c r="L12" s="12">
        <v>7.333965152730193E-2</v>
      </c>
      <c r="M12" s="13">
        <v>9</v>
      </c>
      <c r="N12" s="15">
        <f t="shared" ca="1" si="0"/>
        <v>91</v>
      </c>
      <c r="O12" s="13">
        <v>9</v>
      </c>
      <c r="P12" s="19">
        <f t="shared" ca="1" si="1"/>
        <v>43980</v>
      </c>
      <c r="Q12" s="12">
        <f t="shared" ca="1" si="2"/>
        <v>6.5666666666666659E-5</v>
      </c>
      <c r="R12" s="12">
        <f t="shared" ca="1" si="2"/>
        <v>6.5332407328955178E-4</v>
      </c>
      <c r="S12" s="12">
        <f t="shared" ca="1" si="2"/>
        <v>1.1219188398201574E-3</v>
      </c>
      <c r="T12" s="12">
        <f t="shared" ca="1" si="2"/>
        <v>1.1510566044761195E-2</v>
      </c>
      <c r="U12" s="12">
        <f t="shared" ca="1" si="2"/>
        <v>-3.0809051435478629E-3</v>
      </c>
      <c r="V12" s="12">
        <f t="shared" ca="1" si="2"/>
        <v>1.2924211926443885E-3</v>
      </c>
      <c r="W12" s="12">
        <f t="shared" ca="1" si="2"/>
        <v>1.7481872879328675E-2</v>
      </c>
      <c r="X12" s="12">
        <f t="shared" ca="1" si="2"/>
        <v>4.528177501261843E-2</v>
      </c>
      <c r="Y12" s="12">
        <f t="shared" ca="1" si="2"/>
        <v>4.6291740750663779E-2</v>
      </c>
      <c r="Z12" s="12">
        <f t="shared" ca="1" si="2"/>
        <v>2.5953157426623186E-2</v>
      </c>
    </row>
    <row r="13" spans="1:26">
      <c r="A13" s="13">
        <v>10</v>
      </c>
      <c r="B13" s="11">
        <v>41516</v>
      </c>
      <c r="C13" s="12">
        <v>2.9583333333333332E-5</v>
      </c>
      <c r="D13" s="12">
        <v>-9.1058735963966964E-4</v>
      </c>
      <c r="E13" s="12">
        <v>-6.2995509738672517E-4</v>
      </c>
      <c r="F13" s="12">
        <v>1.6922798954599472E-4</v>
      </c>
      <c r="G13" s="12">
        <v>-5.3898417918450958E-3</v>
      </c>
      <c r="H13" s="12">
        <v>-4.2185645750429934E-3</v>
      </c>
      <c r="I13" s="12">
        <v>-6.6851475720129949E-3</v>
      </c>
      <c r="J13" s="12">
        <v>-3.1298013323604601E-2</v>
      </c>
      <c r="K13" s="12">
        <v>-2.33236731635178E-2</v>
      </c>
      <c r="L13" s="12">
        <v>5.2978333220131901E-2</v>
      </c>
      <c r="M13" s="13">
        <v>10</v>
      </c>
      <c r="N13" s="15">
        <f t="shared" ca="1" si="0"/>
        <v>117</v>
      </c>
      <c r="O13" s="13">
        <v>10</v>
      </c>
      <c r="P13" s="19">
        <f t="shared" ca="1" si="1"/>
        <v>44771</v>
      </c>
      <c r="Q13" s="12">
        <f t="shared" ca="1" si="2"/>
        <v>1.3551666666666668E-3</v>
      </c>
      <c r="R13" s="12">
        <f t="shared" ca="1" si="2"/>
        <v>3.3528295068618874E-3</v>
      </c>
      <c r="S13" s="12">
        <f t="shared" ca="1" si="2"/>
        <v>2.6352464971926004E-3</v>
      </c>
      <c r="T13" s="12">
        <f t="shared" ca="1" si="2"/>
        <v>7.4658997444205788E-3</v>
      </c>
      <c r="U13" s="12">
        <f t="shared" ca="1" si="2"/>
        <v>1.65865653968571E-2</v>
      </c>
      <c r="V13" s="12">
        <f t="shared" ca="1" si="2"/>
        <v>1.0522057632823767E-2</v>
      </c>
      <c r="W13" s="12">
        <f t="shared" ca="1" si="2"/>
        <v>2.9487751054719125E-2</v>
      </c>
      <c r="X13" s="12">
        <f t="shared" ca="1" si="2"/>
        <v>9.1116347632205885E-2</v>
      </c>
      <c r="Y13" s="12">
        <f t="shared" ca="1" si="2"/>
        <v>7.8619427458280766E-2</v>
      </c>
      <c r="Z13" s="12">
        <f t="shared" ca="1" si="2"/>
        <v>-2.2868746783823113E-2</v>
      </c>
    </row>
    <row r="14" spans="1:26">
      <c r="A14" s="13">
        <v>11</v>
      </c>
      <c r="B14" s="11">
        <v>41547</v>
      </c>
      <c r="C14" s="12">
        <v>1.6916666666666667E-5</v>
      </c>
      <c r="D14" s="12">
        <v>2.2604909853345401E-3</v>
      </c>
      <c r="E14" s="12">
        <v>2.0409077397314235E-3</v>
      </c>
      <c r="F14" s="12">
        <v>4.0480627945882475E-3</v>
      </c>
      <c r="G14" s="12">
        <v>7.6369728708005624E-3</v>
      </c>
      <c r="H14" s="12">
        <v>6.3216309372344792E-3</v>
      </c>
      <c r="I14" s="12">
        <v>8.2365093403367062E-3</v>
      </c>
      <c r="J14" s="12">
        <v>2.9749474883188354E-2</v>
      </c>
      <c r="K14" s="12">
        <v>4.816192946480724E-2</v>
      </c>
      <c r="L14" s="12">
        <v>-4.7474682319551098E-2</v>
      </c>
      <c r="M14" s="13">
        <v>11</v>
      </c>
      <c r="N14" s="15">
        <f t="shared" ca="1" si="0"/>
        <v>13</v>
      </c>
      <c r="O14" s="13">
        <v>11</v>
      </c>
      <c r="P14" s="19">
        <f t="shared" ca="1" si="1"/>
        <v>41607</v>
      </c>
      <c r="Q14" s="12">
        <f t="shared" ref="Q14:Z23" ca="1" si="3">INDEX(histrets,$N14,Q$1)</f>
        <v>2.9583333333333332E-5</v>
      </c>
      <c r="R14" s="12">
        <f t="shared" ca="1" si="3"/>
        <v>9.3212759439986748E-4</v>
      </c>
      <c r="S14" s="12">
        <f t="shared" ca="1" si="3"/>
        <v>8.90078906265801E-4</v>
      </c>
      <c r="T14" s="12">
        <f t="shared" ca="1" si="3"/>
        <v>2.3709094397157404E-3</v>
      </c>
      <c r="U14" s="12">
        <f t="shared" ca="1" si="3"/>
        <v>-4.2729139111795655E-3</v>
      </c>
      <c r="V14" s="12">
        <f t="shared" ca="1" si="3"/>
        <v>-3.2086298504496735E-4</v>
      </c>
      <c r="W14" s="12">
        <f t="shared" ca="1" si="3"/>
        <v>-2.8776747035942352E-3</v>
      </c>
      <c r="X14" s="12">
        <f t="shared" ca="1" si="3"/>
        <v>2.804946087194149E-2</v>
      </c>
      <c r="Y14" s="12">
        <f t="shared" ca="1" si="3"/>
        <v>1.5946495639045377E-2</v>
      </c>
      <c r="Z14" s="12">
        <f t="shared" ca="1" si="3"/>
        <v>-5.2688464619896291E-2</v>
      </c>
    </row>
    <row r="15" spans="1:26">
      <c r="A15" s="13">
        <v>12</v>
      </c>
      <c r="B15" s="11">
        <v>41578</v>
      </c>
      <c r="C15" s="12">
        <v>4.25E-6</v>
      </c>
      <c r="D15" s="12">
        <v>1.0262168533272664E-3</v>
      </c>
      <c r="E15" s="12">
        <v>1.6937705168518224E-3</v>
      </c>
      <c r="F15" s="12">
        <v>3.8961680711877555E-3</v>
      </c>
      <c r="G15" s="12">
        <v>5.4804354642623565E-3</v>
      </c>
      <c r="H15" s="12">
        <v>4.7594010612186377E-3</v>
      </c>
      <c r="I15" s="12">
        <v>1.4968260558051671E-2</v>
      </c>
      <c r="J15" s="12">
        <v>4.4595759864410889E-2</v>
      </c>
      <c r="K15" s="12">
        <v>3.8343687446150909E-2</v>
      </c>
      <c r="L15" s="12">
        <v>-4.4919979232974638E-3</v>
      </c>
      <c r="M15" s="13">
        <v>12</v>
      </c>
      <c r="N15" s="15">
        <f t="shared" ca="1" si="0"/>
        <v>59</v>
      </c>
      <c r="O15" s="13">
        <v>12</v>
      </c>
      <c r="P15" s="19">
        <f t="shared" ca="1" si="1"/>
        <v>43007</v>
      </c>
      <c r="Q15" s="12">
        <f t="shared" ca="1" si="3"/>
        <v>8.2583333333333337E-4</v>
      </c>
      <c r="R15" s="12">
        <f t="shared" ca="1" si="3"/>
        <v>-1.6364712969079154E-3</v>
      </c>
      <c r="S15" s="12">
        <f t="shared" ca="1" si="3"/>
        <v>-1.1181124001334863E-3</v>
      </c>
      <c r="T15" s="12">
        <f t="shared" ca="1" si="3"/>
        <v>1.1631655580179867E-4</v>
      </c>
      <c r="U15" s="12">
        <f t="shared" ca="1" si="3"/>
        <v>-8.7948893503050352E-3</v>
      </c>
      <c r="V15" s="12">
        <f t="shared" ca="1" si="3"/>
        <v>-5.0203692605020889E-3</v>
      </c>
      <c r="W15" s="12">
        <f t="shared" ca="1" si="3"/>
        <v>-2.2821993994576184E-3</v>
      </c>
      <c r="X15" s="12">
        <f t="shared" ca="1" si="3"/>
        <v>1.9302894827342154E-2</v>
      </c>
      <c r="Y15" s="12">
        <f t="shared" ca="1" si="3"/>
        <v>2.082419096410737E-2</v>
      </c>
      <c r="Z15" s="12">
        <f t="shared" ca="1" si="3"/>
        <v>-3.1541587522608161E-2</v>
      </c>
    </row>
    <row r="16" spans="1:26">
      <c r="A16" s="13">
        <v>13</v>
      </c>
      <c r="B16" s="11">
        <v>41607</v>
      </c>
      <c r="C16" s="12">
        <v>2.9583333333333332E-5</v>
      </c>
      <c r="D16" s="12">
        <v>9.3212759439986748E-4</v>
      </c>
      <c r="E16" s="12">
        <v>8.90078906265801E-4</v>
      </c>
      <c r="F16" s="12">
        <v>2.3709094397157404E-3</v>
      </c>
      <c r="G16" s="12">
        <v>-4.2729139111795655E-3</v>
      </c>
      <c r="H16" s="12">
        <v>-3.2086298504496735E-4</v>
      </c>
      <c r="I16" s="12">
        <v>-2.8776747035942352E-3</v>
      </c>
      <c r="J16" s="12">
        <v>2.804946087194149E-2</v>
      </c>
      <c r="K16" s="12">
        <v>1.5946495639045377E-2</v>
      </c>
      <c r="L16" s="12">
        <v>-5.2688464619896291E-2</v>
      </c>
      <c r="M16" s="13">
        <v>13</v>
      </c>
      <c r="N16" s="15">
        <f t="shared" ca="1" si="0"/>
        <v>14</v>
      </c>
      <c r="O16" s="13">
        <v>13</v>
      </c>
      <c r="P16" s="19">
        <f t="shared" ca="1" si="1"/>
        <v>41639</v>
      </c>
      <c r="Q16" s="12">
        <f t="shared" ca="1" si="3"/>
        <v>4.6499999999999999E-5</v>
      </c>
      <c r="R16" s="12">
        <f t="shared" ca="1" si="3"/>
        <v>-1.3626905157968494E-3</v>
      </c>
      <c r="S16" s="12">
        <f t="shared" ca="1" si="3"/>
        <v>-1.0449329264931029E-3</v>
      </c>
      <c r="T16" s="12">
        <f t="shared" ca="1" si="3"/>
        <v>-2.9149177684706373E-4</v>
      </c>
      <c r="U16" s="12">
        <f t="shared" ca="1" si="3"/>
        <v>-1.0392957075136766E-2</v>
      </c>
      <c r="V16" s="12">
        <f t="shared" ca="1" si="3"/>
        <v>-6.3905976357661043E-3</v>
      </c>
      <c r="W16" s="12">
        <f t="shared" ca="1" si="3"/>
        <v>-1.7959320051789129E-3</v>
      </c>
      <c r="X16" s="12">
        <f t="shared" ca="1" si="3"/>
        <v>2.3562833299184183E-2</v>
      </c>
      <c r="Y16" s="12">
        <f t="shared" ca="1" si="3"/>
        <v>2.0050109922501447E-2</v>
      </c>
      <c r="Z16" s="12">
        <f t="shared" ca="1" si="3"/>
        <v>-4.125743008736571E-2</v>
      </c>
    </row>
    <row r="17" spans="1:26">
      <c r="A17" s="13">
        <v>14</v>
      </c>
      <c r="B17" s="11">
        <v>41639</v>
      </c>
      <c r="C17" s="12">
        <v>4.6499999999999999E-5</v>
      </c>
      <c r="D17" s="12">
        <v>-1.3626905157968494E-3</v>
      </c>
      <c r="E17" s="12">
        <v>-1.0449329264931029E-3</v>
      </c>
      <c r="F17" s="12">
        <v>-2.9149177684706373E-4</v>
      </c>
      <c r="G17" s="12">
        <v>-1.0392957075136766E-2</v>
      </c>
      <c r="H17" s="12">
        <v>-6.3905976357661043E-3</v>
      </c>
      <c r="I17" s="12">
        <v>-1.7959320051789129E-3</v>
      </c>
      <c r="J17" s="12">
        <v>2.3562833299184183E-2</v>
      </c>
      <c r="K17" s="12">
        <v>2.0050109922501447E-2</v>
      </c>
      <c r="L17" s="12">
        <v>-4.125743008736571E-2</v>
      </c>
      <c r="M17" s="13">
        <v>14</v>
      </c>
      <c r="N17" s="15">
        <f t="shared" ca="1" si="0"/>
        <v>25</v>
      </c>
      <c r="O17" s="13">
        <v>14</v>
      </c>
      <c r="P17" s="19">
        <f t="shared" ca="1" si="1"/>
        <v>41971</v>
      </c>
      <c r="Q17" s="12">
        <f t="shared" ca="1" si="3"/>
        <v>4.25E-6</v>
      </c>
      <c r="R17" s="12">
        <f t="shared" ca="1" si="3"/>
        <v>1.443744948854242E-3</v>
      </c>
      <c r="S17" s="12">
        <f t="shared" ca="1" si="3"/>
        <v>1.9357027559991913E-3</v>
      </c>
      <c r="T17" s="12">
        <f t="shared" ca="1" si="3"/>
        <v>1.5162211447656837E-3</v>
      </c>
      <c r="U17" s="12">
        <f t="shared" ca="1" si="3"/>
        <v>9.2188180995642632E-3</v>
      </c>
      <c r="V17" s="12">
        <f t="shared" ca="1" si="3"/>
        <v>5.5442181625036113E-3</v>
      </c>
      <c r="W17" s="12">
        <f t="shared" ca="1" si="3"/>
        <v>6.3511658001995652E-3</v>
      </c>
      <c r="X17" s="12">
        <f t="shared" ca="1" si="3"/>
        <v>2.4533584400783015E-2</v>
      </c>
      <c r="Y17" s="12">
        <f t="shared" ca="1" si="3"/>
        <v>1.838896076904617E-2</v>
      </c>
      <c r="Z17" s="12">
        <f t="shared" ca="1" si="3"/>
        <v>-4.7402254164747859E-3</v>
      </c>
    </row>
    <row r="18" spans="1:26">
      <c r="A18" s="13">
        <v>15</v>
      </c>
      <c r="B18" s="11">
        <v>41670</v>
      </c>
      <c r="C18" s="12">
        <v>5.4916666666666669E-5</v>
      </c>
      <c r="D18" s="12">
        <v>1.5814379055123506E-3</v>
      </c>
      <c r="E18" s="12">
        <v>1.679808939992089E-3</v>
      </c>
      <c r="F18" s="12">
        <v>2.9655183705961097E-3</v>
      </c>
      <c r="G18" s="12">
        <v>1.5969001717037301E-2</v>
      </c>
      <c r="H18" s="12">
        <v>1.085078383634297E-2</v>
      </c>
      <c r="I18" s="12">
        <v>1.7841252744521308E-2</v>
      </c>
      <c r="J18" s="12">
        <v>-3.5582895107013734E-2</v>
      </c>
      <c r="K18" s="12">
        <v>-3.7692571655619567E-2</v>
      </c>
      <c r="L18" s="12">
        <v>3.5709530308578152E-2</v>
      </c>
      <c r="M18" s="13">
        <v>15</v>
      </c>
      <c r="N18" s="15">
        <f t="shared" ca="1" si="0"/>
        <v>75</v>
      </c>
      <c r="O18" s="13">
        <v>15</v>
      </c>
      <c r="P18" s="19">
        <f t="shared" ca="1" si="1"/>
        <v>43496</v>
      </c>
      <c r="Q18" s="12">
        <f t="shared" ca="1" si="3"/>
        <v>1.962416666666667E-3</v>
      </c>
      <c r="R18" s="12">
        <f t="shared" ca="1" si="3"/>
        <v>2.693012589601862E-3</v>
      </c>
      <c r="S18" s="12">
        <f t="shared" ca="1" si="3"/>
        <v>2.7841509229560302E-3</v>
      </c>
      <c r="T18" s="12">
        <f t="shared" ca="1" si="3"/>
        <v>7.0274240371139829E-3</v>
      </c>
      <c r="U18" s="12">
        <f t="shared" ca="1" si="3"/>
        <v>4.6694430922893382E-3</v>
      </c>
      <c r="V18" s="12">
        <f t="shared" ca="1" si="3"/>
        <v>3.7222012815680827E-3</v>
      </c>
      <c r="W18" s="12">
        <f t="shared" ca="1" si="3"/>
        <v>2.0932190041150545E-2</v>
      </c>
      <c r="X18" s="12">
        <f t="shared" ca="1" si="3"/>
        <v>7.8684404731036883E-2</v>
      </c>
      <c r="Y18" s="12">
        <f t="shared" ca="1" si="3"/>
        <v>7.6750358299272792E-2</v>
      </c>
      <c r="Z18" s="12">
        <f t="shared" ca="1" si="3"/>
        <v>3.0222457874915287E-2</v>
      </c>
    </row>
    <row r="19" spans="1:26">
      <c r="A19" s="13">
        <v>16</v>
      </c>
      <c r="B19" s="11">
        <v>41698</v>
      </c>
      <c r="C19" s="12">
        <v>1.6916666666666667E-5</v>
      </c>
      <c r="D19" s="12">
        <v>9.038801092022819E-4</v>
      </c>
      <c r="E19" s="12">
        <v>8.8386385418104396E-4</v>
      </c>
      <c r="F19" s="12">
        <v>2.6635238508452286E-3</v>
      </c>
      <c r="G19" s="12">
        <v>3.1205105942291311E-3</v>
      </c>
      <c r="H19" s="12">
        <v>2.7924214282957216E-3</v>
      </c>
      <c r="I19" s="12">
        <v>1.0973285355480922E-2</v>
      </c>
      <c r="J19" s="12">
        <v>4.3117037568930705E-2</v>
      </c>
      <c r="K19" s="12">
        <v>4.8133828810229984E-2</v>
      </c>
      <c r="L19" s="12">
        <v>6.5758707966734997E-2</v>
      </c>
      <c r="M19" s="13">
        <v>16</v>
      </c>
      <c r="N19" s="15">
        <f t="shared" ca="1" si="0"/>
        <v>111</v>
      </c>
      <c r="O19" s="13">
        <v>16</v>
      </c>
      <c r="P19" s="19">
        <f t="shared" ca="1" si="1"/>
        <v>44592</v>
      </c>
      <c r="Q19" s="12">
        <f t="shared" ca="1" si="3"/>
        <v>2.5333333333333334E-5</v>
      </c>
      <c r="R19" s="12">
        <f t="shared" ca="1" si="3"/>
        <v>-6.5472663058070424E-3</v>
      </c>
      <c r="S19" s="12">
        <f t="shared" ca="1" si="3"/>
        <v>-6.7111001230306666E-3</v>
      </c>
      <c r="T19" s="12">
        <f t="shared" ca="1" si="3"/>
        <v>-7.4958829530974436E-3</v>
      </c>
      <c r="U19" s="12">
        <f t="shared" ca="1" si="3"/>
        <v>-1.8864479239942833E-2</v>
      </c>
      <c r="V19" s="12">
        <f t="shared" ca="1" si="3"/>
        <v>-1.2502210150905135E-2</v>
      </c>
      <c r="W19" s="12">
        <f t="shared" ca="1" si="3"/>
        <v>-3.124768304575265E-2</v>
      </c>
      <c r="X19" s="12">
        <f t="shared" ca="1" si="3"/>
        <v>-5.2585089106999772E-2</v>
      </c>
      <c r="Y19" s="12">
        <f t="shared" ca="1" si="3"/>
        <v>-5.343268156683878E-2</v>
      </c>
      <c r="Z19" s="12">
        <f t="shared" ca="1" si="3"/>
        <v>-1.7510387054450072E-2</v>
      </c>
    </row>
    <row r="20" spans="1:26">
      <c r="A20" s="13">
        <v>17</v>
      </c>
      <c r="B20" s="11">
        <v>41729</v>
      </c>
      <c r="C20" s="12">
        <v>3.8000000000000002E-5</v>
      </c>
      <c r="D20" s="12">
        <v>-1.107151021881192E-3</v>
      </c>
      <c r="E20" s="12">
        <v>-8.6527596556373876E-4</v>
      </c>
      <c r="F20" s="12">
        <v>-2.8994238099677716E-4</v>
      </c>
      <c r="G20" s="12">
        <v>-2.817973742041735E-3</v>
      </c>
      <c r="H20" s="12">
        <v>-1.3003567426064233E-3</v>
      </c>
      <c r="I20" s="12">
        <v>7.1137327652026627E-4</v>
      </c>
      <c r="J20" s="12">
        <v>6.9321573583585039E-3</v>
      </c>
      <c r="K20" s="12">
        <v>-9.1321475468553182E-4</v>
      </c>
      <c r="L20" s="12">
        <v>-3.1951386847005825E-2</v>
      </c>
      <c r="M20" s="13">
        <v>17</v>
      </c>
      <c r="N20" s="15">
        <f t="shared" ca="1" si="0"/>
        <v>50</v>
      </c>
      <c r="O20" s="13">
        <v>17</v>
      </c>
      <c r="P20" s="19">
        <f t="shared" ca="1" si="1"/>
        <v>42734</v>
      </c>
      <c r="Q20" s="12">
        <f t="shared" ca="1" si="3"/>
        <v>3.9758333333333334E-4</v>
      </c>
      <c r="R20" s="12">
        <f t="shared" ca="1" si="3"/>
        <v>2.9691875786408417E-4</v>
      </c>
      <c r="S20" s="12">
        <f t="shared" ca="1" si="3"/>
        <v>6.4168917337914522E-4</v>
      </c>
      <c r="T20" s="12">
        <f t="shared" ca="1" si="3"/>
        <v>1.638235623849349E-3</v>
      </c>
      <c r="U20" s="12">
        <f t="shared" ca="1" si="3"/>
        <v>-1.1464242847030182E-3</v>
      </c>
      <c r="V20" s="12">
        <f t="shared" ca="1" si="3"/>
        <v>-1.4365171732482196E-3</v>
      </c>
      <c r="W20" s="12">
        <f t="shared" ca="1" si="3"/>
        <v>6.2562737648186317E-3</v>
      </c>
      <c r="X20" s="12">
        <f t="shared" ca="1" si="3"/>
        <v>1.8200754044233047E-2</v>
      </c>
      <c r="Y20" s="12">
        <f t="shared" ca="1" si="3"/>
        <v>2.2855106916108481E-2</v>
      </c>
      <c r="Z20" s="12">
        <f t="shared" ca="1" si="3"/>
        <v>-2.1905898397545198E-2</v>
      </c>
    </row>
    <row r="21" spans="1:26">
      <c r="A21" s="13">
        <v>18</v>
      </c>
      <c r="B21" s="11">
        <v>41759</v>
      </c>
      <c r="C21" s="12">
        <v>2.5333333333333334E-5</v>
      </c>
      <c r="D21" s="12">
        <v>1.3240910027578767E-3</v>
      </c>
      <c r="E21" s="12">
        <v>1.6607594936708381E-3</v>
      </c>
      <c r="F21" s="12">
        <v>2.4398555254740995E-3</v>
      </c>
      <c r="G21" s="12">
        <v>6.2432860090160247E-3</v>
      </c>
      <c r="H21" s="12">
        <v>5.7764186204554147E-3</v>
      </c>
      <c r="I21" s="12">
        <v>1.1659515749116389E-2</v>
      </c>
      <c r="J21" s="12">
        <v>6.2007968638175814E-3</v>
      </c>
      <c r="K21" s="12">
        <v>8.28618709935669E-3</v>
      </c>
      <c r="L21" s="12">
        <v>5.9189570174686956E-3</v>
      </c>
      <c r="M21" s="13">
        <v>18</v>
      </c>
      <c r="N21" s="15">
        <f t="shared" ca="1" si="0"/>
        <v>78</v>
      </c>
      <c r="O21" s="13">
        <v>18</v>
      </c>
      <c r="P21" s="19">
        <f t="shared" ca="1" si="1"/>
        <v>43585</v>
      </c>
      <c r="Q21" s="12">
        <f t="shared" ca="1" si="3"/>
        <v>1.9840833333333334E-3</v>
      </c>
      <c r="R21" s="12">
        <f t="shared" ca="1" si="3"/>
        <v>2.032029732946361E-3</v>
      </c>
      <c r="S21" s="12">
        <f t="shared" ca="1" si="3"/>
        <v>2.0692667898007944E-3</v>
      </c>
      <c r="T21" s="12">
        <f t="shared" ca="1" si="3"/>
        <v>3.2555151484721101E-3</v>
      </c>
      <c r="U21" s="12">
        <f t="shared" ca="1" si="3"/>
        <v>-3.235594213409243E-3</v>
      </c>
      <c r="V21" s="12">
        <f t="shared" ca="1" si="3"/>
        <v>2.1207871847783721E-5</v>
      </c>
      <c r="W21" s="12">
        <f t="shared" ca="1" si="3"/>
        <v>5.5683250661680006E-3</v>
      </c>
      <c r="X21" s="12">
        <f t="shared" ca="1" si="3"/>
        <v>3.9313434942139347E-2</v>
      </c>
      <c r="Y21" s="12">
        <f t="shared" ca="1" si="3"/>
        <v>3.3652158235835783E-2</v>
      </c>
      <c r="Z21" s="12">
        <f t="shared" ca="1" si="3"/>
        <v>-6.8478311332581532E-3</v>
      </c>
    </row>
    <row r="22" spans="1:26">
      <c r="A22" s="13">
        <v>19</v>
      </c>
      <c r="B22" s="11">
        <v>41789</v>
      </c>
      <c r="C22" s="12">
        <v>2.1083333333333332E-5</v>
      </c>
      <c r="D22" s="12">
        <v>1.8372645950004429E-3</v>
      </c>
      <c r="E22" s="12">
        <v>1.5690397719230198E-3</v>
      </c>
      <c r="F22" s="12">
        <v>3.6311918820273181E-3</v>
      </c>
      <c r="G22" s="12">
        <v>1.0908523280633409E-2</v>
      </c>
      <c r="H22" s="12">
        <v>7.2947422212128465E-3</v>
      </c>
      <c r="I22" s="12">
        <v>1.529301775138503E-2</v>
      </c>
      <c r="J22" s="12">
        <v>2.1030282120013677E-2</v>
      </c>
      <c r="K22" s="12">
        <v>1.6258428430919514E-2</v>
      </c>
      <c r="L22" s="12">
        <v>-3.246335968287628E-2</v>
      </c>
      <c r="M22" s="13">
        <v>19</v>
      </c>
      <c r="N22" s="15">
        <f t="shared" ca="1" si="0"/>
        <v>38</v>
      </c>
      <c r="O22" s="13">
        <v>19</v>
      </c>
      <c r="P22" s="19">
        <f t="shared" ca="1" si="1"/>
        <v>42369</v>
      </c>
      <c r="Q22" s="12">
        <f t="shared" ca="1" si="3"/>
        <v>1.3983333333333334E-4</v>
      </c>
      <c r="R22" s="12">
        <f t="shared" ca="1" si="3"/>
        <v>-9.365642487412229E-4</v>
      </c>
      <c r="S22" s="12">
        <f t="shared" ca="1" si="3"/>
        <v>-1.2589213561818857E-3</v>
      </c>
      <c r="T22" s="12">
        <f t="shared" ca="1" si="3"/>
        <v>-2.4958607185572301E-3</v>
      </c>
      <c r="U22" s="12">
        <f t="shared" ca="1" si="3"/>
        <v>-1.5686691398054675E-3</v>
      </c>
      <c r="V22" s="12">
        <f t="shared" ca="1" si="3"/>
        <v>-2.4794726558212687E-3</v>
      </c>
      <c r="W22" s="12">
        <f t="shared" ca="1" si="3"/>
        <v>-8.6713379184790718E-3</v>
      </c>
      <c r="X22" s="12">
        <f t="shared" ca="1" si="3"/>
        <v>-1.7530198374358763E-2</v>
      </c>
      <c r="Y22" s="12">
        <f t="shared" ca="1" si="3"/>
        <v>-1.8655571293673345E-2</v>
      </c>
      <c r="Z22" s="12">
        <f t="shared" ca="1" si="3"/>
        <v>-3.4467537590278097E-3</v>
      </c>
    </row>
    <row r="23" spans="1:26">
      <c r="A23" s="13">
        <v>20</v>
      </c>
      <c r="B23" s="11">
        <v>41820</v>
      </c>
      <c r="C23" s="12">
        <v>2.5333333333333334E-5</v>
      </c>
      <c r="D23" s="12">
        <v>-4.440508980227964E-4</v>
      </c>
      <c r="E23" s="12">
        <v>-7.9459610050347518E-4</v>
      </c>
      <c r="F23" s="12">
        <v>4.9249367416459577E-4</v>
      </c>
      <c r="G23" s="12">
        <v>-1.5609181018162444E-3</v>
      </c>
      <c r="H23" s="12">
        <v>-6.5739502465411714E-4</v>
      </c>
      <c r="I23" s="12">
        <v>1.6740210267067734E-3</v>
      </c>
      <c r="J23" s="12">
        <v>1.9058313448431896E-2</v>
      </c>
      <c r="K23" s="12">
        <v>1.6464744225095806E-2</v>
      </c>
      <c r="L23" s="12">
        <v>6.2135906792138762E-2</v>
      </c>
      <c r="M23" s="13">
        <v>20</v>
      </c>
      <c r="N23" s="15">
        <f t="shared" ca="1" si="0"/>
        <v>73</v>
      </c>
      <c r="O23" s="13">
        <v>20</v>
      </c>
      <c r="P23" s="19">
        <f t="shared" ca="1" si="1"/>
        <v>43434</v>
      </c>
      <c r="Q23" s="12">
        <f t="shared" ca="1" si="3"/>
        <v>1.9375833333333333E-3</v>
      </c>
      <c r="R23" s="12">
        <f t="shared" ca="1" si="3"/>
        <v>3.4649538091462428E-3</v>
      </c>
      <c r="S23" s="12">
        <f t="shared" ca="1" si="3"/>
        <v>3.5915043317140682E-3</v>
      </c>
      <c r="T23" s="12">
        <f t="shared" ca="1" si="3"/>
        <v>8.6614463737011427E-4</v>
      </c>
      <c r="U23" s="12">
        <f t="shared" ca="1" si="3"/>
        <v>9.0031053371659731E-3</v>
      </c>
      <c r="V23" s="12">
        <f t="shared" ca="1" si="3"/>
        <v>6.3138220733944816E-3</v>
      </c>
      <c r="W23" s="12">
        <f t="shared" ca="1" si="3"/>
        <v>-1.9074072227153183E-3</v>
      </c>
      <c r="X23" s="12">
        <f t="shared" ca="1" si="3"/>
        <v>1.785938179914015E-2</v>
      </c>
      <c r="Y23" s="12">
        <f t="shared" ca="1" si="3"/>
        <v>9.5846645367412275E-3</v>
      </c>
      <c r="Z23" s="12">
        <f t="shared" ca="1" si="3"/>
        <v>4.7416773683690572E-3</v>
      </c>
    </row>
    <row r="24" spans="1:26">
      <c r="A24" s="13">
        <v>21</v>
      </c>
      <c r="B24" s="11">
        <v>41851</v>
      </c>
      <c r="C24" s="12">
        <v>1.6916666666666667E-5</v>
      </c>
      <c r="D24" s="12">
        <v>-7.8093230899733967E-4</v>
      </c>
      <c r="E24" s="12">
        <v>-7.1441213336875808E-4</v>
      </c>
      <c r="F24" s="12">
        <v>-8.9675605808192671E-4</v>
      </c>
      <c r="G24" s="12">
        <v>-1.4961171557231756E-3</v>
      </c>
      <c r="H24" s="12">
        <v>-9.0742118232678415E-4</v>
      </c>
      <c r="I24" s="12">
        <v>-1.1757998723708196E-3</v>
      </c>
      <c r="J24" s="12">
        <v>-1.5079863077291922E-2</v>
      </c>
      <c r="K24" s="12">
        <v>-1.6674123274942443E-2</v>
      </c>
      <c r="L24" s="12">
        <v>-3.3706764708098191E-2</v>
      </c>
      <c r="M24" s="13">
        <v>21</v>
      </c>
      <c r="N24" s="15">
        <f t="shared" ca="1" si="0"/>
        <v>14</v>
      </c>
      <c r="O24" s="13">
        <v>21</v>
      </c>
      <c r="P24" s="19">
        <f t="shared" ca="1" si="1"/>
        <v>41639</v>
      </c>
      <c r="Q24" s="12">
        <f t="shared" ref="Q24:Z33" ca="1" si="4">INDEX(histrets,$N24,Q$1)</f>
        <v>4.6499999999999999E-5</v>
      </c>
      <c r="R24" s="12">
        <f t="shared" ca="1" si="4"/>
        <v>-1.3626905157968494E-3</v>
      </c>
      <c r="S24" s="12">
        <f t="shared" ca="1" si="4"/>
        <v>-1.0449329264931029E-3</v>
      </c>
      <c r="T24" s="12">
        <f t="shared" ca="1" si="4"/>
        <v>-2.9149177684706373E-4</v>
      </c>
      <c r="U24" s="12">
        <f t="shared" ca="1" si="4"/>
        <v>-1.0392957075136766E-2</v>
      </c>
      <c r="V24" s="12">
        <f t="shared" ca="1" si="4"/>
        <v>-6.3905976357661043E-3</v>
      </c>
      <c r="W24" s="12">
        <f t="shared" ca="1" si="4"/>
        <v>-1.7959320051789129E-3</v>
      </c>
      <c r="X24" s="12">
        <f t="shared" ca="1" si="4"/>
        <v>2.3562833299184183E-2</v>
      </c>
      <c r="Y24" s="12">
        <f t="shared" ca="1" si="4"/>
        <v>2.0050109922501447E-2</v>
      </c>
      <c r="Z24" s="12">
        <f t="shared" ca="1" si="4"/>
        <v>-4.125743008736571E-2</v>
      </c>
    </row>
    <row r="25" spans="1:26">
      <c r="A25" s="13">
        <v>22</v>
      </c>
      <c r="B25" s="11">
        <v>41880</v>
      </c>
      <c r="C25" s="12">
        <v>1.6916666666666667E-5</v>
      </c>
      <c r="D25" s="12">
        <v>1.667232621397341E-3</v>
      </c>
      <c r="E25" s="12">
        <v>1.5115281314874718E-3</v>
      </c>
      <c r="F25" s="12">
        <v>2.1339651763789824E-3</v>
      </c>
      <c r="G25" s="12">
        <v>1.2175428530638577E-2</v>
      </c>
      <c r="H25" s="12">
        <v>6.5468469701868148E-3</v>
      </c>
      <c r="I25" s="12">
        <v>1.4268707223337396E-2</v>
      </c>
      <c r="J25" s="12">
        <v>3.7655321727690261E-2</v>
      </c>
      <c r="K25" s="12">
        <v>2.0030915507335267E-2</v>
      </c>
      <c r="L25" s="12">
        <v>3.6878503652766348E-3</v>
      </c>
      <c r="M25" s="13">
        <v>22</v>
      </c>
      <c r="N25" s="15">
        <f t="shared" ca="1" si="0"/>
        <v>23</v>
      </c>
      <c r="O25" s="13">
        <v>22</v>
      </c>
      <c r="P25" s="19">
        <f t="shared" ca="1" si="1"/>
        <v>41912</v>
      </c>
      <c r="Q25" s="12">
        <f t="shared" ca="1" si="4"/>
        <v>1.6916666666666667E-5</v>
      </c>
      <c r="R25" s="12">
        <f t="shared" ca="1" si="4"/>
        <v>-5.5918784954711587E-4</v>
      </c>
      <c r="S25" s="12">
        <f t="shared" ca="1" si="4"/>
        <v>-1.4454531212915178E-4</v>
      </c>
      <c r="T25" s="12">
        <f t="shared" ca="1" si="4"/>
        <v>-1.0665751749033836E-3</v>
      </c>
      <c r="U25" s="12">
        <f t="shared" ca="1" si="4"/>
        <v>-6.3298466173178358E-3</v>
      </c>
      <c r="V25" s="12">
        <f t="shared" ca="1" si="4"/>
        <v>-3.1157649714820268E-3</v>
      </c>
      <c r="W25" s="12">
        <f t="shared" ca="1" si="4"/>
        <v>-1.2431832190915149E-2</v>
      </c>
      <c r="X25" s="12">
        <f t="shared" ca="1" si="4"/>
        <v>-1.5513859147336717E-2</v>
      </c>
      <c r="Y25" s="12">
        <f t="shared" ca="1" si="4"/>
        <v>-2.8752952209940008E-2</v>
      </c>
      <c r="Z25" s="12">
        <f t="shared" ca="1" si="4"/>
        <v>-6.1499860174626275E-2</v>
      </c>
    </row>
    <row r="26" spans="1:26">
      <c r="A26" s="13">
        <v>23</v>
      </c>
      <c r="B26" s="11">
        <v>41912</v>
      </c>
      <c r="C26" s="12">
        <v>1.6916666666666667E-5</v>
      </c>
      <c r="D26" s="12">
        <v>-5.5918784954711587E-4</v>
      </c>
      <c r="E26" s="12">
        <v>-1.4454531212915178E-4</v>
      </c>
      <c r="F26" s="12">
        <v>-1.0665751749033836E-3</v>
      </c>
      <c r="G26" s="12">
        <v>-6.3298466173178358E-3</v>
      </c>
      <c r="H26" s="12">
        <v>-3.1157649714820268E-3</v>
      </c>
      <c r="I26" s="12">
        <v>-1.2431832190915149E-2</v>
      </c>
      <c r="J26" s="12">
        <v>-1.5513859147336717E-2</v>
      </c>
      <c r="K26" s="12">
        <v>-2.8752952209940008E-2</v>
      </c>
      <c r="L26" s="12">
        <v>-6.1499860174626275E-2</v>
      </c>
      <c r="M26" s="13">
        <v>23</v>
      </c>
      <c r="N26" s="15">
        <f t="shared" ca="1" si="0"/>
        <v>112</v>
      </c>
      <c r="O26" s="13">
        <v>23</v>
      </c>
      <c r="P26" s="19">
        <f t="shared" ca="1" si="1"/>
        <v>44620</v>
      </c>
      <c r="Q26" s="12">
        <f t="shared" ca="1" si="4"/>
        <v>1.4999999999999999E-4</v>
      </c>
      <c r="R26" s="12">
        <f t="shared" ca="1" si="4"/>
        <v>-3.742991386562089E-3</v>
      </c>
      <c r="S26" s="12">
        <f t="shared" ca="1" si="4"/>
        <v>-3.7629891241512947E-3</v>
      </c>
      <c r="T26" s="12">
        <f t="shared" ca="1" si="4"/>
        <v>-7.7055182536860389E-3</v>
      </c>
      <c r="U26" s="12">
        <f t="shared" ca="1" si="4"/>
        <v>-7.5924389532928682E-3</v>
      </c>
      <c r="V26" s="12">
        <f t="shared" ca="1" si="4"/>
        <v>-6.6560114592384423E-3</v>
      </c>
      <c r="W26" s="12">
        <f t="shared" ca="1" si="4"/>
        <v>-2.180899029682648E-2</v>
      </c>
      <c r="X26" s="12">
        <f t="shared" ca="1" si="4"/>
        <v>-3.1360520866782648E-2</v>
      </c>
      <c r="Y26" s="12">
        <f t="shared" ca="1" si="4"/>
        <v>-2.6511498667887157E-2</v>
      </c>
      <c r="Z26" s="12">
        <f t="shared" ca="1" si="4"/>
        <v>6.2220045961149939E-2</v>
      </c>
    </row>
    <row r="27" spans="1:26">
      <c r="A27" s="13">
        <v>24</v>
      </c>
      <c r="B27" s="11">
        <v>41943</v>
      </c>
      <c r="C27" s="12">
        <v>1.2666666666666667E-5</v>
      </c>
      <c r="D27" s="12">
        <v>2.7450503856620845E-3</v>
      </c>
      <c r="E27" s="12">
        <v>2.1854534088954214E-3</v>
      </c>
      <c r="F27" s="12">
        <v>2.1223615145111729E-3</v>
      </c>
      <c r="G27" s="12">
        <v>1.0856203181201174E-2</v>
      </c>
      <c r="H27" s="12">
        <v>6.3361069479148657E-3</v>
      </c>
      <c r="I27" s="12">
        <v>9.3323015351907124E-3</v>
      </c>
      <c r="J27" s="12">
        <v>2.3201456175308888E-2</v>
      </c>
      <c r="K27" s="12">
        <v>5.6994483075345492E-3</v>
      </c>
      <c r="L27" s="12">
        <v>-2.9143732152464574E-2</v>
      </c>
      <c r="M27" s="13">
        <v>24</v>
      </c>
      <c r="N27" s="15">
        <f t="shared" ca="1" si="0"/>
        <v>112</v>
      </c>
      <c r="O27" s="13">
        <v>24</v>
      </c>
      <c r="P27" s="19">
        <f t="shared" ca="1" si="1"/>
        <v>44620</v>
      </c>
      <c r="Q27" s="12">
        <f t="shared" ca="1" si="4"/>
        <v>1.4999999999999999E-4</v>
      </c>
      <c r="R27" s="12">
        <f t="shared" ca="1" si="4"/>
        <v>-3.742991386562089E-3</v>
      </c>
      <c r="S27" s="12">
        <f t="shared" ca="1" si="4"/>
        <v>-3.7629891241512947E-3</v>
      </c>
      <c r="T27" s="12">
        <f t="shared" ca="1" si="4"/>
        <v>-7.7055182536860389E-3</v>
      </c>
      <c r="U27" s="12">
        <f t="shared" ca="1" si="4"/>
        <v>-7.5924389532928682E-3</v>
      </c>
      <c r="V27" s="12">
        <f t="shared" ca="1" si="4"/>
        <v>-6.6560114592384423E-3</v>
      </c>
      <c r="W27" s="12">
        <f t="shared" ca="1" si="4"/>
        <v>-2.180899029682648E-2</v>
      </c>
      <c r="X27" s="12">
        <f t="shared" ca="1" si="4"/>
        <v>-3.1360520866782648E-2</v>
      </c>
      <c r="Y27" s="12">
        <f t="shared" ca="1" si="4"/>
        <v>-2.6511498667887157E-2</v>
      </c>
      <c r="Z27" s="12">
        <f t="shared" ca="1" si="4"/>
        <v>6.2220045961149939E-2</v>
      </c>
    </row>
    <row r="28" spans="1:26">
      <c r="A28" s="13">
        <v>25</v>
      </c>
      <c r="B28" s="11">
        <v>41971</v>
      </c>
      <c r="C28" s="12">
        <v>4.25E-6</v>
      </c>
      <c r="D28" s="12">
        <v>1.443744948854242E-3</v>
      </c>
      <c r="E28" s="12">
        <v>1.9357027559991913E-3</v>
      </c>
      <c r="F28" s="12">
        <v>1.5162211447656837E-3</v>
      </c>
      <c r="G28" s="12">
        <v>9.2188180995642632E-3</v>
      </c>
      <c r="H28" s="12">
        <v>5.5442181625036113E-3</v>
      </c>
      <c r="I28" s="12">
        <v>6.3511658001995652E-3</v>
      </c>
      <c r="J28" s="12">
        <v>2.4533584400783015E-2</v>
      </c>
      <c r="K28" s="12">
        <v>1.838896076904617E-2</v>
      </c>
      <c r="L28" s="12">
        <v>-4.7402254164747859E-3</v>
      </c>
      <c r="M28" s="13">
        <v>25</v>
      </c>
      <c r="N28" s="15">
        <f t="shared" ca="1" si="0"/>
        <v>19</v>
      </c>
      <c r="O28" s="13">
        <v>25</v>
      </c>
      <c r="P28" s="19">
        <f t="shared" ca="1" si="1"/>
        <v>41789</v>
      </c>
      <c r="Q28" s="12">
        <f t="shared" ca="1" si="4"/>
        <v>2.1083333333333332E-5</v>
      </c>
      <c r="R28" s="12">
        <f t="shared" ca="1" si="4"/>
        <v>1.8372645950004429E-3</v>
      </c>
      <c r="S28" s="12">
        <f t="shared" ca="1" si="4"/>
        <v>1.5690397719230198E-3</v>
      </c>
      <c r="T28" s="12">
        <f t="shared" ca="1" si="4"/>
        <v>3.6311918820273181E-3</v>
      </c>
      <c r="U28" s="12">
        <f t="shared" ca="1" si="4"/>
        <v>1.0908523280633409E-2</v>
      </c>
      <c r="V28" s="12">
        <f t="shared" ca="1" si="4"/>
        <v>7.2947422212128465E-3</v>
      </c>
      <c r="W28" s="12">
        <f t="shared" ca="1" si="4"/>
        <v>1.529301775138503E-2</v>
      </c>
      <c r="X28" s="12">
        <f t="shared" ca="1" si="4"/>
        <v>2.1030282120013677E-2</v>
      </c>
      <c r="Y28" s="12">
        <f t="shared" ca="1" si="4"/>
        <v>1.6258428430919514E-2</v>
      </c>
      <c r="Z28" s="12">
        <f t="shared" ca="1" si="4"/>
        <v>-3.246335968287628E-2</v>
      </c>
    </row>
    <row r="29" spans="1:26">
      <c r="A29" s="13">
        <v>26</v>
      </c>
      <c r="B29" s="11">
        <v>42004</v>
      </c>
      <c r="C29" s="12">
        <v>8.4166666666666668E-6</v>
      </c>
      <c r="D29" s="12">
        <v>-2.4358542422430185E-3</v>
      </c>
      <c r="E29" s="12">
        <v>-1.9464407079575752E-3</v>
      </c>
      <c r="F29" s="12">
        <v>-3.8821468979093332E-3</v>
      </c>
      <c r="G29" s="12">
        <v>2.5858855279670134E-3</v>
      </c>
      <c r="H29" s="12">
        <v>6.1162377075785201E-4</v>
      </c>
      <c r="I29" s="12">
        <v>-1.4009665553383899E-3</v>
      </c>
      <c r="J29" s="12">
        <v>-4.1885120625277938E-3</v>
      </c>
      <c r="K29" s="12">
        <v>-1.7148605921241677E-2</v>
      </c>
      <c r="L29" s="12">
        <v>1.4553958436841263E-2</v>
      </c>
      <c r="M29" s="13">
        <v>26</v>
      </c>
      <c r="N29" s="15">
        <f t="shared" ca="1" si="0"/>
        <v>1</v>
      </c>
      <c r="O29" s="13">
        <v>26</v>
      </c>
      <c r="P29" s="19">
        <f t="shared" ca="1" si="1"/>
        <v>41243</v>
      </c>
      <c r="Q29" s="12">
        <f t="shared" ca="1" si="4"/>
        <v>8.8750000000000002E-5</v>
      </c>
      <c r="R29" s="12">
        <f t="shared" ca="1" si="4"/>
        <v>8.9025510352636061E-4</v>
      </c>
      <c r="S29" s="12">
        <f t="shared" ca="1" si="4"/>
        <v>7.4010668307344929E-4</v>
      </c>
      <c r="T29" s="12">
        <f t="shared" ca="1" si="4"/>
        <v>8.6192379333893676E-4</v>
      </c>
      <c r="U29" s="12">
        <f t="shared" ca="1" si="4"/>
        <v>5.7531373731054547E-3</v>
      </c>
      <c r="V29" s="12">
        <f t="shared" ca="1" si="4"/>
        <v>3.7147171217664088E-3</v>
      </c>
      <c r="W29" s="12">
        <f t="shared" ca="1" si="4"/>
        <v>-8.2135255640869431E-4</v>
      </c>
      <c r="X29" s="12">
        <f t="shared" ca="1" si="4"/>
        <v>2.8467029231815655E-3</v>
      </c>
      <c r="Y29" s="12">
        <f t="shared" ca="1" si="4"/>
        <v>1.0733603786342139E-2</v>
      </c>
      <c r="Z29" s="12">
        <f t="shared" ca="1" si="4"/>
        <v>-3.2952663237730828E-3</v>
      </c>
    </row>
    <row r="30" spans="1:26">
      <c r="A30" s="13">
        <v>27</v>
      </c>
      <c r="B30" s="11">
        <v>42034</v>
      </c>
      <c r="C30" s="12">
        <v>2.9583333333333332E-5</v>
      </c>
      <c r="D30" s="12">
        <v>5.0476709937821163E-3</v>
      </c>
      <c r="E30" s="12">
        <v>4.7418152513347689E-3</v>
      </c>
      <c r="F30" s="12">
        <v>5.3760262092170663E-3</v>
      </c>
      <c r="G30" s="12">
        <v>2.8827648147808693E-2</v>
      </c>
      <c r="H30" s="12">
        <v>1.6872581482044735E-2</v>
      </c>
      <c r="I30" s="12">
        <v>2.7403604776210955E-2</v>
      </c>
      <c r="J30" s="12">
        <v>-3.1040847054252363E-2</v>
      </c>
      <c r="K30" s="12">
        <v>-1.8793100422888731E-2</v>
      </c>
      <c r="L30" s="12">
        <v>8.3943362293877888E-2</v>
      </c>
      <c r="M30" s="13">
        <v>27</v>
      </c>
      <c r="N30" s="15">
        <f t="shared" ca="1" si="0"/>
        <v>10</v>
      </c>
      <c r="O30" s="13">
        <v>27</v>
      </c>
      <c r="P30" s="19">
        <f t="shared" ca="1" si="1"/>
        <v>41516</v>
      </c>
      <c r="Q30" s="12">
        <f t="shared" ca="1" si="4"/>
        <v>2.9583333333333332E-5</v>
      </c>
      <c r="R30" s="12">
        <f t="shared" ca="1" si="4"/>
        <v>-9.1058735963966964E-4</v>
      </c>
      <c r="S30" s="12">
        <f t="shared" ca="1" si="4"/>
        <v>-6.2995509738672517E-4</v>
      </c>
      <c r="T30" s="12">
        <f t="shared" ca="1" si="4"/>
        <v>1.6922798954599472E-4</v>
      </c>
      <c r="U30" s="12">
        <f t="shared" ca="1" si="4"/>
        <v>-5.3898417918450958E-3</v>
      </c>
      <c r="V30" s="12">
        <f t="shared" ca="1" si="4"/>
        <v>-4.2185645750429934E-3</v>
      </c>
      <c r="W30" s="12">
        <f t="shared" ca="1" si="4"/>
        <v>-6.6851475720129949E-3</v>
      </c>
      <c r="X30" s="12">
        <f t="shared" ca="1" si="4"/>
        <v>-3.1298013323604601E-2</v>
      </c>
      <c r="Y30" s="12">
        <f t="shared" ca="1" si="4"/>
        <v>-2.33236731635178E-2</v>
      </c>
      <c r="Z30" s="12">
        <f t="shared" ca="1" si="4"/>
        <v>5.2978333220131901E-2</v>
      </c>
    </row>
    <row r="31" spans="1:26">
      <c r="A31" s="13">
        <v>28</v>
      </c>
      <c r="B31" s="11">
        <v>42062</v>
      </c>
      <c r="C31" s="12">
        <v>0</v>
      </c>
      <c r="D31" s="12">
        <v>-2.1577567665429509E-3</v>
      </c>
      <c r="E31" s="12">
        <v>-1.442941258093966E-3</v>
      </c>
      <c r="F31" s="12">
        <v>9.4403804380460699E-4</v>
      </c>
      <c r="G31" s="12">
        <v>-1.7481816683666107E-2</v>
      </c>
      <c r="H31" s="12">
        <v>-8.9278151648537474E-3</v>
      </c>
      <c r="I31" s="12">
        <v>-8.3607142066883799E-3</v>
      </c>
      <c r="J31" s="12">
        <v>5.4892505726845675E-2</v>
      </c>
      <c r="K31" s="12">
        <v>5.6821297852808206E-2</v>
      </c>
      <c r="L31" s="12">
        <v>-5.5001207362574744E-2</v>
      </c>
      <c r="M31" s="13">
        <v>28</v>
      </c>
      <c r="N31" s="15">
        <f t="shared" ca="1" si="0"/>
        <v>96</v>
      </c>
      <c r="O31" s="13">
        <v>28</v>
      </c>
      <c r="P31" s="19">
        <f t="shared" ca="1" si="1"/>
        <v>44134</v>
      </c>
      <c r="Q31" s="12">
        <f t="shared" ca="1" si="4"/>
        <v>7.6249999999999997E-5</v>
      </c>
      <c r="R31" s="12">
        <f t="shared" ca="1" si="4"/>
        <v>-4.2126561468813772E-4</v>
      </c>
      <c r="S31" s="12">
        <f t="shared" ca="1" si="4"/>
        <v>-6.7095641189895971E-5</v>
      </c>
      <c r="T31" s="12">
        <f t="shared" ca="1" si="4"/>
        <v>1.8149952186470308E-3</v>
      </c>
      <c r="U31" s="12">
        <f t="shared" ca="1" si="4"/>
        <v>-1.0096313199052798E-2</v>
      </c>
      <c r="V31" s="12">
        <f t="shared" ca="1" si="4"/>
        <v>-3.5705368143630345E-3</v>
      </c>
      <c r="W31" s="12">
        <f t="shared" ca="1" si="4"/>
        <v>-1.7153852038643835E-3</v>
      </c>
      <c r="X31" s="12">
        <f t="shared" ca="1" si="4"/>
        <v>-2.7665774606006499E-2</v>
      </c>
      <c r="Y31" s="12">
        <f t="shared" ca="1" si="4"/>
        <v>-3.1403261985324948E-2</v>
      </c>
      <c r="Z31" s="12">
        <f t="shared" ca="1" si="4"/>
        <v>-3.7172158530506261E-3</v>
      </c>
    </row>
    <row r="32" spans="1:26">
      <c r="A32" s="13">
        <v>29</v>
      </c>
      <c r="B32" s="11">
        <v>42094</v>
      </c>
      <c r="C32" s="12">
        <v>8.4166666666666668E-6</v>
      </c>
      <c r="D32" s="12">
        <v>2.3251483239266069E-3</v>
      </c>
      <c r="E32" s="12">
        <v>2.0836010795528548E-3</v>
      </c>
      <c r="F32" s="12">
        <v>1.9926700417953747E-3</v>
      </c>
      <c r="G32" s="12">
        <v>6.5880564035545319E-3</v>
      </c>
      <c r="H32" s="12">
        <v>4.8404638795114252E-3</v>
      </c>
      <c r="I32" s="12">
        <v>3.7165680952275792E-3</v>
      </c>
      <c r="J32" s="12">
        <v>-1.7396056070325572E-2</v>
      </c>
      <c r="K32" s="12">
        <v>-1.807813363717381E-2</v>
      </c>
      <c r="L32" s="12">
        <v>-2.4406930546168049E-2</v>
      </c>
      <c r="M32" s="13">
        <v>29</v>
      </c>
      <c r="N32" s="15">
        <f t="shared" ca="1" si="0"/>
        <v>100</v>
      </c>
      <c r="O32" s="13">
        <v>29</v>
      </c>
      <c r="P32" s="19">
        <f t="shared" ca="1" si="1"/>
        <v>44253</v>
      </c>
      <c r="Q32" s="12">
        <f t="shared" ca="1" si="4"/>
        <v>4.0166666666666669E-5</v>
      </c>
      <c r="R32" s="12">
        <f t="shared" ca="1" si="4"/>
        <v>-8.032788309566552E-4</v>
      </c>
      <c r="S32" s="12">
        <f t="shared" ca="1" si="4"/>
        <v>-6.6979138910350233E-4</v>
      </c>
      <c r="T32" s="12">
        <f t="shared" ca="1" si="4"/>
        <v>3.9661953240144321E-4</v>
      </c>
      <c r="U32" s="12">
        <f t="shared" ca="1" si="4"/>
        <v>-2.2862166673725981E-2</v>
      </c>
      <c r="V32" s="12">
        <f t="shared" ca="1" si="4"/>
        <v>-9.3254001979963252E-3</v>
      </c>
      <c r="W32" s="12">
        <f t="shared" ca="1" si="4"/>
        <v>-1.9555030410549623E-2</v>
      </c>
      <c r="X32" s="12">
        <f t="shared" ca="1" si="4"/>
        <v>2.6091474971999817E-2</v>
      </c>
      <c r="Y32" s="12">
        <f t="shared" ca="1" si="4"/>
        <v>2.4503229151403794E-2</v>
      </c>
      <c r="Z32" s="12">
        <f t="shared" ca="1" si="4"/>
        <v>-6.1488918355749211E-2</v>
      </c>
    </row>
    <row r="33" spans="1:26">
      <c r="A33" s="13">
        <v>30</v>
      </c>
      <c r="B33" s="11">
        <v>42124</v>
      </c>
      <c r="C33" s="12">
        <v>1.6916666666666667E-5</v>
      </c>
      <c r="D33" s="12">
        <v>4.5665826855323388E-4</v>
      </c>
      <c r="E33" s="12">
        <v>6.0678736150876489E-4</v>
      </c>
      <c r="F33" s="12">
        <v>1.6621938242677992E-3</v>
      </c>
      <c r="G33" s="12">
        <v>-6.1820809081205574E-3</v>
      </c>
      <c r="H33" s="12">
        <v>-2.1386677019336053E-3</v>
      </c>
      <c r="I33" s="12">
        <v>-5.341883159823646E-3</v>
      </c>
      <c r="J33" s="12">
        <v>8.5207627098153882E-3</v>
      </c>
      <c r="K33" s="12">
        <v>2.1593396177641555E-2</v>
      </c>
      <c r="L33" s="12">
        <v>6.75921153797443E-4</v>
      </c>
      <c r="M33" s="13">
        <v>30</v>
      </c>
      <c r="N33" s="15">
        <f t="shared" ca="1" si="0"/>
        <v>2</v>
      </c>
      <c r="O33" s="13">
        <v>30</v>
      </c>
      <c r="P33" s="19">
        <f t="shared" ca="1" si="1"/>
        <v>41274</v>
      </c>
      <c r="Q33" s="12">
        <f t="shared" ca="1" si="4"/>
        <v>6.3416666666666672E-5</v>
      </c>
      <c r="R33" s="12">
        <f t="shared" ca="1" si="4"/>
        <v>3.3762579425800077E-4</v>
      </c>
      <c r="S33" s="12">
        <f t="shared" ca="1" si="4"/>
        <v>5.5201947805216811E-4</v>
      </c>
      <c r="T33" s="12">
        <f t="shared" ca="1" si="4"/>
        <v>1.9529105173961003E-3</v>
      </c>
      <c r="U33" s="12">
        <f t="shared" ca="1" si="4"/>
        <v>-4.9419567051486313E-3</v>
      </c>
      <c r="V33" s="12">
        <f t="shared" ca="1" si="4"/>
        <v>-1.6410959913608636E-3</v>
      </c>
      <c r="W33" s="12">
        <f t="shared" ca="1" si="4"/>
        <v>-1.9428262162357601E-4</v>
      </c>
      <c r="X33" s="12">
        <f t="shared" ca="1" si="4"/>
        <v>7.0683105254980561E-3</v>
      </c>
      <c r="Y33" s="12">
        <f t="shared" ca="1" si="4"/>
        <v>1.7491581083854735E-2</v>
      </c>
      <c r="Z33" s="12">
        <f t="shared" ca="1" si="4"/>
        <v>-2.3108141202812904E-2</v>
      </c>
    </row>
    <row r="34" spans="1:26">
      <c r="A34" s="13">
        <v>31</v>
      </c>
      <c r="B34" s="11">
        <v>42153</v>
      </c>
      <c r="C34" s="12">
        <v>0</v>
      </c>
      <c r="D34" s="12">
        <v>7.428156879896175E-4</v>
      </c>
      <c r="E34" s="12">
        <v>6.6009191619720298E-4</v>
      </c>
      <c r="F34" s="12">
        <v>1.1060849460915456E-3</v>
      </c>
      <c r="G34" s="12">
        <v>-2.3382848175917958E-3</v>
      </c>
      <c r="H34" s="12">
        <v>-2.9557347784758825E-5</v>
      </c>
      <c r="I34" s="12">
        <v>-5.0527397229136461E-3</v>
      </c>
      <c r="J34" s="12">
        <v>1.0491438545008114E-2</v>
      </c>
      <c r="K34" s="12">
        <v>5.1169590643262985E-4</v>
      </c>
      <c r="L34" s="12">
        <v>5.2432939030877534E-3</v>
      </c>
      <c r="M34" s="13">
        <v>31</v>
      </c>
      <c r="N34" s="15">
        <f t="shared" ca="1" si="0"/>
        <v>102</v>
      </c>
      <c r="O34" s="13">
        <v>31</v>
      </c>
      <c r="P34" s="19">
        <f t="shared" ca="1" si="1"/>
        <v>44316</v>
      </c>
      <c r="Q34" s="12">
        <f t="shared" ref="Q34:Z43" ca="1" si="5">INDEX(histrets,$N34,Q$1)</f>
        <v>1.2666666666666667E-5</v>
      </c>
      <c r="R34" s="12">
        <f t="shared" ca="1" si="5"/>
        <v>4.5049317147194401E-4</v>
      </c>
      <c r="S34" s="12">
        <f t="shared" ca="1" si="5"/>
        <v>4.0650465731939533E-4</v>
      </c>
      <c r="T34" s="12">
        <f t="shared" ca="1" si="5"/>
        <v>2.0728063989299272E-3</v>
      </c>
      <c r="U34" s="12">
        <f t="shared" ca="1" si="5"/>
        <v>8.4046100400529955E-3</v>
      </c>
      <c r="V34" s="12">
        <f t="shared" ca="1" si="5"/>
        <v>4.3196222963681752E-3</v>
      </c>
      <c r="W34" s="12">
        <f t="shared" ca="1" si="5"/>
        <v>1.1898975953755331E-2</v>
      </c>
      <c r="X34" s="12">
        <f t="shared" ca="1" si="5"/>
        <v>5.242531255584737E-2</v>
      </c>
      <c r="Y34" s="12">
        <f t="shared" ca="1" si="5"/>
        <v>4.5189742860191506E-2</v>
      </c>
      <c r="Z34" s="12">
        <f t="shared" ca="1" si="5"/>
        <v>3.5966294042899527E-2</v>
      </c>
    </row>
    <row r="35" spans="1:26">
      <c r="A35" s="13">
        <v>32</v>
      </c>
      <c r="B35" s="11">
        <v>42185</v>
      </c>
      <c r="C35" s="12">
        <v>0</v>
      </c>
      <c r="D35" s="12">
        <v>2.5320231558723094E-4</v>
      </c>
      <c r="E35" s="12">
        <v>3.5784763056034841E-4</v>
      </c>
      <c r="F35" s="12">
        <v>-1.5031059264967173E-3</v>
      </c>
      <c r="G35" s="12">
        <v>-9.962299900720839E-3</v>
      </c>
      <c r="H35" s="12">
        <v>-4.4419820231021978E-3</v>
      </c>
      <c r="I35" s="12">
        <v>-1.639343013945227E-2</v>
      </c>
      <c r="J35" s="12">
        <v>-2.10117728564716E-2</v>
      </c>
      <c r="K35" s="12">
        <v>-2.4560082279085793E-2</v>
      </c>
      <c r="L35" s="12">
        <v>-1.5311864805389042E-2</v>
      </c>
      <c r="M35" s="13">
        <v>32</v>
      </c>
      <c r="N35" s="15">
        <f t="shared" ca="1" si="0"/>
        <v>85</v>
      </c>
      <c r="O35" s="13">
        <v>32</v>
      </c>
      <c r="P35" s="19">
        <f t="shared" ca="1" si="1"/>
        <v>43798</v>
      </c>
      <c r="Q35" s="12">
        <f t="shared" ca="1" si="5"/>
        <v>1.2700000000000001E-3</v>
      </c>
      <c r="R35" s="12">
        <f t="shared" ca="1" si="5"/>
        <v>-3.1985221522146112E-4</v>
      </c>
      <c r="S35" s="12">
        <f t="shared" ca="1" si="5"/>
        <v>3.6057863500360554E-4</v>
      </c>
      <c r="T35" s="12">
        <f t="shared" ca="1" si="5"/>
        <v>9.0396543563886489E-4</v>
      </c>
      <c r="U35" s="12">
        <f t="shared" ca="1" si="5"/>
        <v>-3.0761312252364226E-3</v>
      </c>
      <c r="V35" s="12">
        <f t="shared" ca="1" si="5"/>
        <v>-1.2057464260430972E-3</v>
      </c>
      <c r="W35" s="12">
        <f t="shared" ca="1" si="5"/>
        <v>2.1668924942224166E-3</v>
      </c>
      <c r="X35" s="12">
        <f t="shared" ca="1" si="5"/>
        <v>3.404706409091518E-2</v>
      </c>
      <c r="Y35" s="12">
        <f t="shared" ca="1" si="5"/>
        <v>2.6294699421991252E-2</v>
      </c>
      <c r="Z35" s="12">
        <f t="shared" ca="1" si="5"/>
        <v>-3.2392811585007175E-2</v>
      </c>
    </row>
    <row r="36" spans="1:26">
      <c r="A36" s="13">
        <v>33</v>
      </c>
      <c r="B36" s="11">
        <v>42216</v>
      </c>
      <c r="C36" s="12">
        <v>4.25E-6</v>
      </c>
      <c r="D36" s="12">
        <v>5.2014702822655856E-4</v>
      </c>
      <c r="E36" s="12">
        <v>7.2024084853961057E-4</v>
      </c>
      <c r="F36" s="12">
        <v>6.1151748804388895E-4</v>
      </c>
      <c r="G36" s="12">
        <v>9.3933699796231451E-3</v>
      </c>
      <c r="H36" s="12">
        <v>4.2111615459292651E-3</v>
      </c>
      <c r="I36" s="12">
        <v>5.3891014886802147E-3</v>
      </c>
      <c r="J36" s="12">
        <v>1.9742039930008559E-2</v>
      </c>
      <c r="K36" s="12">
        <v>1.7279227476218795E-2</v>
      </c>
      <c r="L36" s="12">
        <v>-6.5296199940290789E-2</v>
      </c>
      <c r="M36" s="13">
        <v>33</v>
      </c>
      <c r="N36" s="15">
        <f t="shared" ca="1" si="0"/>
        <v>57</v>
      </c>
      <c r="O36" s="13">
        <v>33</v>
      </c>
      <c r="P36" s="19">
        <f t="shared" ca="1" si="1"/>
        <v>42947</v>
      </c>
      <c r="Q36" s="12">
        <f t="shared" ca="1" si="5"/>
        <v>8.4275000000000007E-4</v>
      </c>
      <c r="R36" s="12">
        <f t="shared" ca="1" si="5"/>
        <v>2.1296426380839062E-3</v>
      </c>
      <c r="S36" s="12">
        <f t="shared" ca="1" si="5"/>
        <v>2.1188695263520962E-3</v>
      </c>
      <c r="T36" s="12">
        <f t="shared" ca="1" si="5"/>
        <v>3.9737789984888305E-3</v>
      </c>
      <c r="U36" s="12">
        <f t="shared" ca="1" si="5"/>
        <v>1.5204383699691792E-3</v>
      </c>
      <c r="V36" s="12">
        <f t="shared" ca="1" si="5"/>
        <v>2.7943614040748521E-3</v>
      </c>
      <c r="W36" s="12">
        <f t="shared" ca="1" si="5"/>
        <v>7.4729816467542509E-3</v>
      </c>
      <c r="X36" s="12">
        <f t="shared" ca="1" si="5"/>
        <v>1.9348768883515444E-2</v>
      </c>
      <c r="Y36" s="12">
        <f t="shared" ca="1" si="5"/>
        <v>2.330896510699576E-2</v>
      </c>
      <c r="Z36" s="12">
        <f t="shared" ca="1" si="5"/>
        <v>2.2414445759940893E-2</v>
      </c>
    </row>
    <row r="37" spans="1:26">
      <c r="A37" s="13">
        <v>34</v>
      </c>
      <c r="B37" s="11">
        <v>42247</v>
      </c>
      <c r="C37" s="12">
        <v>5.0833333333333333E-5</v>
      </c>
      <c r="D37" s="12">
        <v>-4.245659030255311E-4</v>
      </c>
      <c r="E37" s="12">
        <v>5.1180264889927329E-5</v>
      </c>
      <c r="F37" s="12">
        <v>-1.5857702074807412E-3</v>
      </c>
      <c r="G37" s="12">
        <v>5.7009692297005365E-4</v>
      </c>
      <c r="H37" s="12">
        <v>2.0695919191027201E-4</v>
      </c>
      <c r="I37" s="12">
        <v>-6.7093163473843642E-3</v>
      </c>
      <c r="J37" s="12">
        <v>-6.258080462392579E-2</v>
      </c>
      <c r="K37" s="12">
        <v>-6.806184866334386E-2</v>
      </c>
      <c r="L37" s="12">
        <v>3.5709070998357406E-2</v>
      </c>
      <c r="M37" s="13">
        <v>34</v>
      </c>
      <c r="N37" s="15">
        <f t="shared" ca="1" si="0"/>
        <v>87</v>
      </c>
      <c r="O37" s="13">
        <v>34</v>
      </c>
      <c r="P37" s="19">
        <f t="shared" ca="1" si="1"/>
        <v>43861</v>
      </c>
      <c r="Q37" s="12">
        <f t="shared" ca="1" si="5"/>
        <v>1.2863333333333333E-3</v>
      </c>
      <c r="R37" s="12">
        <f t="shared" ca="1" si="5"/>
        <v>5.4097992135349049E-3</v>
      </c>
      <c r="S37" s="12">
        <f t="shared" ca="1" si="5"/>
        <v>4.2842005056689114E-3</v>
      </c>
      <c r="T37" s="12">
        <f t="shared" ca="1" si="5"/>
        <v>5.7110103120057154E-3</v>
      </c>
      <c r="U37" s="12">
        <f t="shared" ca="1" si="5"/>
        <v>2.5643424492520994E-2</v>
      </c>
      <c r="V37" s="12">
        <f t="shared" ca="1" si="5"/>
        <v>1.565730710389257E-2</v>
      </c>
      <c r="W37" s="12">
        <f t="shared" ca="1" si="5"/>
        <v>2.3757911224389527E-2</v>
      </c>
      <c r="X37" s="12">
        <f t="shared" ca="1" si="5"/>
        <v>-1.6280898111292741E-3</v>
      </c>
      <c r="Y37" s="12">
        <f t="shared" ca="1" si="5"/>
        <v>-6.8094993788345715E-3</v>
      </c>
      <c r="Z37" s="12">
        <f t="shared" ca="1" si="5"/>
        <v>4.7381151673729915E-2</v>
      </c>
    </row>
    <row r="38" spans="1:26">
      <c r="A38" s="13">
        <v>35</v>
      </c>
      <c r="B38" s="11">
        <v>42277</v>
      </c>
      <c r="C38" s="12">
        <v>0</v>
      </c>
      <c r="D38" s="12">
        <v>3.025233393722182E-3</v>
      </c>
      <c r="E38" s="12">
        <v>2.8579516467206467E-3</v>
      </c>
      <c r="F38" s="12">
        <v>2.7680900795501451E-3</v>
      </c>
      <c r="G38" s="12">
        <v>8.9755328959022496E-3</v>
      </c>
      <c r="H38" s="12">
        <v>6.0349461811213256E-3</v>
      </c>
      <c r="I38" s="12">
        <v>5.2409861317948003E-3</v>
      </c>
      <c r="J38" s="12">
        <v>-2.6442819620927094E-2</v>
      </c>
      <c r="K38" s="12">
        <v>-3.8597813337546971E-2</v>
      </c>
      <c r="L38" s="12">
        <v>-1.7481254350488751E-2</v>
      </c>
      <c r="M38" s="13">
        <v>35</v>
      </c>
      <c r="N38" s="15">
        <f t="shared" ca="1" si="0"/>
        <v>56</v>
      </c>
      <c r="O38" s="13">
        <v>35</v>
      </c>
      <c r="P38" s="19">
        <f t="shared" ca="1" si="1"/>
        <v>42916</v>
      </c>
      <c r="Q38" s="12">
        <f t="shared" ca="1" si="5"/>
        <v>8.0883333333333339E-4</v>
      </c>
      <c r="R38" s="12">
        <f t="shared" ca="1" si="5"/>
        <v>-8.0204131069117057E-4</v>
      </c>
      <c r="S38" s="12">
        <f t="shared" ca="1" si="5"/>
        <v>-2.4903126051567526E-4</v>
      </c>
      <c r="T38" s="12">
        <f t="shared" ca="1" si="5"/>
        <v>6.9842322783286725E-4</v>
      </c>
      <c r="U38" s="12">
        <f t="shared" ca="1" si="5"/>
        <v>-1.4999198156073756E-3</v>
      </c>
      <c r="V38" s="12">
        <f t="shared" ca="1" si="5"/>
        <v>-6.063772226055919E-4</v>
      </c>
      <c r="W38" s="12">
        <f t="shared" ca="1" si="5"/>
        <v>2.4540228281686449E-3</v>
      </c>
      <c r="X38" s="12">
        <f t="shared" ca="1" si="5"/>
        <v>4.8138319927024664E-3</v>
      </c>
      <c r="Y38" s="12">
        <f t="shared" ca="1" si="5"/>
        <v>2.4532624729305397E-3</v>
      </c>
      <c r="Z38" s="12">
        <f t="shared" ca="1" si="5"/>
        <v>-2.152223938467368E-2</v>
      </c>
    </row>
    <row r="39" spans="1:26">
      <c r="A39" s="13">
        <v>36</v>
      </c>
      <c r="B39" s="11">
        <v>42307</v>
      </c>
      <c r="C39" s="12">
        <v>-1.6916666666666667E-5</v>
      </c>
      <c r="D39" s="12">
        <v>-9.7742671460165909E-4</v>
      </c>
      <c r="E39" s="12">
        <v>-4.927758109271041E-4</v>
      </c>
      <c r="F39" s="12">
        <v>1.940190683884957E-3</v>
      </c>
      <c r="G39" s="12">
        <v>-3.5650933433152288E-3</v>
      </c>
      <c r="H39" s="12">
        <v>-1.3467962852747872E-3</v>
      </c>
      <c r="I39" s="12">
        <v>5.3601883874283551E-3</v>
      </c>
      <c r="J39" s="12">
        <v>8.2983078389400333E-2</v>
      </c>
      <c r="K39" s="12">
        <v>7.8309901891372435E-2</v>
      </c>
      <c r="L39" s="12">
        <v>2.4231227972629998E-2</v>
      </c>
      <c r="M39" s="13">
        <v>36</v>
      </c>
      <c r="N39" s="15">
        <f t="shared" ca="1" si="0"/>
        <v>103</v>
      </c>
      <c r="O39" s="13">
        <v>36</v>
      </c>
      <c r="P39" s="19">
        <f t="shared" ca="1" si="1"/>
        <v>44347</v>
      </c>
      <c r="Q39" s="12">
        <f t="shared" ca="1" si="5"/>
        <v>2.0833333333333334E-6</v>
      </c>
      <c r="R39" s="12">
        <f t="shared" ca="1" si="5"/>
        <v>7.5601374570455349E-4</v>
      </c>
      <c r="S39" s="12">
        <f t="shared" ca="1" si="5"/>
        <v>7.7117116067437763E-4</v>
      </c>
      <c r="T39" s="12">
        <f t="shared" ca="1" si="5"/>
        <v>2.1318730865014235E-3</v>
      </c>
      <c r="U39" s="12">
        <f t="shared" ca="1" si="5"/>
        <v>2.9767087748440169E-3</v>
      </c>
      <c r="V39" s="12">
        <f t="shared" ca="1" si="5"/>
        <v>2.9418212628797846E-3</v>
      </c>
      <c r="W39" s="12">
        <f t="shared" ca="1" si="5"/>
        <v>7.0206864587414319E-3</v>
      </c>
      <c r="X39" s="12">
        <f t="shared" ca="1" si="5"/>
        <v>5.4865025818131574E-3</v>
      </c>
      <c r="Y39" s="12">
        <f t="shared" ca="1" si="5"/>
        <v>1.2569927452394714E-2</v>
      </c>
      <c r="Z39" s="12">
        <f t="shared" ca="1" si="5"/>
        <v>7.7857477969397237E-2</v>
      </c>
    </row>
    <row r="40" spans="1:26">
      <c r="A40" s="13">
        <v>37</v>
      </c>
      <c r="B40" s="11">
        <v>42338</v>
      </c>
      <c r="C40" s="12">
        <v>5.933333333333333E-5</v>
      </c>
      <c r="D40" s="12">
        <v>-2.4550406621516307E-3</v>
      </c>
      <c r="E40" s="12">
        <v>-1.9393666703364509E-3</v>
      </c>
      <c r="F40" s="12">
        <v>-7.1057840590915688E-4</v>
      </c>
      <c r="G40" s="12">
        <v>-4.225256655618348E-3</v>
      </c>
      <c r="H40" s="12">
        <v>-2.6917513626392164E-3</v>
      </c>
      <c r="I40" s="12">
        <v>-2.2383480101869635E-3</v>
      </c>
      <c r="J40" s="12">
        <v>5.0496306555847248E-4</v>
      </c>
      <c r="K40" s="12">
        <v>-6.6830812521982974E-3</v>
      </c>
      <c r="L40" s="12">
        <v>-6.7716769838281676E-2</v>
      </c>
      <c r="M40" s="13">
        <v>37</v>
      </c>
      <c r="N40" s="15">
        <f t="shared" ca="1" si="0"/>
        <v>52</v>
      </c>
      <c r="O40" s="13">
        <v>37</v>
      </c>
      <c r="P40" s="19">
        <f t="shared" ca="1" si="1"/>
        <v>42794</v>
      </c>
      <c r="Q40" s="12">
        <f t="shared" ca="1" si="5"/>
        <v>4.2725000000000006E-4</v>
      </c>
      <c r="R40" s="12">
        <f t="shared" ca="1" si="5"/>
        <v>1.0199846529690415E-3</v>
      </c>
      <c r="S40" s="12">
        <f t="shared" ca="1" si="5"/>
        <v>1.1263017174716339E-3</v>
      </c>
      <c r="T40" s="12">
        <f t="shared" ca="1" si="5"/>
        <v>3.3637506960311203E-3</v>
      </c>
      <c r="U40" s="12">
        <f t="shared" ca="1" si="5"/>
        <v>5.1711262346592068E-3</v>
      </c>
      <c r="V40" s="12">
        <f t="shared" ca="1" si="5"/>
        <v>3.9337034794455494E-3</v>
      </c>
      <c r="W40" s="12">
        <f t="shared" ca="1" si="5"/>
        <v>1.1310662928395665E-2</v>
      </c>
      <c r="X40" s="12">
        <f t="shared" ca="1" si="5"/>
        <v>3.7198260541408734E-2</v>
      </c>
      <c r="Y40" s="12">
        <f t="shared" ca="1" si="5"/>
        <v>2.5831287659004554E-2</v>
      </c>
      <c r="Z40" s="12">
        <f t="shared" ca="1" si="5"/>
        <v>3.1155015197568359E-2</v>
      </c>
    </row>
    <row r="41" spans="1:26">
      <c r="A41" s="13">
        <v>38</v>
      </c>
      <c r="B41" s="11">
        <v>42369</v>
      </c>
      <c r="C41" s="12">
        <v>1.3983333333333334E-4</v>
      </c>
      <c r="D41" s="12">
        <v>-9.365642487412229E-4</v>
      </c>
      <c r="E41" s="12">
        <v>-1.2589213561818857E-3</v>
      </c>
      <c r="F41" s="12">
        <v>-2.4958607185572301E-3</v>
      </c>
      <c r="G41" s="12">
        <v>-1.5686691398054675E-3</v>
      </c>
      <c r="H41" s="12">
        <v>-2.4794726558212687E-3</v>
      </c>
      <c r="I41" s="12">
        <v>-8.6713379184790718E-3</v>
      </c>
      <c r="J41" s="12">
        <v>-1.7530198374358763E-2</v>
      </c>
      <c r="K41" s="12">
        <v>-1.8655571293673345E-2</v>
      </c>
      <c r="L41" s="12">
        <v>-3.4467537590278097E-3</v>
      </c>
      <c r="M41" s="13">
        <v>38</v>
      </c>
      <c r="N41" s="15">
        <f t="shared" ca="1" si="0"/>
        <v>105</v>
      </c>
      <c r="O41" s="13">
        <v>38</v>
      </c>
      <c r="P41" s="19">
        <f t="shared" ca="1" si="1"/>
        <v>44407</v>
      </c>
      <c r="Q41" s="12">
        <f t="shared" ca="1" si="5"/>
        <v>3.3833333333333334E-5</v>
      </c>
      <c r="R41" s="12">
        <f t="shared" ca="1" si="5"/>
        <v>1.6626477447918564E-3</v>
      </c>
      <c r="S41" s="12">
        <f t="shared" ca="1" si="5"/>
        <v>1.647780086191597E-3</v>
      </c>
      <c r="T41" s="12">
        <f t="shared" ca="1" si="5"/>
        <v>1.6872030917995939E-3</v>
      </c>
      <c r="U41" s="12">
        <f t="shared" ca="1" si="5"/>
        <v>1.3395155145788706E-2</v>
      </c>
      <c r="V41" s="12">
        <f t="shared" ca="1" si="5"/>
        <v>7.0237893228504156E-3</v>
      </c>
      <c r="W41" s="12">
        <f t="shared" ca="1" si="5"/>
        <v>1.2096097926917571E-2</v>
      </c>
      <c r="X41" s="12">
        <f t="shared" ca="1" si="5"/>
        <v>2.274810936591054E-2</v>
      </c>
      <c r="Y41" s="12">
        <f t="shared" ca="1" si="5"/>
        <v>1.7240979308836168E-2</v>
      </c>
      <c r="Z41" s="12">
        <f t="shared" ca="1" si="5"/>
        <v>2.4902407195033227E-2</v>
      </c>
    </row>
    <row r="42" spans="1:26">
      <c r="A42" s="13">
        <v>39</v>
      </c>
      <c r="B42" s="11">
        <v>42398</v>
      </c>
      <c r="C42" s="12">
        <v>1.3558333333333334E-4</v>
      </c>
      <c r="D42" s="12">
        <v>6.0925064514252281E-3</v>
      </c>
      <c r="E42" s="12">
        <v>5.905581130311699E-3</v>
      </c>
      <c r="F42" s="12">
        <v>2.6974189680679661E-3</v>
      </c>
      <c r="G42" s="12">
        <v>2.1998469118457598E-2</v>
      </c>
      <c r="H42" s="12">
        <v>1.4334016069284194E-2</v>
      </c>
      <c r="I42" s="12">
        <v>4.3871656211247334E-3</v>
      </c>
      <c r="J42" s="12">
        <v>-5.0735344481736222E-2</v>
      </c>
      <c r="K42" s="12">
        <v>-6.0506738674156013E-2</v>
      </c>
      <c r="L42" s="12">
        <v>5.3821505984356088E-2</v>
      </c>
      <c r="M42" s="13">
        <v>39</v>
      </c>
      <c r="N42" s="15">
        <f t="shared" ca="1" si="0"/>
        <v>55</v>
      </c>
      <c r="O42" s="13">
        <v>39</v>
      </c>
      <c r="P42" s="19">
        <f t="shared" ca="1" si="1"/>
        <v>42886</v>
      </c>
      <c r="Q42" s="12">
        <f t="shared" ca="1" si="5"/>
        <v>6.6025000000000003E-4</v>
      </c>
      <c r="R42" s="12">
        <f t="shared" ca="1" si="5"/>
        <v>1.1568926377922839E-3</v>
      </c>
      <c r="S42" s="12">
        <f t="shared" ca="1" si="5"/>
        <v>1.4418865273975179E-3</v>
      </c>
      <c r="T42" s="12">
        <f t="shared" ca="1" si="5"/>
        <v>2.7321866970402287E-3</v>
      </c>
      <c r="U42" s="12">
        <f t="shared" ca="1" si="5"/>
        <v>6.7014878125990496E-3</v>
      </c>
      <c r="V42" s="12">
        <f t="shared" ca="1" si="5"/>
        <v>4.3642228758629109E-3</v>
      </c>
      <c r="W42" s="12">
        <f t="shared" ca="1" si="5"/>
        <v>1.1623927349114549E-2</v>
      </c>
      <c r="X42" s="12">
        <f t="shared" ca="1" si="5"/>
        <v>1.1576210049492719E-2</v>
      </c>
      <c r="Y42" s="12">
        <f t="shared" ca="1" si="5"/>
        <v>1.7814170411227348E-2</v>
      </c>
      <c r="Z42" s="12">
        <f t="shared" ca="1" si="5"/>
        <v>5.046204308196689E-4</v>
      </c>
    </row>
    <row r="43" spans="1:26">
      <c r="A43" s="13">
        <v>40</v>
      </c>
      <c r="B43" s="11">
        <v>42429</v>
      </c>
      <c r="C43" s="12">
        <v>2.5858333333333338E-4</v>
      </c>
      <c r="D43" s="12">
        <v>1.1526283550027383E-3</v>
      </c>
      <c r="E43" s="12">
        <v>6.3649925410236285E-4</v>
      </c>
      <c r="F43" s="12">
        <v>9.6042118432282386E-4</v>
      </c>
      <c r="G43" s="12">
        <v>9.8407227159911237E-3</v>
      </c>
      <c r="H43" s="12">
        <v>4.5348675578638087E-3</v>
      </c>
      <c r="I43" s="12">
        <v>7.3469230175275957E-3</v>
      </c>
      <c r="J43" s="12">
        <v>-4.1283552550199776E-3</v>
      </c>
      <c r="K43" s="12">
        <v>-9.608367793724093E-3</v>
      </c>
      <c r="L43" s="12">
        <v>0.10772574024557113</v>
      </c>
      <c r="M43" s="13">
        <v>40</v>
      </c>
      <c r="N43" s="15">
        <f t="shared" ca="1" si="0"/>
        <v>104</v>
      </c>
      <c r="O43" s="13">
        <v>40</v>
      </c>
      <c r="P43" s="19">
        <f t="shared" ca="1" si="1"/>
        <v>44377</v>
      </c>
      <c r="Q43" s="12">
        <f t="shared" ca="1" si="5"/>
        <v>2.0833333333333334E-6</v>
      </c>
      <c r="R43" s="12">
        <f t="shared" ca="1" si="5"/>
        <v>-1.5448288492249107E-3</v>
      </c>
      <c r="S43" s="12">
        <f t="shared" ca="1" si="5"/>
        <v>-1.1198469033213421E-3</v>
      </c>
      <c r="T43" s="12">
        <f t="shared" ca="1" si="5"/>
        <v>-7.9920048341874939E-4</v>
      </c>
      <c r="U43" s="12">
        <f t="shared" ca="1" si="5"/>
        <v>8.6882529944476428E-3</v>
      </c>
      <c r="V43" s="12">
        <f t="shared" ca="1" si="5"/>
        <v>2.6803411128408783E-3</v>
      </c>
      <c r="W43" s="12">
        <f t="shared" ca="1" si="5"/>
        <v>1.6647095909956722E-2</v>
      </c>
      <c r="X43" s="12">
        <f t="shared" ca="1" si="5"/>
        <v>2.221397632316946E-2</v>
      </c>
      <c r="Y43" s="12">
        <f t="shared" ca="1" si="5"/>
        <v>1.3956380011425962E-2</v>
      </c>
      <c r="Z43" s="12">
        <f t="shared" ca="1" si="5"/>
        <v>-7.171962430579959E-2</v>
      </c>
    </row>
    <row r="44" spans="1:26">
      <c r="A44" s="13">
        <v>41</v>
      </c>
      <c r="B44" s="11">
        <v>42460</v>
      </c>
      <c r="C44" s="12">
        <v>2.6283333333333334E-4</v>
      </c>
      <c r="D44" s="12">
        <v>1.7450488010437581E-3</v>
      </c>
      <c r="E44" s="12">
        <v>2.0434531973680947E-3</v>
      </c>
      <c r="F44" s="12">
        <v>8.4586985427637096E-3</v>
      </c>
      <c r="G44" s="12">
        <v>1.3902308915594297E-3</v>
      </c>
      <c r="H44" s="12">
        <v>2.4232475161714007E-3</v>
      </c>
      <c r="I44" s="12">
        <v>2.7141723803574269E-2</v>
      </c>
      <c r="J44" s="12">
        <v>6.5991108718941094E-2</v>
      </c>
      <c r="K44" s="12">
        <v>6.5248162774614205E-2</v>
      </c>
      <c r="L44" s="12">
        <v>-4.7793197542526089E-3</v>
      </c>
      <c r="M44" s="13">
        <v>41</v>
      </c>
      <c r="N44" s="15">
        <f t="shared" ca="1" si="0"/>
        <v>48</v>
      </c>
      <c r="O44" s="13">
        <v>41</v>
      </c>
      <c r="P44" s="19">
        <f t="shared" ca="1" si="1"/>
        <v>42674</v>
      </c>
      <c r="Q44" s="12">
        <f t="shared" ref="Q44:Z53" ca="1" si="6">INDEX(histrets,$N44,Q$1)</f>
        <v>2.2824999999999999E-4</v>
      </c>
      <c r="R44" s="12">
        <f t="shared" ca="1" si="6"/>
        <v>-6.6904014583524241E-4</v>
      </c>
      <c r="S44" s="12">
        <f t="shared" ca="1" si="6"/>
        <v>-8.8476979395957223E-5</v>
      </c>
      <c r="T44" s="12">
        <f t="shared" ca="1" si="6"/>
        <v>4.7436962881475253E-4</v>
      </c>
      <c r="U44" s="12">
        <f t="shared" ca="1" si="6"/>
        <v>-1.151288919576221E-2</v>
      </c>
      <c r="V44" s="12">
        <f t="shared" ca="1" si="6"/>
        <v>-4.5227010929861367E-3</v>
      </c>
      <c r="W44" s="12">
        <f t="shared" ca="1" si="6"/>
        <v>-8.2772866137545975E-3</v>
      </c>
      <c r="X44" s="12">
        <f t="shared" ca="1" si="6"/>
        <v>-1.9425625037472249E-2</v>
      </c>
      <c r="Y44" s="12">
        <f t="shared" ca="1" si="6"/>
        <v>-2.0137106167459562E-2</v>
      </c>
      <c r="Z44" s="12">
        <f t="shared" ca="1" si="6"/>
        <v>-2.9379801956120222E-2</v>
      </c>
    </row>
    <row r="45" spans="1:26">
      <c r="A45" s="13">
        <v>42</v>
      </c>
      <c r="B45" s="11">
        <v>42489</v>
      </c>
      <c r="C45" s="12">
        <v>1.6525000000000001E-4</v>
      </c>
      <c r="D45" s="12">
        <v>3.6216580311787538E-4</v>
      </c>
      <c r="E45" s="12">
        <v>2.4757090883142929E-4</v>
      </c>
      <c r="F45" s="12">
        <v>4.1174784036310808E-3</v>
      </c>
      <c r="G45" s="12">
        <v>-1.2004718966450723E-3</v>
      </c>
      <c r="H45" s="12">
        <v>2.7608070445017674E-4</v>
      </c>
      <c r="I45" s="12">
        <v>1.3602736367879897E-2</v>
      </c>
      <c r="J45" s="12">
        <v>2.69936982337593E-3</v>
      </c>
      <c r="K45" s="12">
        <v>1.3761133898017253E-2</v>
      </c>
      <c r="L45" s="12">
        <v>4.9304400730074915E-2</v>
      </c>
      <c r="M45" s="13">
        <v>42</v>
      </c>
      <c r="N45" s="15">
        <f t="shared" ca="1" si="0"/>
        <v>128</v>
      </c>
      <c r="O45" s="13">
        <v>42</v>
      </c>
      <c r="P45" s="19">
        <f t="shared" ca="1" si="1"/>
        <v>45107</v>
      </c>
      <c r="Q45" s="12">
        <f t="shared" ca="1" si="6"/>
        <v>4.4903333333333332E-3</v>
      </c>
      <c r="R45" s="12">
        <f t="shared" ca="1" si="6"/>
        <v>-4.8445195255588658E-3</v>
      </c>
      <c r="S45" s="12">
        <f t="shared" ca="1" si="6"/>
        <v>-1.3030179964843569E-3</v>
      </c>
      <c r="T45" s="12">
        <f t="shared" ca="1" si="6"/>
        <v>-1.368606954410323E-3</v>
      </c>
      <c r="U45" s="12">
        <f t="shared" ca="1" si="6"/>
        <v>-7.2523719399045783E-3</v>
      </c>
      <c r="V45" s="12">
        <f t="shared" ca="1" si="6"/>
        <v>-2.996004695004828E-3</v>
      </c>
      <c r="W45" s="12">
        <f t="shared" ca="1" si="6"/>
        <v>2.8447957469166507E-3</v>
      </c>
      <c r="X45" s="12">
        <f t="shared" ca="1" si="6"/>
        <v>6.4727512841431301E-2</v>
      </c>
      <c r="Y45" s="12">
        <f t="shared" ca="1" si="6"/>
        <v>5.9330990944668205E-2</v>
      </c>
      <c r="Z45" s="12">
        <f t="shared" ca="1" si="6"/>
        <v>-2.2101868316069972E-2</v>
      </c>
    </row>
    <row r="46" spans="1:26">
      <c r="A46" s="13">
        <v>43</v>
      </c>
      <c r="B46" s="11">
        <v>42521</v>
      </c>
      <c r="C46" s="12">
        <v>1.7374999999999999E-4</v>
      </c>
      <c r="D46" s="12">
        <v>-1.0628856830331435E-3</v>
      </c>
      <c r="E46" s="12">
        <v>-5.5927657376853013E-4</v>
      </c>
      <c r="F46" s="12">
        <v>1.5459070746159931E-4</v>
      </c>
      <c r="G46" s="12">
        <v>3.748514902548461E-4</v>
      </c>
      <c r="H46" s="12">
        <v>3.9650403269497758E-4</v>
      </c>
      <c r="I46" s="12">
        <v>-6.4936379649593867E-4</v>
      </c>
      <c r="J46" s="12">
        <v>1.5329492083474561E-2</v>
      </c>
      <c r="K46" s="12">
        <v>2.2803447450323588E-3</v>
      </c>
      <c r="L46" s="12">
        <v>-6.0454724668156157E-2</v>
      </c>
      <c r="M46" s="13">
        <v>43</v>
      </c>
      <c r="N46" s="15">
        <f t="shared" ca="1" si="0"/>
        <v>122</v>
      </c>
      <c r="O46" s="13">
        <v>43</v>
      </c>
      <c r="P46" s="19">
        <f t="shared" ca="1" si="1"/>
        <v>44925</v>
      </c>
      <c r="Q46" s="12">
        <f t="shared" ca="1" si="6"/>
        <v>3.5996666666666668E-3</v>
      </c>
      <c r="R46" s="12">
        <f t="shared" ca="1" si="6"/>
        <v>2.0455625090360918E-3</v>
      </c>
      <c r="S46" s="12">
        <f t="shared" ca="1" si="6"/>
        <v>2.5523556719058149E-3</v>
      </c>
      <c r="T46" s="12">
        <f t="shared" ca="1" si="6"/>
        <v>3.0386964971180763E-3</v>
      </c>
      <c r="U46" s="12">
        <f t="shared" ca="1" si="6"/>
        <v>-5.2423174935820605E-3</v>
      </c>
      <c r="V46" s="12">
        <f t="shared" ca="1" si="6"/>
        <v>1.4255618068126363E-3</v>
      </c>
      <c r="W46" s="12">
        <f t="shared" ca="1" si="6"/>
        <v>-2.1183511393275678E-3</v>
      </c>
      <c r="X46" s="12">
        <f t="shared" ca="1" si="6"/>
        <v>-5.8971449299161094E-2</v>
      </c>
      <c r="Y46" s="12">
        <f t="shared" ca="1" si="6"/>
        <v>-4.3441667983637688E-2</v>
      </c>
      <c r="Z46" s="12">
        <f t="shared" ca="1" si="6"/>
        <v>3.1382172664148555E-2</v>
      </c>
    </row>
    <row r="47" spans="1:26">
      <c r="A47" s="13">
        <v>44</v>
      </c>
      <c r="B47" s="11">
        <v>42551</v>
      </c>
      <c r="C47" s="12">
        <v>2.3741666666666665E-4</v>
      </c>
      <c r="D47" s="12">
        <v>5.9906889937983987E-3</v>
      </c>
      <c r="E47" s="12">
        <v>4.4449665516266279E-3</v>
      </c>
      <c r="F47" s="12">
        <v>6.0790218284707542E-3</v>
      </c>
      <c r="G47" s="12">
        <v>2.3245915429732422E-2</v>
      </c>
      <c r="H47" s="12">
        <v>1.2764522849498583E-2</v>
      </c>
      <c r="I47" s="12">
        <v>2.179508100404437E-2</v>
      </c>
      <c r="J47" s="12">
        <v>9.0607355409733081E-4</v>
      </c>
      <c r="K47" s="12">
        <v>-1.2767151754736861E-2</v>
      </c>
      <c r="L47" s="12">
        <v>8.768811763060258E-2</v>
      </c>
      <c r="M47" s="13">
        <v>44</v>
      </c>
      <c r="N47" s="15">
        <f t="shared" ca="1" si="0"/>
        <v>39</v>
      </c>
      <c r="O47" s="13">
        <v>44</v>
      </c>
      <c r="P47" s="19">
        <f t="shared" ca="1" si="1"/>
        <v>42398</v>
      </c>
      <c r="Q47" s="12">
        <f t="shared" ca="1" si="6"/>
        <v>1.3558333333333334E-4</v>
      </c>
      <c r="R47" s="12">
        <f t="shared" ca="1" si="6"/>
        <v>6.0925064514252281E-3</v>
      </c>
      <c r="S47" s="12">
        <f t="shared" ca="1" si="6"/>
        <v>5.905581130311699E-3</v>
      </c>
      <c r="T47" s="12">
        <f t="shared" ca="1" si="6"/>
        <v>2.6974189680679661E-3</v>
      </c>
      <c r="U47" s="12">
        <f t="shared" ca="1" si="6"/>
        <v>2.1998469118457598E-2</v>
      </c>
      <c r="V47" s="12">
        <f t="shared" ca="1" si="6"/>
        <v>1.4334016069284194E-2</v>
      </c>
      <c r="W47" s="12">
        <f t="shared" ca="1" si="6"/>
        <v>4.3871656211247334E-3</v>
      </c>
      <c r="X47" s="12">
        <f t="shared" ca="1" si="6"/>
        <v>-5.0735344481736222E-2</v>
      </c>
      <c r="Y47" s="12">
        <f t="shared" ca="1" si="6"/>
        <v>-6.0506738674156013E-2</v>
      </c>
      <c r="Z47" s="12">
        <f t="shared" ca="1" si="6"/>
        <v>5.3821505984356088E-2</v>
      </c>
    </row>
    <row r="48" spans="1:26">
      <c r="A48" s="13">
        <v>45</v>
      </c>
      <c r="B48" s="11">
        <v>42580</v>
      </c>
      <c r="C48" s="12">
        <v>2.1558333333333333E-4</v>
      </c>
      <c r="D48" s="12">
        <v>-5.7077088298329581E-4</v>
      </c>
      <c r="E48" s="12">
        <v>-3.0581958067155135E-4</v>
      </c>
      <c r="F48" s="12">
        <v>2.2605119529390816E-3</v>
      </c>
      <c r="G48" s="12">
        <v>4.2456896419305057E-3</v>
      </c>
      <c r="H48" s="12">
        <v>2.623848785514804E-3</v>
      </c>
      <c r="I48" s="12">
        <v>1.4501917690883159E-2</v>
      </c>
      <c r="J48" s="12">
        <v>3.5609807228685897E-2</v>
      </c>
      <c r="K48" s="12">
        <v>4.1470333831348238E-2</v>
      </c>
      <c r="L48" s="12">
        <v>2.2225584386110775E-2</v>
      </c>
      <c r="M48" s="13">
        <v>45</v>
      </c>
      <c r="N48" s="15">
        <f t="shared" ca="1" si="0"/>
        <v>43</v>
      </c>
      <c r="O48" s="13">
        <v>45</v>
      </c>
      <c r="P48" s="19">
        <f t="shared" ca="1" si="1"/>
        <v>42521</v>
      </c>
      <c r="Q48" s="12">
        <f t="shared" ca="1" si="6"/>
        <v>1.7374999999999999E-4</v>
      </c>
      <c r="R48" s="12">
        <f t="shared" ca="1" si="6"/>
        <v>-1.0628856830331435E-3</v>
      </c>
      <c r="S48" s="12">
        <f t="shared" ca="1" si="6"/>
        <v>-5.5927657376853013E-4</v>
      </c>
      <c r="T48" s="12">
        <f t="shared" ca="1" si="6"/>
        <v>1.5459070746159931E-4</v>
      </c>
      <c r="U48" s="12">
        <f t="shared" ca="1" si="6"/>
        <v>3.748514902548461E-4</v>
      </c>
      <c r="V48" s="12">
        <f t="shared" ca="1" si="6"/>
        <v>3.9650403269497758E-4</v>
      </c>
      <c r="W48" s="12">
        <f t="shared" ca="1" si="6"/>
        <v>-6.4936379649593867E-4</v>
      </c>
      <c r="X48" s="12">
        <f t="shared" ca="1" si="6"/>
        <v>1.5329492083474561E-2</v>
      </c>
      <c r="Y48" s="12">
        <f t="shared" ca="1" si="6"/>
        <v>2.2803447450323588E-3</v>
      </c>
      <c r="Z48" s="12">
        <f t="shared" ca="1" si="6"/>
        <v>-6.0454724668156157E-2</v>
      </c>
    </row>
    <row r="49" spans="1:26">
      <c r="A49" s="13">
        <v>46</v>
      </c>
      <c r="B49" s="11">
        <v>42613</v>
      </c>
      <c r="C49" s="12">
        <v>2.1133333333333334E-4</v>
      </c>
      <c r="D49" s="12">
        <v>-1.6602050811351798E-3</v>
      </c>
      <c r="E49" s="12">
        <v>-8.8058716350547517E-4</v>
      </c>
      <c r="F49" s="12">
        <v>3.1979744558774392E-4</v>
      </c>
      <c r="G49" s="12">
        <v>-5.7267215803793459E-3</v>
      </c>
      <c r="H49" s="12">
        <v>-1.9741681522077448E-3</v>
      </c>
      <c r="I49" s="12">
        <v>2.7415164014816806E-3</v>
      </c>
      <c r="J49" s="12">
        <v>-1.2191755612808164E-3</v>
      </c>
      <c r="K49" s="12">
        <v>-1.3183953908432189E-3</v>
      </c>
      <c r="L49" s="12">
        <v>-3.1311053223610164E-2</v>
      </c>
      <c r="M49" s="13">
        <v>46</v>
      </c>
      <c r="N49" s="15">
        <f t="shared" ca="1" si="0"/>
        <v>108</v>
      </c>
      <c r="O49" s="13">
        <v>46</v>
      </c>
      <c r="P49" s="19">
        <f t="shared" ca="1" si="1"/>
        <v>44498</v>
      </c>
      <c r="Q49" s="12">
        <f t="shared" ca="1" si="6"/>
        <v>2.7500000000000001E-5</v>
      </c>
      <c r="R49" s="12">
        <f t="shared" ca="1" si="6"/>
        <v>-3.0397106151245357E-3</v>
      </c>
      <c r="S49" s="12">
        <f t="shared" ca="1" si="6"/>
        <v>-2.7381247848330403E-3</v>
      </c>
      <c r="T49" s="12">
        <f t="shared" ca="1" si="6"/>
        <v>-3.2666890866690501E-3</v>
      </c>
      <c r="U49" s="12">
        <f t="shared" ca="1" si="6"/>
        <v>3.1127562849819768E-4</v>
      </c>
      <c r="V49" s="12">
        <f t="shared" ca="1" si="6"/>
        <v>-3.2191243321966212E-3</v>
      </c>
      <c r="W49" s="12">
        <f t="shared" ca="1" si="6"/>
        <v>2.4950726425574388E-3</v>
      </c>
      <c r="X49" s="12">
        <f t="shared" ca="1" si="6"/>
        <v>6.9143873301234615E-2</v>
      </c>
      <c r="Y49" s="12">
        <f t="shared" ca="1" si="6"/>
        <v>5.5920308654293871E-2</v>
      </c>
      <c r="Z49" s="12">
        <f t="shared" ca="1" si="6"/>
        <v>1.5043114488175524E-2</v>
      </c>
    </row>
    <row r="50" spans="1:26">
      <c r="A50" s="13">
        <v>47</v>
      </c>
      <c r="B50" s="11">
        <v>42643</v>
      </c>
      <c r="C50" s="12">
        <v>2.7483333333333331E-4</v>
      </c>
      <c r="D50" s="12">
        <v>1.1621035875981622E-3</v>
      </c>
      <c r="E50" s="12">
        <v>1.515090379294648E-3</v>
      </c>
      <c r="F50" s="12">
        <v>7.7099427012439214E-4</v>
      </c>
      <c r="G50" s="12">
        <v>-1.8386753168915249E-3</v>
      </c>
      <c r="H50" s="12">
        <v>6.9919808022667063E-4</v>
      </c>
      <c r="I50" s="12">
        <v>-2.8800244945604847E-3</v>
      </c>
      <c r="J50" s="12">
        <v>-1.2344825997834263E-3</v>
      </c>
      <c r="K50" s="12">
        <v>3.5765795105611176E-3</v>
      </c>
      <c r="L50" s="12">
        <v>5.2713201983236591E-3</v>
      </c>
      <c r="M50" s="13">
        <v>47</v>
      </c>
      <c r="N50" s="15">
        <f t="shared" ca="1" si="0"/>
        <v>10</v>
      </c>
      <c r="O50" s="13">
        <v>47</v>
      </c>
      <c r="P50" s="19">
        <f t="shared" ca="1" si="1"/>
        <v>41516</v>
      </c>
      <c r="Q50" s="12">
        <f t="shared" ca="1" si="6"/>
        <v>2.9583333333333332E-5</v>
      </c>
      <c r="R50" s="12">
        <f t="shared" ca="1" si="6"/>
        <v>-9.1058735963966964E-4</v>
      </c>
      <c r="S50" s="12">
        <f t="shared" ca="1" si="6"/>
        <v>-6.2995509738672517E-4</v>
      </c>
      <c r="T50" s="12">
        <f t="shared" ca="1" si="6"/>
        <v>1.6922798954599472E-4</v>
      </c>
      <c r="U50" s="12">
        <f t="shared" ca="1" si="6"/>
        <v>-5.3898417918450958E-3</v>
      </c>
      <c r="V50" s="12">
        <f t="shared" ca="1" si="6"/>
        <v>-4.2185645750429934E-3</v>
      </c>
      <c r="W50" s="12">
        <f t="shared" ca="1" si="6"/>
        <v>-6.6851475720129949E-3</v>
      </c>
      <c r="X50" s="12">
        <f t="shared" ca="1" si="6"/>
        <v>-3.1298013323604601E-2</v>
      </c>
      <c r="Y50" s="12">
        <f t="shared" ca="1" si="6"/>
        <v>-2.33236731635178E-2</v>
      </c>
      <c r="Z50" s="12">
        <f t="shared" ca="1" si="6"/>
        <v>5.2978333220131901E-2</v>
      </c>
    </row>
    <row r="51" spans="1:26">
      <c r="A51" s="13">
        <v>48</v>
      </c>
      <c r="B51" s="11">
        <v>42674</v>
      </c>
      <c r="C51" s="12">
        <v>2.2824999999999999E-4</v>
      </c>
      <c r="D51" s="12">
        <v>-6.6904014583524241E-4</v>
      </c>
      <c r="E51" s="12">
        <v>-8.8476979395957223E-5</v>
      </c>
      <c r="F51" s="12">
        <v>4.7436962881475253E-4</v>
      </c>
      <c r="G51" s="12">
        <v>-1.151288919576221E-2</v>
      </c>
      <c r="H51" s="12">
        <v>-4.5227010929861367E-3</v>
      </c>
      <c r="I51" s="12">
        <v>-8.2772866137545975E-3</v>
      </c>
      <c r="J51" s="12">
        <v>-1.9425625037472249E-2</v>
      </c>
      <c r="K51" s="12">
        <v>-2.0137106167459562E-2</v>
      </c>
      <c r="L51" s="12">
        <v>-2.9379801956120222E-2</v>
      </c>
      <c r="M51" s="13">
        <v>48</v>
      </c>
      <c r="N51" s="15">
        <f t="shared" ca="1" si="0"/>
        <v>62</v>
      </c>
      <c r="O51" s="13">
        <v>48</v>
      </c>
      <c r="P51" s="19">
        <f t="shared" ca="1" si="1"/>
        <v>43098</v>
      </c>
      <c r="Q51" s="12">
        <f t="shared" ca="1" si="6"/>
        <v>1.0466666666666667E-3</v>
      </c>
      <c r="R51" s="12">
        <f t="shared" ca="1" si="6"/>
        <v>1.1996068716912944E-4</v>
      </c>
      <c r="S51" s="12">
        <f t="shared" ca="1" si="6"/>
        <v>2.1268953000364021E-4</v>
      </c>
      <c r="T51" s="12">
        <f t="shared" ca="1" si="6"/>
        <v>1.0776244263113188E-3</v>
      </c>
      <c r="U51" s="12">
        <f t="shared" ca="1" si="6"/>
        <v>3.4610496714706507E-3</v>
      </c>
      <c r="V51" s="12">
        <f t="shared" ca="1" si="6"/>
        <v>1.454193244943669E-3</v>
      </c>
      <c r="W51" s="12">
        <f t="shared" ca="1" si="6"/>
        <v>8.527452873188901E-3</v>
      </c>
      <c r="X51" s="12">
        <f t="shared" ca="1" si="6"/>
        <v>9.8316198188534987E-3</v>
      </c>
      <c r="Y51" s="12">
        <f t="shared" ca="1" si="6"/>
        <v>1.2559209766241697E-2</v>
      </c>
      <c r="Z51" s="12">
        <f t="shared" ca="1" si="6"/>
        <v>2.1795907483078469E-2</v>
      </c>
    </row>
    <row r="52" spans="1:26">
      <c r="A52" s="13">
        <v>49</v>
      </c>
      <c r="B52" s="11">
        <v>42704</v>
      </c>
      <c r="C52" s="12">
        <v>2.4941666666666667E-4</v>
      </c>
      <c r="D52" s="12">
        <v>-3.9680668767997362E-3</v>
      </c>
      <c r="E52" s="12">
        <v>-3.9652254703520518E-3</v>
      </c>
      <c r="F52" s="12">
        <v>-4.234892489187625E-3</v>
      </c>
      <c r="G52" s="12">
        <v>-2.7309126741589806E-2</v>
      </c>
      <c r="H52" s="12">
        <v>-1.4909534956887072E-2</v>
      </c>
      <c r="I52" s="12">
        <v>-2.6791531353187459E-2</v>
      </c>
      <c r="J52" s="12">
        <v>3.4174446769983158E-2</v>
      </c>
      <c r="K52" s="12">
        <v>1.2519811700139494E-2</v>
      </c>
      <c r="L52" s="12">
        <v>-8.143531604043186E-2</v>
      </c>
      <c r="M52" s="13">
        <v>49</v>
      </c>
      <c r="N52" s="15">
        <f t="shared" ca="1" si="0"/>
        <v>76</v>
      </c>
      <c r="O52" s="13">
        <v>49</v>
      </c>
      <c r="P52" s="19">
        <f t="shared" ca="1" si="1"/>
        <v>43524</v>
      </c>
      <c r="Q52" s="12">
        <f t="shared" ca="1" si="6"/>
        <v>1.9865833333333333E-3</v>
      </c>
      <c r="R52" s="12">
        <f t="shared" ca="1" si="6"/>
        <v>1.0051696844186608E-3</v>
      </c>
      <c r="S52" s="12">
        <f t="shared" ca="1" si="6"/>
        <v>1.2578004850634095E-3</v>
      </c>
      <c r="T52" s="12">
        <f t="shared" ca="1" si="6"/>
        <v>3.5059253369462695E-3</v>
      </c>
      <c r="U52" s="12">
        <f t="shared" ca="1" si="6"/>
        <v>-2.7752785488605047E-3</v>
      </c>
      <c r="V52" s="12">
        <f t="shared" ca="1" si="6"/>
        <v>3.5532293312900975E-4</v>
      </c>
      <c r="W52" s="12">
        <f t="shared" ca="1" si="6"/>
        <v>3.595733609209395E-3</v>
      </c>
      <c r="X52" s="12">
        <f t="shared" ca="1" si="6"/>
        <v>2.9728930143116061E-2</v>
      </c>
      <c r="Y52" s="12">
        <f t="shared" ca="1" si="6"/>
        <v>2.8272261633037532E-2</v>
      </c>
      <c r="Z52" s="12">
        <f t="shared" ca="1" si="6"/>
        <v>-6.0018921475875064E-3</v>
      </c>
    </row>
    <row r="53" spans="1:26">
      <c r="A53" s="13">
        <v>50</v>
      </c>
      <c r="B53" s="11">
        <v>42734</v>
      </c>
      <c r="C53" s="12">
        <v>3.9758333333333334E-4</v>
      </c>
      <c r="D53" s="12">
        <v>2.9691875786408417E-4</v>
      </c>
      <c r="E53" s="12">
        <v>6.4168917337914522E-4</v>
      </c>
      <c r="F53" s="12">
        <v>1.638235623849349E-3</v>
      </c>
      <c r="G53" s="12">
        <v>-1.1464242847030182E-3</v>
      </c>
      <c r="H53" s="12">
        <v>-1.4365171732482196E-3</v>
      </c>
      <c r="I53" s="12">
        <v>6.2562737648186317E-3</v>
      </c>
      <c r="J53" s="12">
        <v>1.8200754044233047E-2</v>
      </c>
      <c r="K53" s="12">
        <v>2.2855106916108481E-2</v>
      </c>
      <c r="L53" s="12">
        <v>-2.1905898397545198E-2</v>
      </c>
      <c r="M53" s="13">
        <v>50</v>
      </c>
      <c r="N53" s="15">
        <f t="shared" ca="1" si="0"/>
        <v>50</v>
      </c>
      <c r="O53" s="13">
        <v>50</v>
      </c>
      <c r="P53" s="19">
        <f t="shared" ca="1" si="1"/>
        <v>42734</v>
      </c>
      <c r="Q53" s="12">
        <f t="shared" ca="1" si="6"/>
        <v>3.9758333333333334E-4</v>
      </c>
      <c r="R53" s="12">
        <f t="shared" ca="1" si="6"/>
        <v>2.9691875786408417E-4</v>
      </c>
      <c r="S53" s="12">
        <f t="shared" ca="1" si="6"/>
        <v>6.4168917337914522E-4</v>
      </c>
      <c r="T53" s="12">
        <f t="shared" ca="1" si="6"/>
        <v>1.638235623849349E-3</v>
      </c>
      <c r="U53" s="12">
        <f t="shared" ca="1" si="6"/>
        <v>-1.1464242847030182E-3</v>
      </c>
      <c r="V53" s="12">
        <f t="shared" ca="1" si="6"/>
        <v>-1.4365171732482196E-3</v>
      </c>
      <c r="W53" s="12">
        <f t="shared" ca="1" si="6"/>
        <v>6.2562737648186317E-3</v>
      </c>
      <c r="X53" s="12">
        <f t="shared" ca="1" si="6"/>
        <v>1.8200754044233047E-2</v>
      </c>
      <c r="Y53" s="12">
        <f t="shared" ca="1" si="6"/>
        <v>2.2855106916108481E-2</v>
      </c>
      <c r="Z53" s="12">
        <f t="shared" ca="1" si="6"/>
        <v>-2.1905898397545198E-2</v>
      </c>
    </row>
    <row r="54" spans="1:26">
      <c r="A54" s="13">
        <v>51</v>
      </c>
      <c r="B54" s="11">
        <v>42766</v>
      </c>
      <c r="C54" s="12">
        <v>4.1449999999999999E-4</v>
      </c>
      <c r="D54" s="12">
        <v>1.2595942970663465E-3</v>
      </c>
      <c r="E54" s="12">
        <v>1.4926153982737222E-3</v>
      </c>
      <c r="F54" s="12">
        <v>2.8715504687633064E-3</v>
      </c>
      <c r="G54" s="12">
        <v>2.2582492213598648E-3</v>
      </c>
      <c r="H54" s="12">
        <v>2.7233480850845648E-3</v>
      </c>
      <c r="I54" s="12">
        <v>4.1011262270076454E-3</v>
      </c>
      <c r="J54" s="12">
        <v>1.7884341374735824E-2</v>
      </c>
      <c r="K54" s="12">
        <v>2.3515035232580805E-2</v>
      </c>
      <c r="L54" s="12">
        <v>5.5093681917211423E-2</v>
      </c>
      <c r="M54" s="13">
        <v>51</v>
      </c>
      <c r="N54" s="15">
        <f t="shared" ca="1" si="0"/>
        <v>63</v>
      </c>
      <c r="O54" s="13">
        <v>51</v>
      </c>
      <c r="P54" s="19">
        <f t="shared" ca="1" si="1"/>
        <v>43131</v>
      </c>
      <c r="Q54" s="12">
        <f t="shared" ref="Q54:Z63" ca="1" si="7">INDEX(histrets,$N54,Q$1)</f>
        <v>1.1464166666666667E-3</v>
      </c>
      <c r="R54" s="12">
        <f t="shared" ca="1" si="7"/>
        <v>-2.8744273635203932E-3</v>
      </c>
      <c r="S54" s="12">
        <f t="shared" ca="1" si="7"/>
        <v>-2.2571798955052236E-3</v>
      </c>
      <c r="T54" s="12">
        <f t="shared" ca="1" si="7"/>
        <v>-1.7389948786749043E-3</v>
      </c>
      <c r="U54" s="12">
        <f t="shared" ca="1" si="7"/>
        <v>-1.3959378934221722E-2</v>
      </c>
      <c r="V54" s="12">
        <f t="shared" ca="1" si="7"/>
        <v>-7.9297322504744416E-3</v>
      </c>
      <c r="W54" s="12">
        <f t="shared" ca="1" si="7"/>
        <v>-9.2413589736451973E-3</v>
      </c>
      <c r="X54" s="12">
        <f t="shared" ca="1" si="7"/>
        <v>5.6178724645703726E-2</v>
      </c>
      <c r="Y54" s="12">
        <f t="shared" ca="1" si="7"/>
        <v>5.2195203118685862E-2</v>
      </c>
      <c r="Z54" s="12">
        <f t="shared" ca="1" si="7"/>
        <v>3.2499232422474877E-2</v>
      </c>
    </row>
    <row r="55" spans="1:26">
      <c r="A55" s="13">
        <v>52</v>
      </c>
      <c r="B55" s="11">
        <v>42794</v>
      </c>
      <c r="C55" s="12">
        <v>4.2725000000000006E-4</v>
      </c>
      <c r="D55" s="12">
        <v>1.0199846529690415E-3</v>
      </c>
      <c r="E55" s="12">
        <v>1.1263017174716339E-3</v>
      </c>
      <c r="F55" s="12">
        <v>3.3637506960311203E-3</v>
      </c>
      <c r="G55" s="12">
        <v>5.1711262346592068E-3</v>
      </c>
      <c r="H55" s="12">
        <v>3.9337034794455494E-3</v>
      </c>
      <c r="I55" s="12">
        <v>1.1310662928395665E-2</v>
      </c>
      <c r="J55" s="12">
        <v>3.7198260541408734E-2</v>
      </c>
      <c r="K55" s="12">
        <v>2.5831287659004554E-2</v>
      </c>
      <c r="L55" s="12">
        <v>3.1155015197568359E-2</v>
      </c>
      <c r="M55" s="13">
        <v>52</v>
      </c>
      <c r="N55" s="15">
        <f t="shared" ca="1" si="0"/>
        <v>93</v>
      </c>
      <c r="O55" s="13">
        <v>52</v>
      </c>
      <c r="P55" s="19">
        <f t="shared" ca="1" si="1"/>
        <v>44043</v>
      </c>
      <c r="Q55" s="12">
        <f t="shared" ca="1" si="7"/>
        <v>1.0775E-4</v>
      </c>
      <c r="R55" s="12">
        <f t="shared" ca="1" si="7"/>
        <v>1.0103463581248029E-3</v>
      </c>
      <c r="S55" s="12">
        <f t="shared" ca="1" si="7"/>
        <v>1.4125780096754248E-3</v>
      </c>
      <c r="T55" s="12">
        <f t="shared" ca="1" si="7"/>
        <v>4.9928822698981357E-3</v>
      </c>
      <c r="U55" s="12">
        <f t="shared" ca="1" si="7"/>
        <v>1.2115901614529578E-2</v>
      </c>
      <c r="V55" s="12">
        <f t="shared" ca="1" si="7"/>
        <v>4.0932956725081571E-3</v>
      </c>
      <c r="W55" s="12">
        <f t="shared" ca="1" si="7"/>
        <v>3.1507368893236354E-2</v>
      </c>
      <c r="X55" s="12">
        <f t="shared" ca="1" si="7"/>
        <v>5.5101296975444303E-2</v>
      </c>
      <c r="Y55" s="12">
        <f t="shared" ca="1" si="7"/>
        <v>4.6866413236503091E-2</v>
      </c>
      <c r="Z55" s="12">
        <f t="shared" ca="1" si="7"/>
        <v>0.10943536070433924</v>
      </c>
    </row>
    <row r="56" spans="1:26">
      <c r="A56" s="13">
        <v>53</v>
      </c>
      <c r="B56" s="11">
        <v>42825</v>
      </c>
      <c r="C56" s="12">
        <v>5.0349999999999993E-4</v>
      </c>
      <c r="D56" s="12">
        <v>3.210493334364628E-4</v>
      </c>
      <c r="E56" s="12">
        <v>4.2376566391277848E-4</v>
      </c>
      <c r="F56" s="12">
        <v>7.8579211313489772E-4</v>
      </c>
      <c r="G56" s="12">
        <v>-5.8683501589096299E-4</v>
      </c>
      <c r="H56" s="12">
        <v>7.5457879896112523E-4</v>
      </c>
      <c r="I56" s="12">
        <v>-1.2306723182694546E-3</v>
      </c>
      <c r="J56" s="12">
        <v>-3.8923017041514463E-4</v>
      </c>
      <c r="K56" s="12">
        <v>8.152499048240669E-3</v>
      </c>
      <c r="L56" s="12">
        <v>6.087597321458027E-4</v>
      </c>
      <c r="M56" s="13">
        <v>53</v>
      </c>
      <c r="N56" s="15">
        <f t="shared" ca="1" si="0"/>
        <v>79</v>
      </c>
      <c r="O56" s="13">
        <v>53</v>
      </c>
      <c r="P56" s="19">
        <f t="shared" ca="1" si="1"/>
        <v>43616</v>
      </c>
      <c r="Q56" s="12">
        <f t="shared" ca="1" si="7"/>
        <v>2.0082500000000001E-3</v>
      </c>
      <c r="R56" s="12">
        <f t="shared" ca="1" si="7"/>
        <v>7.0972646150306851E-3</v>
      </c>
      <c r="S56" s="12">
        <f t="shared" ca="1" si="7"/>
        <v>6.6454558664943431E-3</v>
      </c>
      <c r="T56" s="12">
        <f t="shared" ca="1" si="7"/>
        <v>5.5851148528454075E-3</v>
      </c>
      <c r="U56" s="12">
        <f t="shared" ca="1" si="7"/>
        <v>2.4430574842440933E-2</v>
      </c>
      <c r="V56" s="12">
        <f t="shared" ca="1" si="7"/>
        <v>1.5931915178023504E-2</v>
      </c>
      <c r="W56" s="12">
        <f t="shared" ca="1" si="7"/>
        <v>1.4346665352576782E-2</v>
      </c>
      <c r="X56" s="12">
        <f t="shared" ca="1" si="7"/>
        <v>-6.5777726481161536E-2</v>
      </c>
      <c r="Y56" s="12">
        <f t="shared" ca="1" si="7"/>
        <v>-6.0780200764686709E-2</v>
      </c>
      <c r="Z56" s="12">
        <f t="shared" ca="1" si="7"/>
        <v>1.7179185527412599E-2</v>
      </c>
    </row>
    <row r="57" spans="1:26">
      <c r="A57" s="13">
        <v>54</v>
      </c>
      <c r="B57" s="11">
        <v>42853</v>
      </c>
      <c r="C57" s="12">
        <v>6.2633333333333334E-4</v>
      </c>
      <c r="D57" s="12">
        <v>1.3859044506840945E-3</v>
      </c>
      <c r="E57" s="12">
        <v>1.3466246663074166E-3</v>
      </c>
      <c r="F57" s="12">
        <v>2.5485326666316865E-3</v>
      </c>
      <c r="G57" s="12">
        <v>7.0034395590732323E-3</v>
      </c>
      <c r="H57" s="12">
        <v>5.0291985433685849E-3</v>
      </c>
      <c r="I57" s="12">
        <v>9.9762185769320944E-3</v>
      </c>
      <c r="J57" s="12">
        <v>9.0912169025529899E-3</v>
      </c>
      <c r="K57" s="12">
        <v>1.3265432731470739E-2</v>
      </c>
      <c r="L57" s="12">
        <v>1.5273775216138263E-2</v>
      </c>
      <c r="M57" s="13">
        <v>54</v>
      </c>
      <c r="N57" s="15">
        <f t="shared" ca="1" si="0"/>
        <v>103</v>
      </c>
      <c r="O57" s="13">
        <v>54</v>
      </c>
      <c r="P57" s="19">
        <f t="shared" ca="1" si="1"/>
        <v>44347</v>
      </c>
      <c r="Q57" s="12">
        <f t="shared" ca="1" si="7"/>
        <v>2.0833333333333334E-6</v>
      </c>
      <c r="R57" s="12">
        <f t="shared" ca="1" si="7"/>
        <v>7.5601374570455349E-4</v>
      </c>
      <c r="S57" s="12">
        <f t="shared" ca="1" si="7"/>
        <v>7.7117116067437763E-4</v>
      </c>
      <c r="T57" s="12">
        <f t="shared" ca="1" si="7"/>
        <v>2.1318730865014235E-3</v>
      </c>
      <c r="U57" s="12">
        <f t="shared" ca="1" si="7"/>
        <v>2.9767087748440169E-3</v>
      </c>
      <c r="V57" s="12">
        <f t="shared" ca="1" si="7"/>
        <v>2.9418212628797846E-3</v>
      </c>
      <c r="W57" s="12">
        <f t="shared" ca="1" si="7"/>
        <v>7.0206864587414319E-3</v>
      </c>
      <c r="X57" s="12">
        <f t="shared" ca="1" si="7"/>
        <v>5.4865025818131574E-3</v>
      </c>
      <c r="Y57" s="12">
        <f t="shared" ca="1" si="7"/>
        <v>1.2569927452394714E-2</v>
      </c>
      <c r="Z57" s="12">
        <f t="shared" ca="1" si="7"/>
        <v>7.7857477969397237E-2</v>
      </c>
    </row>
    <row r="58" spans="1:26">
      <c r="A58" s="13">
        <v>55</v>
      </c>
      <c r="B58" s="11">
        <v>42886</v>
      </c>
      <c r="C58" s="12">
        <v>6.6025000000000003E-4</v>
      </c>
      <c r="D58" s="12">
        <v>1.1568926377922839E-3</v>
      </c>
      <c r="E58" s="12">
        <v>1.4418865273975179E-3</v>
      </c>
      <c r="F58" s="12">
        <v>2.7321866970402287E-3</v>
      </c>
      <c r="G58" s="12">
        <v>6.7014878125990496E-3</v>
      </c>
      <c r="H58" s="12">
        <v>4.3642228758629109E-3</v>
      </c>
      <c r="I58" s="12">
        <v>1.1623927349114549E-2</v>
      </c>
      <c r="J58" s="12">
        <v>1.1576210049492719E-2</v>
      </c>
      <c r="K58" s="12">
        <v>1.7814170411227348E-2</v>
      </c>
      <c r="L58" s="12">
        <v>5.046204308196689E-4</v>
      </c>
      <c r="M58" s="13">
        <v>55</v>
      </c>
      <c r="N58" s="15">
        <f t="shared" ca="1" si="0"/>
        <v>24</v>
      </c>
      <c r="O58" s="13">
        <v>55</v>
      </c>
      <c r="P58" s="19">
        <f t="shared" ca="1" si="1"/>
        <v>41943</v>
      </c>
      <c r="Q58" s="12">
        <f t="shared" ca="1" si="7"/>
        <v>1.2666666666666667E-5</v>
      </c>
      <c r="R58" s="12">
        <f t="shared" ca="1" si="7"/>
        <v>2.7450503856620845E-3</v>
      </c>
      <c r="S58" s="12">
        <f t="shared" ca="1" si="7"/>
        <v>2.1854534088954214E-3</v>
      </c>
      <c r="T58" s="12">
        <f t="shared" ca="1" si="7"/>
        <v>2.1223615145111729E-3</v>
      </c>
      <c r="U58" s="12">
        <f t="shared" ca="1" si="7"/>
        <v>1.0856203181201174E-2</v>
      </c>
      <c r="V58" s="12">
        <f t="shared" ca="1" si="7"/>
        <v>6.3361069479148657E-3</v>
      </c>
      <c r="W58" s="12">
        <f t="shared" ca="1" si="7"/>
        <v>9.3323015351907124E-3</v>
      </c>
      <c r="X58" s="12">
        <f t="shared" ca="1" si="7"/>
        <v>2.3201456175308888E-2</v>
      </c>
      <c r="Y58" s="12">
        <f t="shared" ca="1" si="7"/>
        <v>5.6994483075345492E-3</v>
      </c>
      <c r="Z58" s="12">
        <f t="shared" ca="1" si="7"/>
        <v>-2.9143732152464574E-2</v>
      </c>
    </row>
    <row r="59" spans="1:26">
      <c r="A59" s="13">
        <v>56</v>
      </c>
      <c r="B59" s="11">
        <v>42916</v>
      </c>
      <c r="C59" s="12">
        <v>8.0883333333333339E-4</v>
      </c>
      <c r="D59" s="12">
        <v>-8.0204131069117057E-4</v>
      </c>
      <c r="E59" s="12">
        <v>-2.4903126051567526E-4</v>
      </c>
      <c r="F59" s="12">
        <v>6.9842322783286725E-4</v>
      </c>
      <c r="G59" s="12">
        <v>-1.4999198156073756E-3</v>
      </c>
      <c r="H59" s="12">
        <v>-6.063772226055919E-4</v>
      </c>
      <c r="I59" s="12">
        <v>2.4540228281686449E-3</v>
      </c>
      <c r="J59" s="12">
        <v>4.8138319927024664E-3</v>
      </c>
      <c r="K59" s="12">
        <v>2.4532624729305397E-3</v>
      </c>
      <c r="L59" s="12">
        <v>-2.152223938467368E-2</v>
      </c>
      <c r="M59" s="13">
        <v>56</v>
      </c>
      <c r="N59" s="15">
        <f t="shared" ca="1" si="0"/>
        <v>21</v>
      </c>
      <c r="O59" s="13">
        <v>56</v>
      </c>
      <c r="P59" s="19">
        <f t="shared" ca="1" si="1"/>
        <v>41851</v>
      </c>
      <c r="Q59" s="12">
        <f t="shared" ca="1" si="7"/>
        <v>1.6916666666666667E-5</v>
      </c>
      <c r="R59" s="12">
        <f t="shared" ca="1" si="7"/>
        <v>-7.8093230899733967E-4</v>
      </c>
      <c r="S59" s="12">
        <f t="shared" ca="1" si="7"/>
        <v>-7.1441213336875808E-4</v>
      </c>
      <c r="T59" s="12">
        <f t="shared" ca="1" si="7"/>
        <v>-8.9675605808192671E-4</v>
      </c>
      <c r="U59" s="12">
        <f t="shared" ca="1" si="7"/>
        <v>-1.4961171557231756E-3</v>
      </c>
      <c r="V59" s="12">
        <f t="shared" ca="1" si="7"/>
        <v>-9.0742118232678415E-4</v>
      </c>
      <c r="W59" s="12">
        <f t="shared" ca="1" si="7"/>
        <v>-1.1757998723708196E-3</v>
      </c>
      <c r="X59" s="12">
        <f t="shared" ca="1" si="7"/>
        <v>-1.5079863077291922E-2</v>
      </c>
      <c r="Y59" s="12">
        <f t="shared" ca="1" si="7"/>
        <v>-1.6674123274942443E-2</v>
      </c>
      <c r="Z59" s="12">
        <f t="shared" ca="1" si="7"/>
        <v>-3.3706764708098191E-2</v>
      </c>
    </row>
    <row r="60" spans="1:26">
      <c r="A60" s="13">
        <v>57</v>
      </c>
      <c r="B60" s="11">
        <v>42947</v>
      </c>
      <c r="C60" s="12">
        <v>8.4275000000000007E-4</v>
      </c>
      <c r="D60" s="12">
        <v>2.1296426380839062E-3</v>
      </c>
      <c r="E60" s="12">
        <v>2.1188695263520962E-3</v>
      </c>
      <c r="F60" s="12">
        <v>3.9737789984888305E-3</v>
      </c>
      <c r="G60" s="12">
        <v>1.5204383699691792E-3</v>
      </c>
      <c r="H60" s="12">
        <v>2.7943614040748521E-3</v>
      </c>
      <c r="I60" s="12">
        <v>7.4729816467542509E-3</v>
      </c>
      <c r="J60" s="12">
        <v>1.9348768883515444E-2</v>
      </c>
      <c r="K60" s="12">
        <v>2.330896510699576E-2</v>
      </c>
      <c r="L60" s="12">
        <v>2.2414445759940893E-2</v>
      </c>
      <c r="M60" s="13">
        <v>57</v>
      </c>
      <c r="N60" s="15">
        <f t="shared" ca="1" si="0"/>
        <v>50</v>
      </c>
      <c r="O60" s="13">
        <v>57</v>
      </c>
      <c r="P60" s="19">
        <f t="shared" ca="1" si="1"/>
        <v>42734</v>
      </c>
      <c r="Q60" s="12">
        <f t="shared" ca="1" si="7"/>
        <v>3.9758333333333334E-4</v>
      </c>
      <c r="R60" s="12">
        <f t="shared" ca="1" si="7"/>
        <v>2.9691875786408417E-4</v>
      </c>
      <c r="S60" s="12">
        <f t="shared" ca="1" si="7"/>
        <v>6.4168917337914522E-4</v>
      </c>
      <c r="T60" s="12">
        <f t="shared" ca="1" si="7"/>
        <v>1.638235623849349E-3</v>
      </c>
      <c r="U60" s="12">
        <f t="shared" ca="1" si="7"/>
        <v>-1.1464242847030182E-3</v>
      </c>
      <c r="V60" s="12">
        <f t="shared" ca="1" si="7"/>
        <v>-1.4365171732482196E-3</v>
      </c>
      <c r="W60" s="12">
        <f t="shared" ca="1" si="7"/>
        <v>6.2562737648186317E-3</v>
      </c>
      <c r="X60" s="12">
        <f t="shared" ca="1" si="7"/>
        <v>1.8200754044233047E-2</v>
      </c>
      <c r="Y60" s="12">
        <f t="shared" ca="1" si="7"/>
        <v>2.2855106916108481E-2</v>
      </c>
      <c r="Z60" s="12">
        <f t="shared" ca="1" si="7"/>
        <v>-2.1905898397545198E-2</v>
      </c>
    </row>
    <row r="61" spans="1:26">
      <c r="A61" s="13">
        <v>58</v>
      </c>
      <c r="B61" s="11">
        <v>42978</v>
      </c>
      <c r="C61" s="12">
        <v>8.9366666666666663E-4</v>
      </c>
      <c r="D61" s="12">
        <v>1.8943117647360896E-3</v>
      </c>
      <c r="E61" s="12">
        <v>1.7981749232471866E-3</v>
      </c>
      <c r="F61" s="12">
        <v>2.0281311493255405E-3</v>
      </c>
      <c r="G61" s="12">
        <v>1.1306736498137848E-2</v>
      </c>
      <c r="H61" s="12">
        <v>7.3344561192607571E-3</v>
      </c>
      <c r="I61" s="12">
        <v>8.4693578904266875E-3</v>
      </c>
      <c r="J61" s="12">
        <v>5.4649232886694321E-4</v>
      </c>
      <c r="K61" s="12">
        <v>-6.9348834837590356E-4</v>
      </c>
      <c r="L61" s="12">
        <v>4.0955066801109163E-2</v>
      </c>
      <c r="M61" s="13">
        <v>58</v>
      </c>
      <c r="N61" s="15">
        <f t="shared" ca="1" si="0"/>
        <v>96</v>
      </c>
      <c r="O61" s="13">
        <v>58</v>
      </c>
      <c r="P61" s="19">
        <f t="shared" ca="1" si="1"/>
        <v>44134</v>
      </c>
      <c r="Q61" s="12">
        <f t="shared" ca="1" si="7"/>
        <v>7.6249999999999997E-5</v>
      </c>
      <c r="R61" s="12">
        <f t="shared" ca="1" si="7"/>
        <v>-4.2126561468813772E-4</v>
      </c>
      <c r="S61" s="12">
        <f t="shared" ca="1" si="7"/>
        <v>-6.7095641189895971E-5</v>
      </c>
      <c r="T61" s="12">
        <f t="shared" ca="1" si="7"/>
        <v>1.8149952186470308E-3</v>
      </c>
      <c r="U61" s="12">
        <f t="shared" ca="1" si="7"/>
        <v>-1.0096313199052798E-2</v>
      </c>
      <c r="V61" s="12">
        <f t="shared" ca="1" si="7"/>
        <v>-3.5705368143630345E-3</v>
      </c>
      <c r="W61" s="12">
        <f t="shared" ca="1" si="7"/>
        <v>-1.7153852038643835E-3</v>
      </c>
      <c r="X61" s="12">
        <f t="shared" ca="1" si="7"/>
        <v>-2.7665774606006499E-2</v>
      </c>
      <c r="Y61" s="12">
        <f t="shared" ca="1" si="7"/>
        <v>-3.1403261985324948E-2</v>
      </c>
      <c r="Z61" s="12">
        <f t="shared" ca="1" si="7"/>
        <v>-3.7172158530506261E-3</v>
      </c>
    </row>
    <row r="62" spans="1:26">
      <c r="A62" s="13">
        <v>59</v>
      </c>
      <c r="B62" s="11">
        <v>43007</v>
      </c>
      <c r="C62" s="12">
        <v>8.2583333333333337E-4</v>
      </c>
      <c r="D62" s="12">
        <v>-1.6364712969079154E-3</v>
      </c>
      <c r="E62" s="12">
        <v>-1.1181124001334863E-3</v>
      </c>
      <c r="F62" s="12">
        <v>1.1631655580179867E-4</v>
      </c>
      <c r="G62" s="12">
        <v>-8.7948893503050352E-3</v>
      </c>
      <c r="H62" s="12">
        <v>-5.0203692605020889E-3</v>
      </c>
      <c r="I62" s="12">
        <v>-2.2821993994576184E-3</v>
      </c>
      <c r="J62" s="12">
        <v>1.9302894827342154E-2</v>
      </c>
      <c r="K62" s="12">
        <v>2.082419096410737E-2</v>
      </c>
      <c r="L62" s="12">
        <v>-3.1541587522608161E-2</v>
      </c>
      <c r="M62" s="13">
        <v>59</v>
      </c>
      <c r="N62" s="15">
        <f t="shared" ca="1" si="0"/>
        <v>76</v>
      </c>
      <c r="O62" s="13">
        <v>59</v>
      </c>
      <c r="P62" s="19">
        <f t="shared" ca="1" si="1"/>
        <v>43524</v>
      </c>
      <c r="Q62" s="12">
        <f t="shared" ca="1" si="7"/>
        <v>1.9865833333333333E-3</v>
      </c>
      <c r="R62" s="12">
        <f t="shared" ca="1" si="7"/>
        <v>1.0051696844186608E-3</v>
      </c>
      <c r="S62" s="12">
        <f t="shared" ca="1" si="7"/>
        <v>1.2578004850634095E-3</v>
      </c>
      <c r="T62" s="12">
        <f t="shared" ca="1" si="7"/>
        <v>3.5059253369462695E-3</v>
      </c>
      <c r="U62" s="12">
        <f t="shared" ca="1" si="7"/>
        <v>-2.7752785488605047E-3</v>
      </c>
      <c r="V62" s="12">
        <f t="shared" ca="1" si="7"/>
        <v>3.5532293312900975E-4</v>
      </c>
      <c r="W62" s="12">
        <f t="shared" ca="1" si="7"/>
        <v>3.595733609209395E-3</v>
      </c>
      <c r="X62" s="12">
        <f t="shared" ca="1" si="7"/>
        <v>2.9728930143116061E-2</v>
      </c>
      <c r="Y62" s="12">
        <f t="shared" ca="1" si="7"/>
        <v>2.8272261633037532E-2</v>
      </c>
      <c r="Z62" s="12">
        <f t="shared" ca="1" si="7"/>
        <v>-6.0018921475875064E-3</v>
      </c>
    </row>
    <row r="63" spans="1:26">
      <c r="A63" s="13">
        <v>60</v>
      </c>
      <c r="B63" s="11">
        <v>43039</v>
      </c>
      <c r="C63" s="12">
        <v>8.6708333333333331E-4</v>
      </c>
      <c r="D63" s="12">
        <v>-6.0763206382963286E-4</v>
      </c>
      <c r="E63" s="12">
        <v>-2.4603997481442708E-4</v>
      </c>
      <c r="F63" s="12">
        <v>8.7847160110299249E-4</v>
      </c>
      <c r="G63" s="12">
        <v>-1.0979014398193598E-3</v>
      </c>
      <c r="H63" s="12">
        <v>1.9835188819050664E-4</v>
      </c>
      <c r="I63" s="12">
        <v>4.0358258169133077E-3</v>
      </c>
      <c r="J63" s="12">
        <v>2.2188174774546043E-2</v>
      </c>
      <c r="K63" s="12">
        <v>1.8120016995326393E-2</v>
      </c>
      <c r="L63" s="12">
        <v>-6.4778277007228047E-3</v>
      </c>
      <c r="M63" s="13">
        <v>60</v>
      </c>
      <c r="N63" s="15">
        <f t="shared" ca="1" si="0"/>
        <v>127</v>
      </c>
      <c r="O63" s="13">
        <v>60</v>
      </c>
      <c r="P63" s="19">
        <f t="shared" ca="1" si="1"/>
        <v>45077</v>
      </c>
      <c r="Q63" s="12">
        <f t="shared" ca="1" si="7"/>
        <v>4.191833333333333E-3</v>
      </c>
      <c r="R63" s="12">
        <f t="shared" ca="1" si="7"/>
        <v>-3.4479770869045856E-3</v>
      </c>
      <c r="S63" s="12">
        <f t="shared" ca="1" si="7"/>
        <v>-3.2227731683034389E-3</v>
      </c>
      <c r="T63" s="12">
        <f t="shared" ca="1" si="7"/>
        <v>-1.7737598295631818E-3</v>
      </c>
      <c r="U63" s="12">
        <f t="shared" ca="1" si="7"/>
        <v>-1.2280652613657628E-2</v>
      </c>
      <c r="V63" s="12">
        <f t="shared" ca="1" si="7"/>
        <v>-5.1693738650140375E-3</v>
      </c>
      <c r="W63" s="12">
        <f t="shared" ca="1" si="7"/>
        <v>-1.3282449996727785E-2</v>
      </c>
      <c r="X63" s="12">
        <f t="shared" ca="1" si="7"/>
        <v>2.4823239348792381E-3</v>
      </c>
      <c r="Y63" s="12">
        <f t="shared" ca="1" si="7"/>
        <v>-1.247209909976621E-2</v>
      </c>
      <c r="Z63" s="12">
        <f t="shared" ca="1" si="7"/>
        <v>-1.370351758793964E-2</v>
      </c>
    </row>
    <row r="64" spans="1:26">
      <c r="A64" s="13">
        <v>61</v>
      </c>
      <c r="B64" s="11">
        <v>43069</v>
      </c>
      <c r="C64" s="12">
        <v>9.4266666666666663E-4</v>
      </c>
      <c r="D64" s="12">
        <v>-2.0146997832231062E-3</v>
      </c>
      <c r="E64" s="12">
        <v>-1.8728800366084597E-3</v>
      </c>
      <c r="F64" s="12">
        <v>-2.1559110006906801E-3</v>
      </c>
      <c r="G64" s="12">
        <v>-1.2127873382741239E-3</v>
      </c>
      <c r="H64" s="12">
        <v>-1.6044082426390771E-3</v>
      </c>
      <c r="I64" s="12">
        <v>-1.4039017808715748E-3</v>
      </c>
      <c r="J64" s="12">
        <v>2.8082601368405458E-2</v>
      </c>
      <c r="K64" s="12">
        <v>1.99135899450118E-2</v>
      </c>
      <c r="L64" s="12">
        <v>2.792065814103406E-3</v>
      </c>
      <c r="M64" s="13">
        <v>61</v>
      </c>
      <c r="N64" s="15">
        <f t="shared" ca="1" si="0"/>
        <v>117</v>
      </c>
      <c r="O64" s="13">
        <v>61</v>
      </c>
      <c r="P64" s="19">
        <f t="shared" ca="1" si="1"/>
        <v>44771</v>
      </c>
      <c r="Q64" s="12">
        <f t="shared" ref="Q64:Z73" ca="1" si="8">INDEX(histrets,$N64,Q$1)</f>
        <v>1.3551666666666668E-3</v>
      </c>
      <c r="R64" s="12">
        <f t="shared" ca="1" si="8"/>
        <v>3.3528295068618874E-3</v>
      </c>
      <c r="S64" s="12">
        <f t="shared" ca="1" si="8"/>
        <v>2.6352464971926004E-3</v>
      </c>
      <c r="T64" s="12">
        <f t="shared" ca="1" si="8"/>
        <v>7.4658997444205788E-3</v>
      </c>
      <c r="U64" s="12">
        <f t="shared" ca="1" si="8"/>
        <v>1.65865653968571E-2</v>
      </c>
      <c r="V64" s="12">
        <f t="shared" ca="1" si="8"/>
        <v>1.0522057632823767E-2</v>
      </c>
      <c r="W64" s="12">
        <f t="shared" ca="1" si="8"/>
        <v>2.9487751054719125E-2</v>
      </c>
      <c r="X64" s="12">
        <f t="shared" ca="1" si="8"/>
        <v>9.1116347632205885E-2</v>
      </c>
      <c r="Y64" s="12">
        <f t="shared" ca="1" si="8"/>
        <v>7.8619427458280766E-2</v>
      </c>
      <c r="Z64" s="12">
        <f t="shared" ca="1" si="8"/>
        <v>-2.2868746783823113E-2</v>
      </c>
    </row>
    <row r="65" spans="1:26">
      <c r="A65" s="13">
        <v>62</v>
      </c>
      <c r="B65" s="11">
        <v>43098</v>
      </c>
      <c r="C65" s="12">
        <v>1.0466666666666667E-3</v>
      </c>
      <c r="D65" s="12">
        <v>1.1996068716912944E-4</v>
      </c>
      <c r="E65" s="12">
        <v>2.1268953000364021E-4</v>
      </c>
      <c r="F65" s="12">
        <v>1.0776244263113188E-3</v>
      </c>
      <c r="G65" s="12">
        <v>3.4610496714706507E-3</v>
      </c>
      <c r="H65" s="12">
        <v>1.454193244943669E-3</v>
      </c>
      <c r="I65" s="12">
        <v>8.527452873188901E-3</v>
      </c>
      <c r="J65" s="12">
        <v>9.8316198188534987E-3</v>
      </c>
      <c r="K65" s="12">
        <v>1.2559209766241697E-2</v>
      </c>
      <c r="L65" s="12">
        <v>2.1795907483078469E-2</v>
      </c>
      <c r="M65" s="13">
        <v>62</v>
      </c>
      <c r="N65" s="15">
        <f t="shared" ca="1" si="0"/>
        <v>18</v>
      </c>
      <c r="O65" s="13">
        <v>62</v>
      </c>
      <c r="P65" s="19">
        <f t="shared" ca="1" si="1"/>
        <v>41759</v>
      </c>
      <c r="Q65" s="12">
        <f t="shared" ca="1" si="8"/>
        <v>2.5333333333333334E-5</v>
      </c>
      <c r="R65" s="12">
        <f t="shared" ca="1" si="8"/>
        <v>1.3240910027578767E-3</v>
      </c>
      <c r="S65" s="12">
        <f t="shared" ca="1" si="8"/>
        <v>1.6607594936708381E-3</v>
      </c>
      <c r="T65" s="12">
        <f t="shared" ca="1" si="8"/>
        <v>2.4398555254740995E-3</v>
      </c>
      <c r="U65" s="12">
        <f t="shared" ca="1" si="8"/>
        <v>6.2432860090160247E-3</v>
      </c>
      <c r="V65" s="12">
        <f t="shared" ca="1" si="8"/>
        <v>5.7764186204554147E-3</v>
      </c>
      <c r="W65" s="12">
        <f t="shared" ca="1" si="8"/>
        <v>1.1659515749116389E-2</v>
      </c>
      <c r="X65" s="12">
        <f t="shared" ca="1" si="8"/>
        <v>6.2007968638175814E-3</v>
      </c>
      <c r="Y65" s="12">
        <f t="shared" ca="1" si="8"/>
        <v>8.28618709935669E-3</v>
      </c>
      <c r="Z65" s="12">
        <f t="shared" ca="1" si="8"/>
        <v>5.9189570174686956E-3</v>
      </c>
    </row>
    <row r="66" spans="1:26">
      <c r="A66" s="13">
        <v>63</v>
      </c>
      <c r="B66" s="11">
        <v>43131</v>
      </c>
      <c r="C66" s="12">
        <v>1.1464166666666667E-3</v>
      </c>
      <c r="D66" s="12">
        <v>-2.8744273635203932E-3</v>
      </c>
      <c r="E66" s="12">
        <v>-2.2571798955052236E-3</v>
      </c>
      <c r="F66" s="12">
        <v>-1.7389948786749043E-3</v>
      </c>
      <c r="G66" s="12">
        <v>-1.3959378934221722E-2</v>
      </c>
      <c r="H66" s="12">
        <v>-7.9297322504744416E-3</v>
      </c>
      <c r="I66" s="12">
        <v>-9.2413589736451973E-3</v>
      </c>
      <c r="J66" s="12">
        <v>5.6178724645703726E-2</v>
      </c>
      <c r="K66" s="12">
        <v>5.2195203118685862E-2</v>
      </c>
      <c r="L66" s="12">
        <v>3.2499232422474877E-2</v>
      </c>
      <c r="M66" s="13">
        <v>63</v>
      </c>
      <c r="N66" s="15">
        <f t="shared" ca="1" si="0"/>
        <v>104</v>
      </c>
      <c r="O66" s="13">
        <v>63</v>
      </c>
      <c r="P66" s="19">
        <f t="shared" ca="1" si="1"/>
        <v>44377</v>
      </c>
      <c r="Q66" s="12">
        <f t="shared" ca="1" si="8"/>
        <v>2.0833333333333334E-6</v>
      </c>
      <c r="R66" s="12">
        <f t="shared" ca="1" si="8"/>
        <v>-1.5448288492249107E-3</v>
      </c>
      <c r="S66" s="12">
        <f t="shared" ca="1" si="8"/>
        <v>-1.1198469033213421E-3</v>
      </c>
      <c r="T66" s="12">
        <f t="shared" ca="1" si="8"/>
        <v>-7.9920048341874939E-4</v>
      </c>
      <c r="U66" s="12">
        <f t="shared" ca="1" si="8"/>
        <v>8.6882529944476428E-3</v>
      </c>
      <c r="V66" s="12">
        <f t="shared" ca="1" si="8"/>
        <v>2.6803411128408783E-3</v>
      </c>
      <c r="W66" s="12">
        <f t="shared" ca="1" si="8"/>
        <v>1.6647095909956722E-2</v>
      </c>
      <c r="X66" s="12">
        <f t="shared" ca="1" si="8"/>
        <v>2.221397632316946E-2</v>
      </c>
      <c r="Y66" s="12">
        <f t="shared" ca="1" si="8"/>
        <v>1.3956380011425962E-2</v>
      </c>
      <c r="Z66" s="12">
        <f t="shared" ca="1" si="8"/>
        <v>-7.171962430579959E-2</v>
      </c>
    </row>
    <row r="67" spans="1:26">
      <c r="A67" s="13">
        <v>64</v>
      </c>
      <c r="B67" s="11">
        <v>43159</v>
      </c>
      <c r="C67" s="12">
        <v>1.2125833333333333E-3</v>
      </c>
      <c r="D67" s="12">
        <v>-3.7977924686849462E-4</v>
      </c>
      <c r="E67" s="12">
        <v>1.7365770487831611E-5</v>
      </c>
      <c r="F67" s="12">
        <v>-2.2637442459962909E-3</v>
      </c>
      <c r="G67" s="12">
        <v>-7.8760874663250657E-3</v>
      </c>
      <c r="H67" s="12">
        <v>-3.0430541002997025E-3</v>
      </c>
      <c r="I67" s="12">
        <v>-1.4964540778451663E-2</v>
      </c>
      <c r="J67" s="12">
        <v>-3.8947379604151844E-2</v>
      </c>
      <c r="K67" s="12">
        <v>-4.3036453344418191E-2</v>
      </c>
      <c r="L67" s="12">
        <v>-1.9945879239335773E-2</v>
      </c>
      <c r="M67" s="13">
        <v>64</v>
      </c>
      <c r="N67" s="15">
        <f t="shared" ca="1" si="0"/>
        <v>101</v>
      </c>
      <c r="O67" s="13">
        <v>64</v>
      </c>
      <c r="P67" s="19">
        <f t="shared" ca="1" si="1"/>
        <v>44286</v>
      </c>
      <c r="Q67" s="12">
        <f t="shared" ca="1" si="8"/>
        <v>2.7500000000000001E-5</v>
      </c>
      <c r="R67" s="12">
        <f t="shared" ca="1" si="8"/>
        <v>1.8655477596030146E-4</v>
      </c>
      <c r="S67" s="12">
        <f t="shared" ca="1" si="8"/>
        <v>2.6226794750616733E-5</v>
      </c>
      <c r="T67" s="12">
        <f t="shared" ca="1" si="8"/>
        <v>-8.1406923077331772E-4</v>
      </c>
      <c r="U67" s="12">
        <f t="shared" ca="1" si="8"/>
        <v>-1.2653570914514911E-2</v>
      </c>
      <c r="V67" s="12">
        <f t="shared" ca="1" si="8"/>
        <v>-5.7461233487734464E-3</v>
      </c>
      <c r="W67" s="12">
        <f t="shared" ca="1" si="8"/>
        <v>-1.3870140935728026E-2</v>
      </c>
      <c r="X67" s="12">
        <f t="shared" ca="1" si="8"/>
        <v>4.2438634008107767E-2</v>
      </c>
      <c r="Y67" s="12">
        <f t="shared" ca="1" si="8"/>
        <v>3.109380214235169E-2</v>
      </c>
      <c r="Z67" s="12">
        <f t="shared" ca="1" si="8"/>
        <v>-1.5184194136236728E-2</v>
      </c>
    </row>
    <row r="68" spans="1:26">
      <c r="A68" s="13">
        <v>65</v>
      </c>
      <c r="B68" s="11">
        <v>43189</v>
      </c>
      <c r="C68" s="12">
        <v>1.3764999999999999E-3</v>
      </c>
      <c r="D68" s="12">
        <v>1.9606461106831397E-3</v>
      </c>
      <c r="E68" s="12">
        <v>2.0057116605964875E-3</v>
      </c>
      <c r="F68" s="12">
        <v>1.8793704998110172E-4</v>
      </c>
      <c r="G68" s="12">
        <v>9.8789062099642333E-3</v>
      </c>
      <c r="H68" s="12">
        <v>5.662024995539916E-3</v>
      </c>
      <c r="I68" s="12">
        <v>2.1502960442794095E-3</v>
      </c>
      <c r="J68" s="12">
        <v>-2.6884513768364315E-2</v>
      </c>
      <c r="K68" s="12">
        <v>-2.4150255666929299E-2</v>
      </c>
      <c r="L68" s="12">
        <v>5.4387814702157034E-3</v>
      </c>
      <c r="M68" s="13">
        <v>65</v>
      </c>
      <c r="N68" s="15">
        <f t="shared" ref="N68:N131" ca="1" si="9">RANDBETWEEN(1,numobs)</f>
        <v>94</v>
      </c>
      <c r="O68" s="13">
        <v>65</v>
      </c>
      <c r="P68" s="19">
        <f t="shared" ref="P68:P131" ca="1" si="10">INDEX(histdates,N68,1)</f>
        <v>44074</v>
      </c>
      <c r="Q68" s="12">
        <f t="shared" ca="1" si="8"/>
        <v>6.9750000000000001E-5</v>
      </c>
      <c r="R68" s="12">
        <f t="shared" ca="1" si="8"/>
        <v>-2.4264938349671805E-4</v>
      </c>
      <c r="S68" s="12">
        <f t="shared" ca="1" si="8"/>
        <v>2.9189559186559855E-4</v>
      </c>
      <c r="T68" s="12">
        <f t="shared" ca="1" si="8"/>
        <v>2.5177005785046447E-3</v>
      </c>
      <c r="U68" s="12">
        <f t="shared" ca="1" si="8"/>
        <v>-1.2016152135081337E-2</v>
      </c>
      <c r="V68" s="12">
        <f t="shared" ca="1" si="8"/>
        <v>-1.7319156027352234E-3</v>
      </c>
      <c r="W68" s="12">
        <f t="shared" ca="1" si="8"/>
        <v>-1.1540921161941387E-2</v>
      </c>
      <c r="X68" s="12">
        <f t="shared" ca="1" si="8"/>
        <v>7.0064687324219221E-2</v>
      </c>
      <c r="Y68" s="12">
        <f t="shared" ca="1" si="8"/>
        <v>6.5306423483067144E-2</v>
      </c>
      <c r="Z68" s="12">
        <f t="shared" ca="1" si="8"/>
        <v>-4.0792363831445577E-3</v>
      </c>
    </row>
    <row r="69" spans="1:26">
      <c r="A69" s="13">
        <v>66</v>
      </c>
      <c r="B69" s="11">
        <v>43220</v>
      </c>
      <c r="C69" s="12">
        <v>1.41675E-3</v>
      </c>
      <c r="D69" s="12">
        <v>-1.5536089452187207E-3</v>
      </c>
      <c r="E69" s="12">
        <v>-1.430571212275189E-3</v>
      </c>
      <c r="F69" s="12">
        <v>9.3121018202180217E-4</v>
      </c>
      <c r="G69" s="12">
        <v>-8.2301211651442108E-3</v>
      </c>
      <c r="H69" s="12">
        <v>-5.9502690359257704E-3</v>
      </c>
      <c r="I69" s="12">
        <v>-8.5163131234153866E-3</v>
      </c>
      <c r="J69" s="12">
        <v>2.718801001185378E-3</v>
      </c>
      <c r="K69" s="12">
        <v>9.5169437402025103E-3</v>
      </c>
      <c r="L69" s="12">
        <v>-7.6123366629446965E-3</v>
      </c>
      <c r="M69" s="13">
        <v>66</v>
      </c>
      <c r="N69" s="15">
        <f t="shared" ca="1" si="9"/>
        <v>66</v>
      </c>
      <c r="O69" s="13">
        <v>66</v>
      </c>
      <c r="P69" s="19">
        <f t="shared" ca="1" si="10"/>
        <v>43220</v>
      </c>
      <c r="Q69" s="12">
        <f t="shared" ca="1" si="8"/>
        <v>1.41675E-3</v>
      </c>
      <c r="R69" s="12">
        <f t="shared" ca="1" si="8"/>
        <v>-1.5536089452187207E-3</v>
      </c>
      <c r="S69" s="12">
        <f t="shared" ca="1" si="8"/>
        <v>-1.430571212275189E-3</v>
      </c>
      <c r="T69" s="12">
        <f t="shared" ca="1" si="8"/>
        <v>9.3121018202180217E-4</v>
      </c>
      <c r="U69" s="12">
        <f t="shared" ca="1" si="8"/>
        <v>-8.2301211651442108E-3</v>
      </c>
      <c r="V69" s="12">
        <f t="shared" ca="1" si="8"/>
        <v>-5.9502690359257704E-3</v>
      </c>
      <c r="W69" s="12">
        <f t="shared" ca="1" si="8"/>
        <v>-8.5163131234153866E-3</v>
      </c>
      <c r="X69" s="12">
        <f t="shared" ca="1" si="8"/>
        <v>2.718801001185378E-3</v>
      </c>
      <c r="Y69" s="12">
        <f t="shared" ca="1" si="8"/>
        <v>9.5169437402025103E-3</v>
      </c>
      <c r="Z69" s="12">
        <f t="shared" ca="1" si="8"/>
        <v>-7.6123366629446965E-3</v>
      </c>
    </row>
    <row r="70" spans="1:26">
      <c r="A70" s="13">
        <v>67</v>
      </c>
      <c r="B70" s="11">
        <v>43251</v>
      </c>
      <c r="C70" s="12">
        <v>1.4996666666666667E-3</v>
      </c>
      <c r="D70" s="12">
        <v>3.6224225896195339E-3</v>
      </c>
      <c r="E70" s="12">
        <v>3.5594628303565745E-3</v>
      </c>
      <c r="F70" s="12">
        <v>3.7776342025424015E-3</v>
      </c>
      <c r="G70" s="12">
        <v>9.0818911567323024E-3</v>
      </c>
      <c r="H70" s="12">
        <v>6.2609610427599716E-3</v>
      </c>
      <c r="I70" s="12">
        <v>4.5008293519712694E-3</v>
      </c>
      <c r="J70" s="12">
        <v>2.1608353316591389E-2</v>
      </c>
      <c r="K70" s="12">
        <v>3.0721156380750791E-3</v>
      </c>
      <c r="L70" s="12">
        <v>-1.2832696006507605E-2</v>
      </c>
      <c r="M70" s="13">
        <v>67</v>
      </c>
      <c r="N70" s="15">
        <f t="shared" ca="1" si="9"/>
        <v>119</v>
      </c>
      <c r="O70" s="13">
        <v>67</v>
      </c>
      <c r="P70" s="19">
        <f t="shared" ca="1" si="10"/>
        <v>44834</v>
      </c>
      <c r="Q70" s="12">
        <f t="shared" ca="1" si="8"/>
        <v>2.4169166666666666E-3</v>
      </c>
      <c r="R70" s="12">
        <f t="shared" ca="1" si="8"/>
        <v>-1.178178702337318E-2</v>
      </c>
      <c r="S70" s="12">
        <f t="shared" ca="1" si="8"/>
        <v>-1.1024613866002952E-2</v>
      </c>
      <c r="T70" s="12">
        <f t="shared" ca="1" si="8"/>
        <v>-1.4531577207097968E-2</v>
      </c>
      <c r="U70" s="12">
        <f t="shared" ca="1" si="8"/>
        <v>-3.7510852028801778E-2</v>
      </c>
      <c r="V70" s="12">
        <f t="shared" ca="1" si="8"/>
        <v>-2.3715309664140927E-2</v>
      </c>
      <c r="W70" s="12">
        <f t="shared" ca="1" si="8"/>
        <v>-5.3080632783768955E-2</v>
      </c>
      <c r="X70" s="12">
        <f t="shared" ca="1" si="8"/>
        <v>-9.3395701643489315E-2</v>
      </c>
      <c r="Y70" s="12">
        <f t="shared" ca="1" si="8"/>
        <v>-9.4647777963856705E-2</v>
      </c>
      <c r="Z70" s="12">
        <f t="shared" ca="1" si="8"/>
        <v>-2.9473302786609312E-2</v>
      </c>
    </row>
    <row r="71" spans="1:26">
      <c r="A71" s="13">
        <v>68</v>
      </c>
      <c r="B71" s="11">
        <v>43280</v>
      </c>
      <c r="C71" s="12">
        <v>1.5788333333333333E-3</v>
      </c>
      <c r="D71" s="12">
        <v>1.5495540537546759E-4</v>
      </c>
      <c r="E71" s="12">
        <v>1.7922851557128361E-4</v>
      </c>
      <c r="F71" s="12">
        <v>-1.5929184744356562E-5</v>
      </c>
      <c r="G71" s="12">
        <v>2.8901898968847206E-4</v>
      </c>
      <c r="H71" s="12">
        <v>-4.5804946934258073E-4</v>
      </c>
      <c r="I71" s="12">
        <v>-5.3952132169493572E-3</v>
      </c>
      <c r="J71" s="12">
        <v>4.8424002040461378E-3</v>
      </c>
      <c r="K71" s="12">
        <v>-1.7296408845057787E-3</v>
      </c>
      <c r="L71" s="12">
        <v>-3.5355907925237462E-2</v>
      </c>
      <c r="M71" s="13">
        <v>68</v>
      </c>
      <c r="N71" s="15">
        <f t="shared" ca="1" si="9"/>
        <v>9</v>
      </c>
      <c r="O71" s="13">
        <v>68</v>
      </c>
      <c r="P71" s="19">
        <f t="shared" ca="1" si="10"/>
        <v>41486</v>
      </c>
      <c r="Q71" s="12">
        <f t="shared" ca="1" si="8"/>
        <v>2.5333333333333334E-5</v>
      </c>
      <c r="R71" s="12">
        <f t="shared" ca="1" si="8"/>
        <v>1.5896724164516929E-3</v>
      </c>
      <c r="S71" s="12">
        <f t="shared" ca="1" si="8"/>
        <v>1.6320780788763312E-3</v>
      </c>
      <c r="T71" s="12">
        <f t="shared" ca="1" si="8"/>
        <v>4.1877250782442754E-3</v>
      </c>
      <c r="U71" s="12">
        <f t="shared" ca="1" si="8"/>
        <v>-1.9451251847627526E-3</v>
      </c>
      <c r="V71" s="12">
        <f t="shared" ca="1" si="8"/>
        <v>1.4120337701157837E-3</v>
      </c>
      <c r="W71" s="12">
        <f t="shared" ca="1" si="8"/>
        <v>7.3868715089695502E-3</v>
      </c>
      <c r="X71" s="12">
        <f t="shared" ca="1" si="8"/>
        <v>4.9462111213487203E-2</v>
      </c>
      <c r="Y71" s="12">
        <f t="shared" ca="1" si="8"/>
        <v>5.1871228767744526E-2</v>
      </c>
      <c r="Z71" s="12">
        <f t="shared" ca="1" si="8"/>
        <v>7.333965152730193E-2</v>
      </c>
    </row>
    <row r="72" spans="1:26">
      <c r="A72" s="13">
        <v>69</v>
      </c>
      <c r="B72" s="11">
        <v>43312</v>
      </c>
      <c r="C72" s="12">
        <v>1.5935833333333334E-3</v>
      </c>
      <c r="D72" s="12">
        <v>-4.6222627003156269E-5</v>
      </c>
      <c r="E72" s="12">
        <v>4.2441252268443641E-4</v>
      </c>
      <c r="F72" s="12">
        <v>2.3251080399415702E-3</v>
      </c>
      <c r="G72" s="12">
        <v>-4.5336258171457811E-3</v>
      </c>
      <c r="H72" s="12">
        <v>-1.6762821090071656E-3</v>
      </c>
      <c r="I72" s="12">
        <v>7.4082404125315193E-3</v>
      </c>
      <c r="J72" s="12">
        <v>3.6021586465418753E-2</v>
      </c>
      <c r="K72" s="12">
        <v>3.0536543339874545E-2</v>
      </c>
      <c r="L72" s="12">
        <v>-2.2712757464473765E-2</v>
      </c>
      <c r="M72" s="13">
        <v>69</v>
      </c>
      <c r="N72" s="15">
        <f t="shared" ca="1" si="9"/>
        <v>19</v>
      </c>
      <c r="O72" s="13">
        <v>69</v>
      </c>
      <c r="P72" s="19">
        <f t="shared" ca="1" si="10"/>
        <v>41789</v>
      </c>
      <c r="Q72" s="12">
        <f t="shared" ca="1" si="8"/>
        <v>2.1083333333333332E-5</v>
      </c>
      <c r="R72" s="12">
        <f t="shared" ca="1" si="8"/>
        <v>1.8372645950004429E-3</v>
      </c>
      <c r="S72" s="12">
        <f t="shared" ca="1" si="8"/>
        <v>1.5690397719230198E-3</v>
      </c>
      <c r="T72" s="12">
        <f t="shared" ca="1" si="8"/>
        <v>3.6311918820273181E-3</v>
      </c>
      <c r="U72" s="12">
        <f t="shared" ca="1" si="8"/>
        <v>1.0908523280633409E-2</v>
      </c>
      <c r="V72" s="12">
        <f t="shared" ca="1" si="8"/>
        <v>7.2947422212128465E-3</v>
      </c>
      <c r="W72" s="12">
        <f t="shared" ca="1" si="8"/>
        <v>1.529301775138503E-2</v>
      </c>
      <c r="X72" s="12">
        <f t="shared" ca="1" si="8"/>
        <v>2.1030282120013677E-2</v>
      </c>
      <c r="Y72" s="12">
        <f t="shared" ca="1" si="8"/>
        <v>1.6258428430919514E-2</v>
      </c>
      <c r="Z72" s="12">
        <f t="shared" ca="1" si="8"/>
        <v>-3.246335968287628E-2</v>
      </c>
    </row>
    <row r="73" spans="1:26">
      <c r="A73" s="13">
        <v>70</v>
      </c>
      <c r="B73" s="11">
        <v>43343</v>
      </c>
      <c r="C73" s="12">
        <v>1.6835833333333336E-3</v>
      </c>
      <c r="D73" s="12">
        <v>3.1818045634115499E-3</v>
      </c>
      <c r="E73" s="12">
        <v>3.2210243328749666E-3</v>
      </c>
      <c r="F73" s="12">
        <v>4.1414643219559455E-3</v>
      </c>
      <c r="G73" s="12">
        <v>7.8100533909761793E-3</v>
      </c>
      <c r="H73" s="12">
        <v>5.6560103378373583E-3</v>
      </c>
      <c r="I73" s="12">
        <v>5.4391709754060269E-3</v>
      </c>
      <c r="J73" s="12">
        <v>3.0263218631604083E-2</v>
      </c>
      <c r="K73" s="12">
        <v>1.0403604105708064E-2</v>
      </c>
      <c r="L73" s="12">
        <v>-1.8788547155168867E-2</v>
      </c>
      <c r="M73" s="13">
        <v>70</v>
      </c>
      <c r="N73" s="15">
        <f t="shared" ca="1" si="9"/>
        <v>47</v>
      </c>
      <c r="O73" s="13">
        <v>70</v>
      </c>
      <c r="P73" s="19">
        <f t="shared" ca="1" si="10"/>
        <v>42643</v>
      </c>
      <c r="Q73" s="12">
        <f t="shared" ca="1" si="8"/>
        <v>2.7483333333333331E-4</v>
      </c>
      <c r="R73" s="12">
        <f t="shared" ca="1" si="8"/>
        <v>1.1621035875981622E-3</v>
      </c>
      <c r="S73" s="12">
        <f t="shared" ca="1" si="8"/>
        <v>1.515090379294648E-3</v>
      </c>
      <c r="T73" s="12">
        <f t="shared" ca="1" si="8"/>
        <v>7.7099427012439214E-4</v>
      </c>
      <c r="U73" s="12">
        <f t="shared" ca="1" si="8"/>
        <v>-1.8386753168915249E-3</v>
      </c>
      <c r="V73" s="12">
        <f t="shared" ca="1" si="8"/>
        <v>6.9919808022667063E-4</v>
      </c>
      <c r="W73" s="12">
        <f t="shared" ca="1" si="8"/>
        <v>-2.8800244945604847E-3</v>
      </c>
      <c r="X73" s="12">
        <f t="shared" ca="1" si="8"/>
        <v>-1.2344825997834263E-3</v>
      </c>
      <c r="Y73" s="12">
        <f t="shared" ca="1" si="8"/>
        <v>3.5765795105611176E-3</v>
      </c>
      <c r="Z73" s="12">
        <f t="shared" ca="1" si="8"/>
        <v>5.2713201983236591E-3</v>
      </c>
    </row>
    <row r="74" spans="1:26">
      <c r="A74" s="13">
        <v>71</v>
      </c>
      <c r="B74" s="11">
        <v>43371</v>
      </c>
      <c r="C74" s="12">
        <v>1.7448333333333333E-3</v>
      </c>
      <c r="D74" s="12">
        <v>-1.1835258660558567E-3</v>
      </c>
      <c r="E74" s="12">
        <v>-4.2991823722560163E-4</v>
      </c>
      <c r="F74" s="12">
        <v>7.3272870514529131E-4</v>
      </c>
      <c r="G74" s="12">
        <v>-9.780070004711594E-3</v>
      </c>
      <c r="H74" s="12">
        <v>-4.0927431544552917E-3</v>
      </c>
      <c r="I74" s="12">
        <v>-3.2512414993325356E-3</v>
      </c>
      <c r="J74" s="12">
        <v>4.2943009181395375E-3</v>
      </c>
      <c r="K74" s="12">
        <v>3.9117444265686085E-3</v>
      </c>
      <c r="L74" s="12">
        <v>-8.5501394496940719E-3</v>
      </c>
      <c r="M74" s="13">
        <v>71</v>
      </c>
      <c r="N74" s="15">
        <f t="shared" ca="1" si="9"/>
        <v>130</v>
      </c>
      <c r="O74" s="13">
        <v>71</v>
      </c>
      <c r="P74" s="19">
        <f t="shared" ca="1" si="10"/>
        <v>45169</v>
      </c>
      <c r="Q74" s="12">
        <f t="shared" ref="Q74:Z83" ca="1" si="11">INDEX(histrets,$N74,Q$1)</f>
        <v>4.5000833333333334E-3</v>
      </c>
      <c r="R74" s="12">
        <f t="shared" ca="1" si="11"/>
        <v>3.9273692971986129E-3</v>
      </c>
      <c r="S74" s="12">
        <f t="shared" ca="1" si="11"/>
        <v>3.9583557645146428E-3</v>
      </c>
      <c r="T74" s="12">
        <f t="shared" ca="1" si="11"/>
        <v>3.0283320281572212E-3</v>
      </c>
      <c r="U74" s="12">
        <f t="shared" ca="1" si="11"/>
        <v>-5.8212682970623097E-3</v>
      </c>
      <c r="V74" s="12">
        <f t="shared" ca="1" si="11"/>
        <v>1.6821017779320435E-3</v>
      </c>
      <c r="W74" s="12">
        <f t="shared" ca="1" si="11"/>
        <v>-6.8291158690111375E-3</v>
      </c>
      <c r="X74" s="12">
        <f t="shared" ca="1" si="11"/>
        <v>-1.771643248143373E-2</v>
      </c>
      <c r="Y74" s="12">
        <f t="shared" ca="1" si="11"/>
        <v>-2.5545801651274402E-2</v>
      </c>
      <c r="Z74" s="12">
        <f t="shared" ca="1" si="11"/>
        <v>-1.2671175366013698E-2</v>
      </c>
    </row>
    <row r="75" spans="1:26">
      <c r="A75" s="13">
        <v>72</v>
      </c>
      <c r="B75" s="11">
        <v>43404</v>
      </c>
      <c r="C75" s="12">
        <v>1.8303333333333333E-3</v>
      </c>
      <c r="D75" s="12">
        <v>1.5164006202290636E-3</v>
      </c>
      <c r="E75" s="12">
        <v>1.2362527596325723E-3</v>
      </c>
      <c r="F75" s="12">
        <v>2.1380012441407636E-4</v>
      </c>
      <c r="G75" s="12">
        <v>-5.2709561006659689E-3</v>
      </c>
      <c r="H75" s="12">
        <v>-1.2742312416149648E-3</v>
      </c>
      <c r="I75" s="12">
        <v>-1.3513314082477024E-2</v>
      </c>
      <c r="J75" s="12">
        <v>-6.9403358979814644E-2</v>
      </c>
      <c r="K75" s="12">
        <v>-7.4189220745326301E-2</v>
      </c>
      <c r="L75" s="12">
        <v>2.0052398226521495E-2</v>
      </c>
      <c r="M75" s="13">
        <v>72</v>
      </c>
      <c r="N75" s="15">
        <f t="shared" ca="1" si="9"/>
        <v>57</v>
      </c>
      <c r="O75" s="13">
        <v>72</v>
      </c>
      <c r="P75" s="19">
        <f t="shared" ca="1" si="10"/>
        <v>42947</v>
      </c>
      <c r="Q75" s="12">
        <f t="shared" ca="1" si="11"/>
        <v>8.4275000000000007E-4</v>
      </c>
      <c r="R75" s="12">
        <f t="shared" ca="1" si="11"/>
        <v>2.1296426380839062E-3</v>
      </c>
      <c r="S75" s="12">
        <f t="shared" ca="1" si="11"/>
        <v>2.1188695263520962E-3</v>
      </c>
      <c r="T75" s="12">
        <f t="shared" ca="1" si="11"/>
        <v>3.9737789984888305E-3</v>
      </c>
      <c r="U75" s="12">
        <f t="shared" ca="1" si="11"/>
        <v>1.5204383699691792E-3</v>
      </c>
      <c r="V75" s="12">
        <f t="shared" ca="1" si="11"/>
        <v>2.7943614040748521E-3</v>
      </c>
      <c r="W75" s="12">
        <f t="shared" ca="1" si="11"/>
        <v>7.4729816467542509E-3</v>
      </c>
      <c r="X75" s="12">
        <f t="shared" ca="1" si="11"/>
        <v>1.9348768883515444E-2</v>
      </c>
      <c r="Y75" s="12">
        <f t="shared" ca="1" si="11"/>
        <v>2.330896510699576E-2</v>
      </c>
      <c r="Z75" s="12">
        <f t="shared" ca="1" si="11"/>
        <v>2.2414445759940893E-2</v>
      </c>
    </row>
    <row r="76" spans="1:26">
      <c r="A76" s="13">
        <v>73</v>
      </c>
      <c r="B76" s="11">
        <v>43434</v>
      </c>
      <c r="C76" s="12">
        <v>1.9375833333333333E-3</v>
      </c>
      <c r="D76" s="12">
        <v>3.4649538091462428E-3</v>
      </c>
      <c r="E76" s="12">
        <v>3.5915043317140682E-3</v>
      </c>
      <c r="F76" s="12">
        <v>8.6614463737011427E-4</v>
      </c>
      <c r="G76" s="12">
        <v>9.0031053371659731E-3</v>
      </c>
      <c r="H76" s="12">
        <v>6.3138220733944816E-3</v>
      </c>
      <c r="I76" s="12">
        <v>-1.9074072227153183E-3</v>
      </c>
      <c r="J76" s="12">
        <v>1.785938179914015E-2</v>
      </c>
      <c r="K76" s="12">
        <v>9.5846645367412275E-3</v>
      </c>
      <c r="L76" s="12">
        <v>4.7416773683690572E-3</v>
      </c>
      <c r="M76" s="13">
        <v>73</v>
      </c>
      <c r="N76" s="15">
        <f t="shared" ca="1" si="9"/>
        <v>40</v>
      </c>
      <c r="O76" s="13">
        <v>73</v>
      </c>
      <c r="P76" s="19">
        <f t="shared" ca="1" si="10"/>
        <v>42429</v>
      </c>
      <c r="Q76" s="12">
        <f t="shared" ca="1" si="11"/>
        <v>2.5858333333333338E-4</v>
      </c>
      <c r="R76" s="12">
        <f t="shared" ca="1" si="11"/>
        <v>1.1526283550027383E-3</v>
      </c>
      <c r="S76" s="12">
        <f t="shared" ca="1" si="11"/>
        <v>6.3649925410236285E-4</v>
      </c>
      <c r="T76" s="12">
        <f t="shared" ca="1" si="11"/>
        <v>9.6042118432282386E-4</v>
      </c>
      <c r="U76" s="12">
        <f t="shared" ca="1" si="11"/>
        <v>9.8407227159911237E-3</v>
      </c>
      <c r="V76" s="12">
        <f t="shared" ca="1" si="11"/>
        <v>4.5348675578638087E-3</v>
      </c>
      <c r="W76" s="12">
        <f t="shared" ca="1" si="11"/>
        <v>7.3469230175275957E-3</v>
      </c>
      <c r="X76" s="12">
        <f t="shared" ca="1" si="11"/>
        <v>-4.1283552550199776E-3</v>
      </c>
      <c r="Y76" s="12">
        <f t="shared" ca="1" si="11"/>
        <v>-9.608367793724093E-3</v>
      </c>
      <c r="Z76" s="12">
        <f t="shared" ca="1" si="11"/>
        <v>0.10772574024557113</v>
      </c>
    </row>
    <row r="77" spans="1:26">
      <c r="A77" s="13">
        <v>74</v>
      </c>
      <c r="B77" s="11">
        <v>43465</v>
      </c>
      <c r="C77" s="12">
        <v>1.952E-3</v>
      </c>
      <c r="D77" s="12">
        <v>7.896311710921422E-3</v>
      </c>
      <c r="E77" s="12">
        <v>7.5697447228533221E-3</v>
      </c>
      <c r="F77" s="12">
        <v>6.9781620857483073E-3</v>
      </c>
      <c r="G77" s="12">
        <v>2.219667593196295E-2</v>
      </c>
      <c r="H77" s="12">
        <v>1.4366555259428315E-2</v>
      </c>
      <c r="I77" s="12">
        <v>1.5011129069729678E-2</v>
      </c>
      <c r="J77" s="12">
        <v>-9.1776955767217339E-2</v>
      </c>
      <c r="K77" s="12">
        <v>-7.7134851275620031E-2</v>
      </c>
      <c r="L77" s="12">
        <v>5.0773440828499439E-2</v>
      </c>
      <c r="M77" s="13">
        <v>74</v>
      </c>
      <c r="N77" s="15">
        <f t="shared" ca="1" si="9"/>
        <v>84</v>
      </c>
      <c r="O77" s="13">
        <v>74</v>
      </c>
      <c r="P77" s="19">
        <f t="shared" ca="1" si="10"/>
        <v>43769</v>
      </c>
      <c r="Q77" s="12">
        <f t="shared" ca="1" si="11"/>
        <v>1.5059166666666667E-3</v>
      </c>
      <c r="R77" s="12">
        <f t="shared" ca="1" si="11"/>
        <v>3.2941970067341675E-3</v>
      </c>
      <c r="S77" s="12">
        <f t="shared" ca="1" si="11"/>
        <v>2.9962811526773603E-3</v>
      </c>
      <c r="T77" s="12">
        <f t="shared" ca="1" si="11"/>
        <v>4.4146796438231384E-3</v>
      </c>
      <c r="U77" s="12">
        <f t="shared" ca="1" si="11"/>
        <v>3.0695886693599128E-4</v>
      </c>
      <c r="V77" s="12">
        <f t="shared" ca="1" si="11"/>
        <v>1.9779523748084671E-3</v>
      </c>
      <c r="W77" s="12">
        <f t="shared" ca="1" si="11"/>
        <v>6.1161127474222976E-3</v>
      </c>
      <c r="X77" s="12">
        <f t="shared" ca="1" si="11"/>
        <v>2.0431747482144935E-2</v>
      </c>
      <c r="Y77" s="12">
        <f t="shared" ca="1" si="11"/>
        <v>2.4545646370216945E-2</v>
      </c>
      <c r="Z77" s="12">
        <f t="shared" ca="1" si="11"/>
        <v>2.7504431269482321E-2</v>
      </c>
    </row>
    <row r="78" spans="1:26">
      <c r="A78" s="13">
        <v>75</v>
      </c>
      <c r="B78" s="11">
        <v>43496</v>
      </c>
      <c r="C78" s="12">
        <v>1.962416666666667E-3</v>
      </c>
      <c r="D78" s="12">
        <v>2.693012589601862E-3</v>
      </c>
      <c r="E78" s="12">
        <v>2.7841509229560302E-3</v>
      </c>
      <c r="F78" s="12">
        <v>7.0274240371139829E-3</v>
      </c>
      <c r="G78" s="12">
        <v>4.6694430922893382E-3</v>
      </c>
      <c r="H78" s="12">
        <v>3.7222012815680827E-3</v>
      </c>
      <c r="I78" s="12">
        <v>2.0932190041150545E-2</v>
      </c>
      <c r="J78" s="12">
        <v>7.8684404731036883E-2</v>
      </c>
      <c r="K78" s="12">
        <v>7.6750358299272792E-2</v>
      </c>
      <c r="L78" s="12">
        <v>3.0222457874915287E-2</v>
      </c>
      <c r="M78" s="13">
        <v>75</v>
      </c>
      <c r="N78" s="15">
        <f t="shared" ca="1" si="9"/>
        <v>1</v>
      </c>
      <c r="O78" s="13">
        <v>75</v>
      </c>
      <c r="P78" s="19">
        <f t="shared" ca="1" si="10"/>
        <v>41243</v>
      </c>
      <c r="Q78" s="12">
        <f t="shared" ca="1" si="11"/>
        <v>8.8750000000000002E-5</v>
      </c>
      <c r="R78" s="12">
        <f t="shared" ca="1" si="11"/>
        <v>8.9025510352636061E-4</v>
      </c>
      <c r="S78" s="12">
        <f t="shared" ca="1" si="11"/>
        <v>7.4010668307344929E-4</v>
      </c>
      <c r="T78" s="12">
        <f t="shared" ca="1" si="11"/>
        <v>8.6192379333893676E-4</v>
      </c>
      <c r="U78" s="12">
        <f t="shared" ca="1" si="11"/>
        <v>5.7531373731054547E-3</v>
      </c>
      <c r="V78" s="12">
        <f t="shared" ca="1" si="11"/>
        <v>3.7147171217664088E-3</v>
      </c>
      <c r="W78" s="12">
        <f t="shared" ca="1" si="11"/>
        <v>-8.2135255640869431E-4</v>
      </c>
      <c r="X78" s="12">
        <f t="shared" ca="1" si="11"/>
        <v>2.8467029231815655E-3</v>
      </c>
      <c r="Y78" s="12">
        <f t="shared" ca="1" si="11"/>
        <v>1.0733603786342139E-2</v>
      </c>
      <c r="Z78" s="12">
        <f t="shared" ca="1" si="11"/>
        <v>-3.2952663237730828E-3</v>
      </c>
    </row>
    <row r="79" spans="1:26">
      <c r="A79" s="13">
        <v>76</v>
      </c>
      <c r="B79" s="11">
        <v>43524</v>
      </c>
      <c r="C79" s="12">
        <v>1.9865833333333333E-3</v>
      </c>
      <c r="D79" s="12">
        <v>1.0051696844186608E-3</v>
      </c>
      <c r="E79" s="12">
        <v>1.2578004850634095E-3</v>
      </c>
      <c r="F79" s="12">
        <v>3.5059253369462695E-3</v>
      </c>
      <c r="G79" s="12">
        <v>-2.7752785488605047E-3</v>
      </c>
      <c r="H79" s="12">
        <v>3.5532293312900975E-4</v>
      </c>
      <c r="I79" s="12">
        <v>3.595733609209395E-3</v>
      </c>
      <c r="J79" s="12">
        <v>2.9728930143116061E-2</v>
      </c>
      <c r="K79" s="12">
        <v>2.8272261633037532E-2</v>
      </c>
      <c r="L79" s="12">
        <v>-6.0018921475875064E-3</v>
      </c>
      <c r="M79" s="13">
        <v>76</v>
      </c>
      <c r="N79" s="15">
        <f t="shared" ca="1" si="9"/>
        <v>123</v>
      </c>
      <c r="O79" s="13">
        <v>76</v>
      </c>
      <c r="P79" s="19">
        <f t="shared" ca="1" si="10"/>
        <v>44957</v>
      </c>
      <c r="Q79" s="12">
        <f t="shared" ca="1" si="11"/>
        <v>3.6190833333333335E-3</v>
      </c>
      <c r="R79" s="12">
        <f t="shared" ca="1" si="11"/>
        <v>6.8529912993722242E-3</v>
      </c>
      <c r="S79" s="12">
        <f t="shared" ca="1" si="11"/>
        <v>7.4985009837649219E-3</v>
      </c>
      <c r="T79" s="12">
        <f t="shared" ca="1" si="11"/>
        <v>1.0432522821833157E-2</v>
      </c>
      <c r="U79" s="12">
        <f t="shared" ca="1" si="11"/>
        <v>2.5942010417448813E-2</v>
      </c>
      <c r="V79" s="12">
        <f t="shared" ca="1" si="11"/>
        <v>1.4634042651866963E-2</v>
      </c>
      <c r="W79" s="12">
        <f t="shared" ca="1" si="11"/>
        <v>3.889132644369897E-2</v>
      </c>
      <c r="X79" s="12">
        <f t="shared" ca="1" si="11"/>
        <v>6.1752832400052027E-2</v>
      </c>
      <c r="Y79" s="12">
        <f t="shared" ca="1" si="11"/>
        <v>7.004675931440163E-2</v>
      </c>
      <c r="Z79" s="12">
        <f t="shared" ca="1" si="11"/>
        <v>5.720332013903362E-2</v>
      </c>
    </row>
    <row r="80" spans="1:26">
      <c r="A80" s="13">
        <v>77</v>
      </c>
      <c r="B80" s="11">
        <v>43553</v>
      </c>
      <c r="C80" s="12">
        <v>2.0271666666666667E-3</v>
      </c>
      <c r="D80" s="12">
        <v>6.1140339599461413E-3</v>
      </c>
      <c r="E80" s="12">
        <v>5.6005851058500422E-3</v>
      </c>
      <c r="F80" s="12">
        <v>7.8061480891151724E-3</v>
      </c>
      <c r="G80" s="12">
        <v>1.9871317951636103E-2</v>
      </c>
      <c r="H80" s="12">
        <v>1.4119884433976049E-2</v>
      </c>
      <c r="I80" s="12">
        <v>2.4897397534795696E-2</v>
      </c>
      <c r="J80" s="12">
        <v>1.7924287751078349E-2</v>
      </c>
      <c r="K80" s="12">
        <v>1.0499367161431294E-2</v>
      </c>
      <c r="L80" s="12">
        <v>-1.5944324307860858E-2</v>
      </c>
      <c r="M80" s="13">
        <v>77</v>
      </c>
      <c r="N80" s="15">
        <f t="shared" ca="1" si="9"/>
        <v>107</v>
      </c>
      <c r="O80" s="13">
        <v>77</v>
      </c>
      <c r="P80" s="19">
        <f t="shared" ca="1" si="10"/>
        <v>44469</v>
      </c>
      <c r="Q80" s="12">
        <f t="shared" ca="1" si="11"/>
        <v>2.9583333333333332E-5</v>
      </c>
      <c r="R80" s="12">
        <f t="shared" ca="1" si="11"/>
        <v>-1.0048513877685128E-3</v>
      </c>
      <c r="S80" s="12">
        <f t="shared" ca="1" si="11"/>
        <v>-7.6437253088035284E-4</v>
      </c>
      <c r="T80" s="12">
        <f t="shared" ca="1" si="11"/>
        <v>-2.8779840011450286E-4</v>
      </c>
      <c r="U80" s="12">
        <f t="shared" ca="1" si="11"/>
        <v>-1.2014615583012089E-2</v>
      </c>
      <c r="V80" s="12">
        <f t="shared" ca="1" si="11"/>
        <v>-6.0025556246581235E-3</v>
      </c>
      <c r="W80" s="12">
        <f t="shared" ca="1" si="11"/>
        <v>-1.0569251398916846E-2</v>
      </c>
      <c r="X80" s="12">
        <f t="shared" ca="1" si="11"/>
        <v>-4.7569140421166334E-2</v>
      </c>
      <c r="Y80" s="12">
        <f t="shared" ca="1" si="11"/>
        <v>-4.2895570375793834E-2</v>
      </c>
      <c r="Z80" s="12">
        <f t="shared" ca="1" si="11"/>
        <v>-3.124689846825679E-2</v>
      </c>
    </row>
    <row r="81" spans="1:26">
      <c r="A81" s="13">
        <v>78</v>
      </c>
      <c r="B81" s="11">
        <v>43585</v>
      </c>
      <c r="C81" s="12">
        <v>1.9840833333333334E-3</v>
      </c>
      <c r="D81" s="12">
        <v>2.032029732946361E-3</v>
      </c>
      <c r="E81" s="12">
        <v>2.0692667898007944E-3</v>
      </c>
      <c r="F81" s="12">
        <v>3.2555151484721101E-3</v>
      </c>
      <c r="G81" s="12">
        <v>-3.235594213409243E-3</v>
      </c>
      <c r="H81" s="12">
        <v>2.1207871847783721E-5</v>
      </c>
      <c r="I81" s="12">
        <v>5.5683250661680006E-3</v>
      </c>
      <c r="J81" s="12">
        <v>3.9313434942139347E-2</v>
      </c>
      <c r="K81" s="12">
        <v>3.3652158235835783E-2</v>
      </c>
      <c r="L81" s="12">
        <v>-6.8478311332581532E-3</v>
      </c>
      <c r="M81" s="13">
        <v>78</v>
      </c>
      <c r="N81" s="15">
        <f t="shared" ca="1" si="9"/>
        <v>131</v>
      </c>
      <c r="O81" s="13">
        <v>78</v>
      </c>
      <c r="P81" s="19">
        <f t="shared" ca="1" si="10"/>
        <v>45198</v>
      </c>
      <c r="Q81" s="12">
        <f t="shared" ca="1" si="11"/>
        <v>4.5294999999999997E-3</v>
      </c>
      <c r="R81" s="12">
        <f t="shared" ca="1" si="11"/>
        <v>-8.7527777912765892E-5</v>
      </c>
      <c r="S81" s="12">
        <f t="shared" ca="1" si="11"/>
        <v>7.3954471452686299E-4</v>
      </c>
      <c r="T81" s="12">
        <f t="shared" ca="1" si="11"/>
        <v>-6.7481426476689865E-4</v>
      </c>
      <c r="U81" s="12">
        <f t="shared" ca="1" si="11"/>
        <v>-2.3814615369661118E-2</v>
      </c>
      <c r="V81" s="12">
        <f t="shared" ca="1" si="11"/>
        <v>-7.8838704615544763E-3</v>
      </c>
      <c r="W81" s="12">
        <f t="shared" ca="1" si="11"/>
        <v>-2.4496905181951245E-2</v>
      </c>
      <c r="X81" s="12">
        <f t="shared" ca="1" si="11"/>
        <v>-4.871929116215501E-2</v>
      </c>
      <c r="Y81" s="12">
        <f t="shared" ca="1" si="11"/>
        <v>-4.4467217232302625E-2</v>
      </c>
      <c r="Z81" s="12">
        <f t="shared" ca="1" si="11"/>
        <v>-4.7191254464768906E-2</v>
      </c>
    </row>
    <row r="82" spans="1:26">
      <c r="A82" s="13">
        <v>79</v>
      </c>
      <c r="B82" s="11">
        <v>43616</v>
      </c>
      <c r="C82" s="12">
        <v>2.0082500000000001E-3</v>
      </c>
      <c r="D82" s="12">
        <v>7.0972646150306851E-3</v>
      </c>
      <c r="E82" s="12">
        <v>6.6454558664943431E-3</v>
      </c>
      <c r="F82" s="12">
        <v>5.5851148528454075E-3</v>
      </c>
      <c r="G82" s="12">
        <v>2.4430574842440933E-2</v>
      </c>
      <c r="H82" s="12">
        <v>1.5931915178023504E-2</v>
      </c>
      <c r="I82" s="12">
        <v>1.4346665352576782E-2</v>
      </c>
      <c r="J82" s="12">
        <v>-6.5777726481161536E-2</v>
      </c>
      <c r="K82" s="12">
        <v>-6.0780200764686709E-2</v>
      </c>
      <c r="L82" s="12">
        <v>1.7179185527412599E-2</v>
      </c>
      <c r="M82" s="13">
        <v>79</v>
      </c>
      <c r="N82" s="15">
        <f t="shared" ca="1" si="9"/>
        <v>56</v>
      </c>
      <c r="O82" s="13">
        <v>79</v>
      </c>
      <c r="P82" s="19">
        <f t="shared" ca="1" si="10"/>
        <v>42916</v>
      </c>
      <c r="Q82" s="12">
        <f t="shared" ca="1" si="11"/>
        <v>8.0883333333333339E-4</v>
      </c>
      <c r="R82" s="12">
        <f t="shared" ca="1" si="11"/>
        <v>-8.0204131069117057E-4</v>
      </c>
      <c r="S82" s="12">
        <f t="shared" ca="1" si="11"/>
        <v>-2.4903126051567526E-4</v>
      </c>
      <c r="T82" s="12">
        <f t="shared" ca="1" si="11"/>
        <v>6.9842322783286725E-4</v>
      </c>
      <c r="U82" s="12">
        <f t="shared" ca="1" si="11"/>
        <v>-1.4999198156073756E-3</v>
      </c>
      <c r="V82" s="12">
        <f t="shared" ca="1" si="11"/>
        <v>-6.063772226055919E-4</v>
      </c>
      <c r="W82" s="12">
        <f t="shared" ca="1" si="11"/>
        <v>2.4540228281686449E-3</v>
      </c>
      <c r="X82" s="12">
        <f t="shared" ca="1" si="11"/>
        <v>4.8138319927024664E-3</v>
      </c>
      <c r="Y82" s="12">
        <f t="shared" ca="1" si="11"/>
        <v>2.4532624729305397E-3</v>
      </c>
      <c r="Z82" s="12">
        <f t="shared" ca="1" si="11"/>
        <v>-2.152223938467368E-2</v>
      </c>
    </row>
    <row r="83" spans="1:26">
      <c r="A83" s="13">
        <v>80</v>
      </c>
      <c r="B83" s="11">
        <v>43644</v>
      </c>
      <c r="C83" s="12">
        <v>1.9499166666666666E-3</v>
      </c>
      <c r="D83" s="12">
        <v>5.1917075031886473E-3</v>
      </c>
      <c r="E83" s="12">
        <v>4.2090899628399736E-3</v>
      </c>
      <c r="F83" s="12">
        <v>7.0753769980971271E-3</v>
      </c>
      <c r="G83" s="12">
        <v>9.2802295657687939E-3</v>
      </c>
      <c r="H83" s="12">
        <v>7.1252807034192234E-3</v>
      </c>
      <c r="I83" s="12">
        <v>2.2998364645352432E-2</v>
      </c>
      <c r="J83" s="12">
        <v>6.8930183208214979E-2</v>
      </c>
      <c r="K83" s="12">
        <v>6.4557116676847937E-2</v>
      </c>
      <c r="L83" s="12">
        <v>7.9635104704422588E-2</v>
      </c>
      <c r="M83" s="13">
        <v>80</v>
      </c>
      <c r="N83" s="15">
        <f t="shared" ca="1" si="9"/>
        <v>35</v>
      </c>
      <c r="O83" s="13">
        <v>80</v>
      </c>
      <c r="P83" s="19">
        <f t="shared" ca="1" si="10"/>
        <v>42277</v>
      </c>
      <c r="Q83" s="12">
        <f t="shared" ca="1" si="11"/>
        <v>0</v>
      </c>
      <c r="R83" s="12">
        <f t="shared" ca="1" si="11"/>
        <v>3.025233393722182E-3</v>
      </c>
      <c r="S83" s="12">
        <f t="shared" ca="1" si="11"/>
        <v>2.8579516467206467E-3</v>
      </c>
      <c r="T83" s="12">
        <f t="shared" ca="1" si="11"/>
        <v>2.7680900795501451E-3</v>
      </c>
      <c r="U83" s="12">
        <f t="shared" ca="1" si="11"/>
        <v>8.9755328959022496E-3</v>
      </c>
      <c r="V83" s="12">
        <f t="shared" ca="1" si="11"/>
        <v>6.0349461811213256E-3</v>
      </c>
      <c r="W83" s="12">
        <f t="shared" ca="1" si="11"/>
        <v>5.2409861317948003E-3</v>
      </c>
      <c r="X83" s="12">
        <f t="shared" ca="1" si="11"/>
        <v>-2.6442819620927094E-2</v>
      </c>
      <c r="Y83" s="12">
        <f t="shared" ca="1" si="11"/>
        <v>-3.8597813337546971E-2</v>
      </c>
      <c r="Z83" s="12">
        <f t="shared" ca="1" si="11"/>
        <v>-1.7481254350488751E-2</v>
      </c>
    </row>
    <row r="84" spans="1:26">
      <c r="A84" s="13">
        <v>81</v>
      </c>
      <c r="B84" s="11">
        <v>43677</v>
      </c>
      <c r="C84" s="12">
        <v>1.7390000000000001E-3</v>
      </c>
      <c r="D84" s="12">
        <v>-1.1790413866580307E-3</v>
      </c>
      <c r="E84" s="12">
        <v>-4.6832241463723445E-4</v>
      </c>
      <c r="F84" s="12">
        <v>1.2056677051768272E-3</v>
      </c>
      <c r="G84" s="12">
        <v>-1.0532070272051275E-3</v>
      </c>
      <c r="H84" s="12">
        <v>-9.7982933382922965E-5</v>
      </c>
      <c r="I84" s="12">
        <v>6.5538327166687615E-3</v>
      </c>
      <c r="J84" s="12">
        <v>1.3128195366039375E-2</v>
      </c>
      <c r="K84" s="12">
        <v>4.2279707117773846E-3</v>
      </c>
      <c r="L84" s="12">
        <v>3.0009577524741093E-3</v>
      </c>
      <c r="M84" s="13">
        <v>81</v>
      </c>
      <c r="N84" s="15">
        <f t="shared" ca="1" si="9"/>
        <v>12</v>
      </c>
      <c r="O84" s="13">
        <v>81</v>
      </c>
      <c r="P84" s="19">
        <f t="shared" ca="1" si="10"/>
        <v>41578</v>
      </c>
      <c r="Q84" s="12">
        <f t="shared" ref="Q84:Z93" ca="1" si="12">INDEX(histrets,$N84,Q$1)</f>
        <v>4.25E-6</v>
      </c>
      <c r="R84" s="12">
        <f t="shared" ca="1" si="12"/>
        <v>1.0262168533272664E-3</v>
      </c>
      <c r="S84" s="12">
        <f t="shared" ca="1" si="12"/>
        <v>1.6937705168518224E-3</v>
      </c>
      <c r="T84" s="12">
        <f t="shared" ca="1" si="12"/>
        <v>3.8961680711877555E-3</v>
      </c>
      <c r="U84" s="12">
        <f t="shared" ca="1" si="12"/>
        <v>5.4804354642623565E-3</v>
      </c>
      <c r="V84" s="12">
        <f t="shared" ca="1" si="12"/>
        <v>4.7594010612186377E-3</v>
      </c>
      <c r="W84" s="12">
        <f t="shared" ca="1" si="12"/>
        <v>1.4968260558051671E-2</v>
      </c>
      <c r="X84" s="12">
        <f t="shared" ca="1" si="12"/>
        <v>4.4595759864410889E-2</v>
      </c>
      <c r="Y84" s="12">
        <f t="shared" ca="1" si="12"/>
        <v>3.8343687446150909E-2</v>
      </c>
      <c r="Z84" s="12">
        <f t="shared" ca="1" si="12"/>
        <v>-4.4919979232974638E-3</v>
      </c>
    </row>
    <row r="85" spans="1:26">
      <c r="A85" s="13">
        <v>82</v>
      </c>
      <c r="B85" s="11">
        <v>43707</v>
      </c>
      <c r="C85" s="12">
        <v>1.7179999999999999E-3</v>
      </c>
      <c r="D85" s="12">
        <v>8.0651942026881418E-3</v>
      </c>
      <c r="E85" s="12">
        <v>7.2430967663801304E-3</v>
      </c>
      <c r="F85" s="12">
        <v>7.590990648397522E-3</v>
      </c>
      <c r="G85" s="12">
        <v>3.5535343864688151E-2</v>
      </c>
      <c r="H85" s="12">
        <v>2.2414536061881041E-2</v>
      </c>
      <c r="I85" s="12">
        <v>3.0361290462434187E-2</v>
      </c>
      <c r="J85" s="12">
        <v>-1.8091652742267761E-2</v>
      </c>
      <c r="K85" s="12">
        <v>-2.2417670829600111E-2</v>
      </c>
      <c r="L85" s="12">
        <v>7.5400698835745406E-2</v>
      </c>
      <c r="M85" s="13">
        <v>82</v>
      </c>
      <c r="N85" s="15">
        <f t="shared" ca="1" si="9"/>
        <v>130</v>
      </c>
      <c r="O85" s="13">
        <v>82</v>
      </c>
      <c r="P85" s="19">
        <f t="shared" ca="1" si="10"/>
        <v>45169</v>
      </c>
      <c r="Q85" s="12">
        <f t="shared" ca="1" si="12"/>
        <v>4.5000833333333334E-3</v>
      </c>
      <c r="R85" s="12">
        <f t="shared" ca="1" si="12"/>
        <v>3.9273692971986129E-3</v>
      </c>
      <c r="S85" s="12">
        <f t="shared" ca="1" si="12"/>
        <v>3.9583557645146428E-3</v>
      </c>
      <c r="T85" s="12">
        <f t="shared" ca="1" si="12"/>
        <v>3.0283320281572212E-3</v>
      </c>
      <c r="U85" s="12">
        <f t="shared" ca="1" si="12"/>
        <v>-5.8212682970623097E-3</v>
      </c>
      <c r="V85" s="12">
        <f t="shared" ca="1" si="12"/>
        <v>1.6821017779320435E-3</v>
      </c>
      <c r="W85" s="12">
        <f t="shared" ca="1" si="12"/>
        <v>-6.8291158690111375E-3</v>
      </c>
      <c r="X85" s="12">
        <f t="shared" ca="1" si="12"/>
        <v>-1.771643248143373E-2</v>
      </c>
      <c r="Y85" s="12">
        <f t="shared" ca="1" si="12"/>
        <v>-2.5545801651274402E-2</v>
      </c>
      <c r="Z85" s="12">
        <f t="shared" ca="1" si="12"/>
        <v>-1.2671175366013698E-2</v>
      </c>
    </row>
    <row r="86" spans="1:26">
      <c r="A86" s="13">
        <v>83</v>
      </c>
      <c r="B86" s="11">
        <v>43738</v>
      </c>
      <c r="C86" s="12">
        <v>1.6470833333333333E-3</v>
      </c>
      <c r="D86" s="12">
        <v>-1.1088414569325744E-3</v>
      </c>
      <c r="E86" s="12">
        <v>-5.3130370807907834E-4</v>
      </c>
      <c r="F86" s="12">
        <v>1.1734338582427561E-3</v>
      </c>
      <c r="G86" s="12">
        <v>-9.0342588454982442E-3</v>
      </c>
      <c r="H86" s="12">
        <v>-4.7823813727966291E-3</v>
      </c>
      <c r="I86" s="12">
        <v>-6.1853316184858897E-3</v>
      </c>
      <c r="J86" s="12">
        <v>1.7181167690656807E-2</v>
      </c>
      <c r="K86" s="12">
        <v>1.9405944297925748E-2</v>
      </c>
      <c r="L86" s="12">
        <v>-3.1498704271300637E-2</v>
      </c>
      <c r="M86" s="13">
        <v>83</v>
      </c>
      <c r="N86" s="15">
        <f t="shared" ca="1" si="9"/>
        <v>59</v>
      </c>
      <c r="O86" s="13">
        <v>83</v>
      </c>
      <c r="P86" s="19">
        <f t="shared" ca="1" si="10"/>
        <v>43007</v>
      </c>
      <c r="Q86" s="12">
        <f t="shared" ca="1" si="12"/>
        <v>8.2583333333333337E-4</v>
      </c>
      <c r="R86" s="12">
        <f t="shared" ca="1" si="12"/>
        <v>-1.6364712969079154E-3</v>
      </c>
      <c r="S86" s="12">
        <f t="shared" ca="1" si="12"/>
        <v>-1.1181124001334863E-3</v>
      </c>
      <c r="T86" s="12">
        <f t="shared" ca="1" si="12"/>
        <v>1.1631655580179867E-4</v>
      </c>
      <c r="U86" s="12">
        <f t="shared" ca="1" si="12"/>
        <v>-8.7948893503050352E-3</v>
      </c>
      <c r="V86" s="12">
        <f t="shared" ca="1" si="12"/>
        <v>-5.0203692605020889E-3</v>
      </c>
      <c r="W86" s="12">
        <f t="shared" ca="1" si="12"/>
        <v>-2.2821993994576184E-3</v>
      </c>
      <c r="X86" s="12">
        <f t="shared" ca="1" si="12"/>
        <v>1.9302894827342154E-2</v>
      </c>
      <c r="Y86" s="12">
        <f t="shared" ca="1" si="12"/>
        <v>2.082419096410737E-2</v>
      </c>
      <c r="Z86" s="12">
        <f t="shared" ca="1" si="12"/>
        <v>-3.1541587522608161E-2</v>
      </c>
    </row>
    <row r="87" spans="1:26">
      <c r="A87" s="13">
        <v>84</v>
      </c>
      <c r="B87" s="11">
        <v>43769</v>
      </c>
      <c r="C87" s="12">
        <v>1.5059166666666667E-3</v>
      </c>
      <c r="D87" s="12">
        <v>3.2941970067341675E-3</v>
      </c>
      <c r="E87" s="12">
        <v>2.9962811526773603E-3</v>
      </c>
      <c r="F87" s="12">
        <v>4.4146796438231384E-3</v>
      </c>
      <c r="G87" s="12">
        <v>3.0695886693599128E-4</v>
      </c>
      <c r="H87" s="12">
        <v>1.9779523748084671E-3</v>
      </c>
      <c r="I87" s="12">
        <v>6.1161127474222976E-3</v>
      </c>
      <c r="J87" s="12">
        <v>2.0431747482144935E-2</v>
      </c>
      <c r="K87" s="12">
        <v>2.4545646370216945E-2</v>
      </c>
      <c r="L87" s="12">
        <v>2.7504431269482321E-2</v>
      </c>
      <c r="M87" s="13">
        <v>84</v>
      </c>
      <c r="N87" s="15">
        <f t="shared" ca="1" si="9"/>
        <v>41</v>
      </c>
      <c r="O87" s="13">
        <v>84</v>
      </c>
      <c r="P87" s="19">
        <f t="shared" ca="1" si="10"/>
        <v>42460</v>
      </c>
      <c r="Q87" s="12">
        <f t="shared" ca="1" si="12"/>
        <v>2.6283333333333334E-4</v>
      </c>
      <c r="R87" s="12">
        <f t="shared" ca="1" si="12"/>
        <v>1.7450488010437581E-3</v>
      </c>
      <c r="S87" s="12">
        <f t="shared" ca="1" si="12"/>
        <v>2.0434531973680947E-3</v>
      </c>
      <c r="T87" s="12">
        <f t="shared" ca="1" si="12"/>
        <v>8.4586985427637096E-3</v>
      </c>
      <c r="U87" s="12">
        <f t="shared" ca="1" si="12"/>
        <v>1.3902308915594297E-3</v>
      </c>
      <c r="V87" s="12">
        <f t="shared" ca="1" si="12"/>
        <v>2.4232475161714007E-3</v>
      </c>
      <c r="W87" s="12">
        <f t="shared" ca="1" si="12"/>
        <v>2.7141723803574269E-2</v>
      </c>
      <c r="X87" s="12">
        <f t="shared" ca="1" si="12"/>
        <v>6.5991108718941094E-2</v>
      </c>
      <c r="Y87" s="12">
        <f t="shared" ca="1" si="12"/>
        <v>6.5248162774614205E-2</v>
      </c>
      <c r="Z87" s="12">
        <f t="shared" ca="1" si="12"/>
        <v>-4.7793197542526089E-3</v>
      </c>
    </row>
    <row r="88" spans="1:26">
      <c r="A88" s="13">
        <v>85</v>
      </c>
      <c r="B88" s="11">
        <v>43798</v>
      </c>
      <c r="C88" s="12">
        <v>1.2700000000000001E-3</v>
      </c>
      <c r="D88" s="12">
        <v>-3.1985221522146112E-4</v>
      </c>
      <c r="E88" s="12">
        <v>3.6057863500360554E-4</v>
      </c>
      <c r="F88" s="12">
        <v>9.0396543563886489E-4</v>
      </c>
      <c r="G88" s="12">
        <v>-3.0761312252364226E-3</v>
      </c>
      <c r="H88" s="12">
        <v>-1.2057464260430972E-3</v>
      </c>
      <c r="I88" s="12">
        <v>2.1668924942224166E-3</v>
      </c>
      <c r="J88" s="12">
        <v>3.404706409091518E-2</v>
      </c>
      <c r="K88" s="12">
        <v>2.6294699421991252E-2</v>
      </c>
      <c r="L88" s="12">
        <v>-3.2392811585007175E-2</v>
      </c>
      <c r="M88" s="13">
        <v>85</v>
      </c>
      <c r="N88" s="15">
        <f t="shared" ca="1" si="9"/>
        <v>99</v>
      </c>
      <c r="O88" s="13">
        <v>85</v>
      </c>
      <c r="P88" s="19">
        <f t="shared" ca="1" si="10"/>
        <v>44225</v>
      </c>
      <c r="Q88" s="12">
        <f t="shared" ca="1" si="12"/>
        <v>4.8583333333333333E-5</v>
      </c>
      <c r="R88" s="12">
        <f t="shared" ca="1" si="12"/>
        <v>1.5009428290868598E-4</v>
      </c>
      <c r="S88" s="12">
        <f t="shared" ca="1" si="12"/>
        <v>4.1806629045537669E-4</v>
      </c>
      <c r="T88" s="12">
        <f t="shared" ca="1" si="12"/>
        <v>5.7198793586965557E-4</v>
      </c>
      <c r="U88" s="12">
        <f t="shared" ca="1" si="12"/>
        <v>-1.1228896488291951E-2</v>
      </c>
      <c r="V88" s="12">
        <f t="shared" ca="1" si="12"/>
        <v>-2.711704697170525E-3</v>
      </c>
      <c r="W88" s="12">
        <f t="shared" ca="1" si="12"/>
        <v>-1.2198864959817701E-2</v>
      </c>
      <c r="X88" s="12">
        <f t="shared" ca="1" si="12"/>
        <v>-1.1136640158463607E-2</v>
      </c>
      <c r="Y88" s="12">
        <f t="shared" ca="1" si="12"/>
        <v>-1.0538876745327164E-2</v>
      </c>
      <c r="Z88" s="12">
        <f t="shared" ca="1" si="12"/>
        <v>-2.6712530816072722E-2</v>
      </c>
    </row>
    <row r="89" spans="1:26">
      <c r="A89" s="13">
        <v>86</v>
      </c>
      <c r="B89" s="11">
        <v>43830</v>
      </c>
      <c r="C89" s="12">
        <v>1.3059999999999999E-3</v>
      </c>
      <c r="D89" s="12">
        <v>2.1205151268308686E-3</v>
      </c>
      <c r="E89" s="12">
        <v>2.0915015047420216E-3</v>
      </c>
      <c r="F89" s="12">
        <v>3.4688001557421355E-3</v>
      </c>
      <c r="G89" s="12">
        <v>-6.162005891732214E-3</v>
      </c>
      <c r="H89" s="12">
        <v>-2.0535388229255824E-3</v>
      </c>
      <c r="I89" s="12">
        <v>3.1502213769212251E-3</v>
      </c>
      <c r="J89" s="12">
        <v>2.8589803182446305E-2</v>
      </c>
      <c r="K89" s="12">
        <v>2.8884157992548731E-2</v>
      </c>
      <c r="L89" s="12">
        <v>3.640077050232926E-2</v>
      </c>
      <c r="M89" s="13">
        <v>86</v>
      </c>
      <c r="N89" s="15">
        <f t="shared" ca="1" si="9"/>
        <v>105</v>
      </c>
      <c r="O89" s="13">
        <v>86</v>
      </c>
      <c r="P89" s="19">
        <f t="shared" ca="1" si="10"/>
        <v>44407</v>
      </c>
      <c r="Q89" s="12">
        <f t="shared" ca="1" si="12"/>
        <v>3.3833333333333334E-5</v>
      </c>
      <c r="R89" s="12">
        <f t="shared" ca="1" si="12"/>
        <v>1.6626477447918564E-3</v>
      </c>
      <c r="S89" s="12">
        <f t="shared" ca="1" si="12"/>
        <v>1.647780086191597E-3</v>
      </c>
      <c r="T89" s="12">
        <f t="shared" ca="1" si="12"/>
        <v>1.6872030917995939E-3</v>
      </c>
      <c r="U89" s="12">
        <f t="shared" ca="1" si="12"/>
        <v>1.3395155145788706E-2</v>
      </c>
      <c r="V89" s="12">
        <f t="shared" ca="1" si="12"/>
        <v>7.0237893228504156E-3</v>
      </c>
      <c r="W89" s="12">
        <f t="shared" ca="1" si="12"/>
        <v>1.2096097926917571E-2</v>
      </c>
      <c r="X89" s="12">
        <f t="shared" ca="1" si="12"/>
        <v>2.274810936591054E-2</v>
      </c>
      <c r="Y89" s="12">
        <f t="shared" ca="1" si="12"/>
        <v>1.7240979308836168E-2</v>
      </c>
      <c r="Z89" s="12">
        <f t="shared" ca="1" si="12"/>
        <v>2.4902407195033227E-2</v>
      </c>
    </row>
    <row r="90" spans="1:26">
      <c r="A90" s="13">
        <v>87</v>
      </c>
      <c r="B90" s="11">
        <v>43861</v>
      </c>
      <c r="C90" s="12">
        <v>1.2863333333333333E-3</v>
      </c>
      <c r="D90" s="12">
        <v>5.4097992135349049E-3</v>
      </c>
      <c r="E90" s="12">
        <v>4.2842005056689114E-3</v>
      </c>
      <c r="F90" s="12">
        <v>5.7110103120057154E-3</v>
      </c>
      <c r="G90" s="12">
        <v>2.5643424492520994E-2</v>
      </c>
      <c r="H90" s="12">
        <v>1.565730710389257E-2</v>
      </c>
      <c r="I90" s="12">
        <v>2.3757911224389527E-2</v>
      </c>
      <c r="J90" s="12">
        <v>-1.6280898111292741E-3</v>
      </c>
      <c r="K90" s="12">
        <v>-6.8094993788345715E-3</v>
      </c>
      <c r="L90" s="12">
        <v>4.7381151673729915E-2</v>
      </c>
      <c r="M90" s="13">
        <v>87</v>
      </c>
      <c r="N90" s="15">
        <f t="shared" ca="1" si="9"/>
        <v>88</v>
      </c>
      <c r="O90" s="13">
        <v>87</v>
      </c>
      <c r="P90" s="19">
        <f t="shared" ca="1" si="10"/>
        <v>43889</v>
      </c>
      <c r="Q90" s="12">
        <f t="shared" ca="1" si="12"/>
        <v>1.2818333333333334E-3</v>
      </c>
      <c r="R90" s="12">
        <f t="shared" ca="1" si="12"/>
        <v>8.7077755112952016E-3</v>
      </c>
      <c r="S90" s="12">
        <f t="shared" ca="1" si="12"/>
        <v>6.9867636458949001E-3</v>
      </c>
      <c r="T90" s="12">
        <f t="shared" ca="1" si="12"/>
        <v>5.7640709532034151E-3</v>
      </c>
      <c r="U90" s="12">
        <f t="shared" ca="1" si="12"/>
        <v>2.7281550152716161E-2</v>
      </c>
      <c r="V90" s="12">
        <f t="shared" ca="1" si="12"/>
        <v>1.6583845828477273E-2</v>
      </c>
      <c r="W90" s="12">
        <f t="shared" ca="1" si="12"/>
        <v>1.2903863943770189E-2</v>
      </c>
      <c r="X90" s="12">
        <f t="shared" ca="1" si="12"/>
        <v>-8.4110469009648137E-2</v>
      </c>
      <c r="Y90" s="12">
        <f t="shared" ca="1" si="12"/>
        <v>-8.5932864016120103E-2</v>
      </c>
      <c r="Z90" s="12">
        <f t="shared" ca="1" si="12"/>
        <v>-2.1835435072616871E-3</v>
      </c>
    </row>
    <row r="91" spans="1:26">
      <c r="A91" s="13">
        <v>88</v>
      </c>
      <c r="B91" s="11">
        <v>43889</v>
      </c>
      <c r="C91" s="12">
        <v>1.2818333333333334E-3</v>
      </c>
      <c r="D91" s="12">
        <v>8.7077755112952016E-3</v>
      </c>
      <c r="E91" s="12">
        <v>6.9867636458949001E-3</v>
      </c>
      <c r="F91" s="12">
        <v>5.7640709532034151E-3</v>
      </c>
      <c r="G91" s="12">
        <v>2.7281550152716161E-2</v>
      </c>
      <c r="H91" s="12">
        <v>1.6583845828477273E-2</v>
      </c>
      <c r="I91" s="12">
        <v>1.2903863943770189E-2</v>
      </c>
      <c r="J91" s="12">
        <v>-8.4110469009648137E-2</v>
      </c>
      <c r="K91" s="12">
        <v>-8.5932864016120103E-2</v>
      </c>
      <c r="L91" s="12">
        <v>-2.1835435072616871E-3</v>
      </c>
      <c r="M91" s="13">
        <v>88</v>
      </c>
      <c r="N91" s="15">
        <f t="shared" ca="1" si="9"/>
        <v>56</v>
      </c>
      <c r="O91" s="13">
        <v>88</v>
      </c>
      <c r="P91" s="19">
        <f t="shared" ca="1" si="10"/>
        <v>42916</v>
      </c>
      <c r="Q91" s="12">
        <f t="shared" ca="1" si="12"/>
        <v>8.0883333333333339E-4</v>
      </c>
      <c r="R91" s="12">
        <f t="shared" ca="1" si="12"/>
        <v>-8.0204131069117057E-4</v>
      </c>
      <c r="S91" s="12">
        <f t="shared" ca="1" si="12"/>
        <v>-2.4903126051567526E-4</v>
      </c>
      <c r="T91" s="12">
        <f t="shared" ca="1" si="12"/>
        <v>6.9842322783286725E-4</v>
      </c>
      <c r="U91" s="12">
        <f t="shared" ca="1" si="12"/>
        <v>-1.4999198156073756E-3</v>
      </c>
      <c r="V91" s="12">
        <f t="shared" ca="1" si="12"/>
        <v>-6.063772226055919E-4</v>
      </c>
      <c r="W91" s="12">
        <f t="shared" ca="1" si="12"/>
        <v>2.4540228281686449E-3</v>
      </c>
      <c r="X91" s="12">
        <f t="shared" ca="1" si="12"/>
        <v>4.8138319927024664E-3</v>
      </c>
      <c r="Y91" s="12">
        <f t="shared" ca="1" si="12"/>
        <v>2.4532624729305397E-3</v>
      </c>
      <c r="Z91" s="12">
        <f t="shared" ca="1" si="12"/>
        <v>-2.152223938467368E-2</v>
      </c>
    </row>
    <row r="92" spans="1:26">
      <c r="A92" s="13">
        <v>89</v>
      </c>
      <c r="B92" s="11">
        <v>43921</v>
      </c>
      <c r="C92" s="12">
        <v>1.0558333333333333E-3</v>
      </c>
      <c r="D92" s="12">
        <v>1.3718685826674903E-2</v>
      </c>
      <c r="E92" s="12">
        <v>8.1095810185372041E-3</v>
      </c>
      <c r="F92" s="12">
        <v>-2.7939758182719765E-2</v>
      </c>
      <c r="G92" s="12">
        <v>3.2641882382009157E-2</v>
      </c>
      <c r="H92" s="12">
        <v>9.480625065106052E-3</v>
      </c>
      <c r="I92" s="12">
        <v>-7.4740274503774518E-2</v>
      </c>
      <c r="J92" s="12">
        <v>-0.12511932083595656</v>
      </c>
      <c r="K92" s="12">
        <v>-0.13469118965774918</v>
      </c>
      <c r="L92" s="12">
        <v>-5.366748860117676E-3</v>
      </c>
      <c r="M92" s="13">
        <v>89</v>
      </c>
      <c r="N92" s="15">
        <f t="shared" ca="1" si="9"/>
        <v>12</v>
      </c>
      <c r="O92" s="13">
        <v>89</v>
      </c>
      <c r="P92" s="19">
        <f t="shared" ca="1" si="10"/>
        <v>41578</v>
      </c>
      <c r="Q92" s="12">
        <f t="shared" ca="1" si="12"/>
        <v>4.25E-6</v>
      </c>
      <c r="R92" s="12">
        <f t="shared" ca="1" si="12"/>
        <v>1.0262168533272664E-3</v>
      </c>
      <c r="S92" s="12">
        <f t="shared" ca="1" si="12"/>
        <v>1.6937705168518224E-3</v>
      </c>
      <c r="T92" s="12">
        <f t="shared" ca="1" si="12"/>
        <v>3.8961680711877555E-3</v>
      </c>
      <c r="U92" s="12">
        <f t="shared" ca="1" si="12"/>
        <v>5.4804354642623565E-3</v>
      </c>
      <c r="V92" s="12">
        <f t="shared" ca="1" si="12"/>
        <v>4.7594010612186377E-3</v>
      </c>
      <c r="W92" s="12">
        <f t="shared" ca="1" si="12"/>
        <v>1.4968260558051671E-2</v>
      </c>
      <c r="X92" s="12">
        <f t="shared" ca="1" si="12"/>
        <v>4.4595759864410889E-2</v>
      </c>
      <c r="Y92" s="12">
        <f t="shared" ca="1" si="12"/>
        <v>3.8343687446150909E-2</v>
      </c>
      <c r="Z92" s="12">
        <f t="shared" ca="1" si="12"/>
        <v>-4.4919979232974638E-3</v>
      </c>
    </row>
    <row r="93" spans="1:26">
      <c r="A93" s="13">
        <v>90</v>
      </c>
      <c r="B93" s="11">
        <v>43951</v>
      </c>
      <c r="C93" s="12">
        <v>5.0833333333333333E-5</v>
      </c>
      <c r="D93" s="12">
        <v>4.1830231056572131E-4</v>
      </c>
      <c r="E93" s="12">
        <v>2.2672626635900084E-3</v>
      </c>
      <c r="F93" s="12">
        <v>2.3727111036870641E-2</v>
      </c>
      <c r="G93" s="12">
        <v>4.0531345700494104E-3</v>
      </c>
      <c r="H93" s="12">
        <v>6.7602108896387403E-3</v>
      </c>
      <c r="I93" s="12">
        <v>5.2725029544570923E-2</v>
      </c>
      <c r="J93" s="12">
        <v>0.12684410293315374</v>
      </c>
      <c r="K93" s="12">
        <v>0.10801357996038274</v>
      </c>
      <c r="L93" s="12">
        <v>6.9313585006150147E-2</v>
      </c>
      <c r="M93" s="13">
        <v>90</v>
      </c>
      <c r="N93" s="15">
        <f t="shared" ca="1" si="9"/>
        <v>61</v>
      </c>
      <c r="O93" s="13">
        <v>90</v>
      </c>
      <c r="P93" s="19">
        <f t="shared" ca="1" si="10"/>
        <v>43069</v>
      </c>
      <c r="Q93" s="12">
        <f t="shared" ca="1" si="12"/>
        <v>9.4266666666666663E-4</v>
      </c>
      <c r="R93" s="12">
        <f t="shared" ca="1" si="12"/>
        <v>-2.0146997832231062E-3</v>
      </c>
      <c r="S93" s="12">
        <f t="shared" ca="1" si="12"/>
        <v>-1.8728800366084597E-3</v>
      </c>
      <c r="T93" s="12">
        <f t="shared" ca="1" si="12"/>
        <v>-2.1559110006906801E-3</v>
      </c>
      <c r="U93" s="12">
        <f t="shared" ca="1" si="12"/>
        <v>-1.2127873382741239E-3</v>
      </c>
      <c r="V93" s="12">
        <f t="shared" ca="1" si="12"/>
        <v>-1.6044082426390771E-3</v>
      </c>
      <c r="W93" s="12">
        <f t="shared" ca="1" si="12"/>
        <v>-1.4039017808715748E-3</v>
      </c>
      <c r="X93" s="12">
        <f t="shared" ca="1" si="12"/>
        <v>2.8082601368405458E-2</v>
      </c>
      <c r="Y93" s="12">
        <f t="shared" ca="1" si="12"/>
        <v>1.99135899450118E-2</v>
      </c>
      <c r="Z93" s="12">
        <f t="shared" ca="1" si="12"/>
        <v>2.792065814103406E-3</v>
      </c>
    </row>
    <row r="94" spans="1:26">
      <c r="A94" s="13">
        <v>91</v>
      </c>
      <c r="B94" s="11">
        <v>43980</v>
      </c>
      <c r="C94" s="12">
        <v>6.5666666666666659E-5</v>
      </c>
      <c r="D94" s="12">
        <v>6.5332407328955178E-4</v>
      </c>
      <c r="E94" s="12">
        <v>1.1219188398201574E-3</v>
      </c>
      <c r="F94" s="12">
        <v>1.1510566044761195E-2</v>
      </c>
      <c r="G94" s="12">
        <v>-3.0809051435478629E-3</v>
      </c>
      <c r="H94" s="12">
        <v>1.2924211926443885E-3</v>
      </c>
      <c r="I94" s="12">
        <v>1.7481872879328675E-2</v>
      </c>
      <c r="J94" s="12">
        <v>4.528177501261843E-2</v>
      </c>
      <c r="K94" s="12">
        <v>4.6291740750663779E-2</v>
      </c>
      <c r="L94" s="12">
        <v>2.5953157426623186E-2</v>
      </c>
      <c r="M94" s="13">
        <v>91</v>
      </c>
      <c r="N94" s="15">
        <f t="shared" ca="1" si="9"/>
        <v>24</v>
      </c>
      <c r="O94" s="13">
        <v>91</v>
      </c>
      <c r="P94" s="19">
        <f t="shared" ca="1" si="10"/>
        <v>41943</v>
      </c>
      <c r="Q94" s="12">
        <f t="shared" ref="Q94:Z103" ca="1" si="13">INDEX(histrets,$N94,Q$1)</f>
        <v>1.2666666666666667E-5</v>
      </c>
      <c r="R94" s="12">
        <f t="shared" ca="1" si="13"/>
        <v>2.7450503856620845E-3</v>
      </c>
      <c r="S94" s="12">
        <f t="shared" ca="1" si="13"/>
        <v>2.1854534088954214E-3</v>
      </c>
      <c r="T94" s="12">
        <f t="shared" ca="1" si="13"/>
        <v>2.1223615145111729E-3</v>
      </c>
      <c r="U94" s="12">
        <f t="shared" ca="1" si="13"/>
        <v>1.0856203181201174E-2</v>
      </c>
      <c r="V94" s="12">
        <f t="shared" ca="1" si="13"/>
        <v>6.3361069479148657E-3</v>
      </c>
      <c r="W94" s="12">
        <f t="shared" ca="1" si="13"/>
        <v>9.3323015351907124E-3</v>
      </c>
      <c r="X94" s="12">
        <f t="shared" ca="1" si="13"/>
        <v>2.3201456175308888E-2</v>
      </c>
      <c r="Y94" s="12">
        <f t="shared" ca="1" si="13"/>
        <v>5.6994483075345492E-3</v>
      </c>
      <c r="Z94" s="12">
        <f t="shared" ca="1" si="13"/>
        <v>-2.9143732152464574E-2</v>
      </c>
    </row>
    <row r="95" spans="1:26">
      <c r="A95" s="13">
        <v>92</v>
      </c>
      <c r="B95" s="11">
        <v>44012</v>
      </c>
      <c r="C95" s="12">
        <v>1.0383333333333334E-4</v>
      </c>
      <c r="D95" s="12">
        <v>2.5720205318457978E-4</v>
      </c>
      <c r="E95" s="12">
        <v>3.4943001969378606E-4</v>
      </c>
      <c r="F95" s="12">
        <v>8.0694229120292782E-3</v>
      </c>
      <c r="G95" s="12">
        <v>1.0868782264197296E-3</v>
      </c>
      <c r="H95" s="12">
        <v>2.0532032618281182E-3</v>
      </c>
      <c r="I95" s="12">
        <v>2.0152707876929243E-2</v>
      </c>
      <c r="J95" s="12">
        <v>1.8388403283502663E-2</v>
      </c>
      <c r="K95" s="12">
        <v>2.5099167551259738E-2</v>
      </c>
      <c r="L95" s="12">
        <v>2.9296005825680371E-2</v>
      </c>
      <c r="M95" s="13">
        <v>92</v>
      </c>
      <c r="N95" s="15">
        <f t="shared" ca="1" si="9"/>
        <v>104</v>
      </c>
      <c r="O95" s="13">
        <v>92</v>
      </c>
      <c r="P95" s="19">
        <f t="shared" ca="1" si="10"/>
        <v>44377</v>
      </c>
      <c r="Q95" s="12">
        <f t="shared" ca="1" si="13"/>
        <v>2.0833333333333334E-6</v>
      </c>
      <c r="R95" s="12">
        <f t="shared" ca="1" si="13"/>
        <v>-1.5448288492249107E-3</v>
      </c>
      <c r="S95" s="12">
        <f t="shared" ca="1" si="13"/>
        <v>-1.1198469033213421E-3</v>
      </c>
      <c r="T95" s="12">
        <f t="shared" ca="1" si="13"/>
        <v>-7.9920048341874939E-4</v>
      </c>
      <c r="U95" s="12">
        <f t="shared" ca="1" si="13"/>
        <v>8.6882529944476428E-3</v>
      </c>
      <c r="V95" s="12">
        <f t="shared" ca="1" si="13"/>
        <v>2.6803411128408783E-3</v>
      </c>
      <c r="W95" s="12">
        <f t="shared" ca="1" si="13"/>
        <v>1.6647095909956722E-2</v>
      </c>
      <c r="X95" s="12">
        <f t="shared" ca="1" si="13"/>
        <v>2.221397632316946E-2</v>
      </c>
      <c r="Y95" s="12">
        <f t="shared" ca="1" si="13"/>
        <v>1.3956380011425962E-2</v>
      </c>
      <c r="Z95" s="12">
        <f t="shared" ca="1" si="13"/>
        <v>-7.171962430579959E-2</v>
      </c>
    </row>
    <row r="96" spans="1:26">
      <c r="A96" s="13">
        <v>93</v>
      </c>
      <c r="B96" s="11">
        <v>44043</v>
      </c>
      <c r="C96" s="12">
        <v>1.0775E-4</v>
      </c>
      <c r="D96" s="12">
        <v>1.0103463581248029E-3</v>
      </c>
      <c r="E96" s="12">
        <v>1.4125780096754248E-3</v>
      </c>
      <c r="F96" s="12">
        <v>4.9928822698981357E-3</v>
      </c>
      <c r="G96" s="12">
        <v>1.2115901614529578E-2</v>
      </c>
      <c r="H96" s="12">
        <v>4.0932956725081571E-3</v>
      </c>
      <c r="I96" s="12">
        <v>3.1507368893236354E-2</v>
      </c>
      <c r="J96" s="12">
        <v>5.5101296975444303E-2</v>
      </c>
      <c r="K96" s="12">
        <v>4.6866413236503091E-2</v>
      </c>
      <c r="L96" s="12">
        <v>0.10943536070433924</v>
      </c>
      <c r="M96" s="13">
        <v>93</v>
      </c>
      <c r="N96" s="15">
        <f t="shared" ca="1" si="9"/>
        <v>96</v>
      </c>
      <c r="O96" s="13">
        <v>93</v>
      </c>
      <c r="P96" s="19">
        <f t="shared" ca="1" si="10"/>
        <v>44134</v>
      </c>
      <c r="Q96" s="12">
        <f t="shared" ca="1" si="13"/>
        <v>7.6249999999999997E-5</v>
      </c>
      <c r="R96" s="12">
        <f t="shared" ca="1" si="13"/>
        <v>-4.2126561468813772E-4</v>
      </c>
      <c r="S96" s="12">
        <f t="shared" ca="1" si="13"/>
        <v>-6.7095641189895971E-5</v>
      </c>
      <c r="T96" s="12">
        <f t="shared" ca="1" si="13"/>
        <v>1.8149952186470308E-3</v>
      </c>
      <c r="U96" s="12">
        <f t="shared" ca="1" si="13"/>
        <v>-1.0096313199052798E-2</v>
      </c>
      <c r="V96" s="12">
        <f t="shared" ca="1" si="13"/>
        <v>-3.5705368143630345E-3</v>
      </c>
      <c r="W96" s="12">
        <f t="shared" ca="1" si="13"/>
        <v>-1.7153852038643835E-3</v>
      </c>
      <c r="X96" s="12">
        <f t="shared" ca="1" si="13"/>
        <v>-2.7665774606006499E-2</v>
      </c>
      <c r="Y96" s="12">
        <f t="shared" ca="1" si="13"/>
        <v>-3.1403261985324948E-2</v>
      </c>
      <c r="Z96" s="12">
        <f t="shared" ca="1" si="13"/>
        <v>-3.7172158530506261E-3</v>
      </c>
    </row>
    <row r="97" spans="1:26">
      <c r="A97" s="13">
        <v>94</v>
      </c>
      <c r="B97" s="11">
        <v>44074</v>
      </c>
      <c r="C97" s="12">
        <v>6.9750000000000001E-5</v>
      </c>
      <c r="D97" s="12">
        <v>-2.4264938349671805E-4</v>
      </c>
      <c r="E97" s="12">
        <v>2.9189559186559855E-4</v>
      </c>
      <c r="F97" s="12">
        <v>2.5177005785046447E-3</v>
      </c>
      <c r="G97" s="12">
        <v>-1.2016152135081337E-2</v>
      </c>
      <c r="H97" s="12">
        <v>-1.7319156027352234E-3</v>
      </c>
      <c r="I97" s="12">
        <v>-1.1540921161941387E-2</v>
      </c>
      <c r="J97" s="12">
        <v>7.0064687324219221E-2</v>
      </c>
      <c r="K97" s="12">
        <v>6.5306423483067144E-2</v>
      </c>
      <c r="L97" s="12">
        <v>-4.0792363831445577E-3</v>
      </c>
      <c r="M97" s="13">
        <v>94</v>
      </c>
      <c r="N97" s="15">
        <f t="shared" ca="1" si="9"/>
        <v>3</v>
      </c>
      <c r="O97" s="13">
        <v>94</v>
      </c>
      <c r="P97" s="19">
        <f t="shared" ca="1" si="10"/>
        <v>41305</v>
      </c>
      <c r="Q97" s="12">
        <f t="shared" ca="1" si="13"/>
        <v>3.3833333333333334E-5</v>
      </c>
      <c r="R97" s="12">
        <f t="shared" ca="1" si="13"/>
        <v>1.1015399528546688E-4</v>
      </c>
      <c r="S97" s="12">
        <f t="shared" ca="1" si="13"/>
        <v>2.6974540434498984E-4</v>
      </c>
      <c r="T97" s="12">
        <f t="shared" ca="1" si="13"/>
        <v>2.0272989942340391E-3</v>
      </c>
      <c r="U97" s="12">
        <f t="shared" ca="1" si="13"/>
        <v>-9.5016863564771903E-3</v>
      </c>
      <c r="V97" s="12">
        <f t="shared" ca="1" si="13"/>
        <v>-4.3280887137527868E-3</v>
      </c>
      <c r="W97" s="12">
        <f t="shared" ca="1" si="13"/>
        <v>-7.1759738369659987E-3</v>
      </c>
      <c r="X97" s="12">
        <f t="shared" ca="1" si="13"/>
        <v>5.0428063581991145E-2</v>
      </c>
      <c r="Y97" s="12">
        <f t="shared" ca="1" si="13"/>
        <v>5.0033619723571121E-2</v>
      </c>
      <c r="Z97" s="12">
        <f t="shared" ca="1" si="13"/>
        <v>-6.9537708538514043E-3</v>
      </c>
    </row>
    <row r="98" spans="1:26">
      <c r="A98" s="13">
        <v>95</v>
      </c>
      <c r="B98" s="11">
        <v>44104</v>
      </c>
      <c r="C98" s="12">
        <v>7.8166666666666665E-5</v>
      </c>
      <c r="D98" s="12">
        <v>2.7037860119394352E-4</v>
      </c>
      <c r="E98" s="12">
        <v>3.0931903851394438E-4</v>
      </c>
      <c r="F98" s="12">
        <v>-1.1885340045969528E-4</v>
      </c>
      <c r="G98" s="12">
        <v>1.8500889599100123E-3</v>
      </c>
      <c r="H98" s="12">
        <v>1.6540901537707153E-3</v>
      </c>
      <c r="I98" s="12">
        <v>-2.6417169576633537E-3</v>
      </c>
      <c r="J98" s="12">
        <v>-3.9227954095494399E-2</v>
      </c>
      <c r="K98" s="12">
        <v>-3.5935508305810271E-2</v>
      </c>
      <c r="L98" s="12">
        <v>-4.1660737879865906E-2</v>
      </c>
      <c r="M98" s="13">
        <v>95</v>
      </c>
      <c r="N98" s="15">
        <f t="shared" ca="1" si="9"/>
        <v>123</v>
      </c>
      <c r="O98" s="13">
        <v>95</v>
      </c>
      <c r="P98" s="19">
        <f t="shared" ca="1" si="10"/>
        <v>44957</v>
      </c>
      <c r="Q98" s="12">
        <f t="shared" ca="1" si="13"/>
        <v>3.6190833333333335E-3</v>
      </c>
      <c r="R98" s="12">
        <f t="shared" ca="1" si="13"/>
        <v>6.8529912993722242E-3</v>
      </c>
      <c r="S98" s="12">
        <f t="shared" ca="1" si="13"/>
        <v>7.4985009837649219E-3</v>
      </c>
      <c r="T98" s="12">
        <f t="shared" ca="1" si="13"/>
        <v>1.0432522821833157E-2</v>
      </c>
      <c r="U98" s="12">
        <f t="shared" ca="1" si="13"/>
        <v>2.5942010417448813E-2</v>
      </c>
      <c r="V98" s="12">
        <f t="shared" ca="1" si="13"/>
        <v>1.4634042651866963E-2</v>
      </c>
      <c r="W98" s="12">
        <f t="shared" ca="1" si="13"/>
        <v>3.889132644369897E-2</v>
      </c>
      <c r="X98" s="12">
        <f t="shared" ca="1" si="13"/>
        <v>6.1752832400052027E-2</v>
      </c>
      <c r="Y98" s="12">
        <f t="shared" ca="1" si="13"/>
        <v>7.004675931440163E-2</v>
      </c>
      <c r="Z98" s="12">
        <f t="shared" ca="1" si="13"/>
        <v>5.720332013903362E-2</v>
      </c>
    </row>
    <row r="99" spans="1:26">
      <c r="A99" s="13">
        <v>96</v>
      </c>
      <c r="B99" s="11">
        <v>44134</v>
      </c>
      <c r="C99" s="12">
        <v>7.6249999999999997E-5</v>
      </c>
      <c r="D99" s="12">
        <v>-4.2126561468813772E-4</v>
      </c>
      <c r="E99" s="12">
        <v>-6.7095641189895971E-5</v>
      </c>
      <c r="F99" s="12">
        <v>1.8149952186470308E-3</v>
      </c>
      <c r="G99" s="12">
        <v>-1.0096313199052798E-2</v>
      </c>
      <c r="H99" s="12">
        <v>-3.5705368143630345E-3</v>
      </c>
      <c r="I99" s="12">
        <v>-1.7153852038643835E-3</v>
      </c>
      <c r="J99" s="12">
        <v>-2.7665774606006499E-2</v>
      </c>
      <c r="K99" s="12">
        <v>-3.1403261985324948E-2</v>
      </c>
      <c r="L99" s="12">
        <v>-3.7172158530506261E-3</v>
      </c>
      <c r="M99" s="13">
        <v>96</v>
      </c>
      <c r="N99" s="15">
        <f t="shared" ca="1" si="9"/>
        <v>90</v>
      </c>
      <c r="O99" s="13">
        <v>96</v>
      </c>
      <c r="P99" s="19">
        <f t="shared" ca="1" si="10"/>
        <v>43951</v>
      </c>
      <c r="Q99" s="12">
        <f t="shared" ca="1" si="13"/>
        <v>5.0833333333333333E-5</v>
      </c>
      <c r="R99" s="12">
        <f t="shared" ca="1" si="13"/>
        <v>4.1830231056572131E-4</v>
      </c>
      <c r="S99" s="12">
        <f t="shared" ca="1" si="13"/>
        <v>2.2672626635900084E-3</v>
      </c>
      <c r="T99" s="12">
        <f t="shared" ca="1" si="13"/>
        <v>2.3727111036870641E-2</v>
      </c>
      <c r="U99" s="12">
        <f t="shared" ca="1" si="13"/>
        <v>4.0531345700494104E-3</v>
      </c>
      <c r="V99" s="12">
        <f t="shared" ca="1" si="13"/>
        <v>6.7602108896387403E-3</v>
      </c>
      <c r="W99" s="12">
        <f t="shared" ca="1" si="13"/>
        <v>5.2725029544570923E-2</v>
      </c>
      <c r="X99" s="12">
        <f t="shared" ca="1" si="13"/>
        <v>0.12684410293315374</v>
      </c>
      <c r="Y99" s="12">
        <f t="shared" ca="1" si="13"/>
        <v>0.10801357996038274</v>
      </c>
      <c r="Z99" s="12">
        <f t="shared" ca="1" si="13"/>
        <v>6.9313585006150147E-2</v>
      </c>
    </row>
    <row r="100" spans="1:26">
      <c r="A100" s="13">
        <v>97</v>
      </c>
      <c r="B100" s="11">
        <v>44165</v>
      </c>
      <c r="C100" s="12">
        <v>7.2000000000000002E-5</v>
      </c>
      <c r="D100" s="12">
        <v>4.6018745918008364E-4</v>
      </c>
      <c r="E100" s="12">
        <v>5.1200326748523928E-4</v>
      </c>
      <c r="F100" s="12">
        <v>3.404200074170971E-3</v>
      </c>
      <c r="G100" s="12">
        <v>3.8089454052951943E-3</v>
      </c>
      <c r="H100" s="12">
        <v>2.67018622641646E-3</v>
      </c>
      <c r="I100" s="12">
        <v>2.6657871609712336E-2</v>
      </c>
      <c r="J100" s="12">
        <v>0.10754565805086314</v>
      </c>
      <c r="K100" s="12">
        <v>0.1265673177986244</v>
      </c>
      <c r="L100" s="12">
        <v>-5.4215168111730216E-2</v>
      </c>
      <c r="M100" s="13">
        <v>97</v>
      </c>
      <c r="N100" s="15">
        <f t="shared" ca="1" si="9"/>
        <v>109</v>
      </c>
      <c r="O100" s="13">
        <v>97</v>
      </c>
      <c r="P100" s="19">
        <f t="shared" ca="1" si="10"/>
        <v>44530</v>
      </c>
      <c r="Q100" s="12">
        <f t="shared" ca="1" si="13"/>
        <v>4.0166666666666669E-5</v>
      </c>
      <c r="R100" s="12">
        <f t="shared" ca="1" si="13"/>
        <v>1.9179953936432348E-4</v>
      </c>
      <c r="S100" s="12">
        <f t="shared" ca="1" si="13"/>
        <v>-4.641756393909402E-4</v>
      </c>
      <c r="T100" s="12">
        <f t="shared" ca="1" si="13"/>
        <v>-1.5428627549128882E-3</v>
      </c>
      <c r="U100" s="12">
        <f t="shared" ca="1" si="13"/>
        <v>8.9050093712257361E-3</v>
      </c>
      <c r="V100" s="12">
        <f t="shared" ca="1" si="13"/>
        <v>1.7489296007073829E-3</v>
      </c>
      <c r="W100" s="12">
        <f t="shared" ca="1" si="13"/>
        <v>9.181251245917732E-4</v>
      </c>
      <c r="X100" s="12">
        <f t="shared" ca="1" si="13"/>
        <v>-8.3337314184714906E-3</v>
      </c>
      <c r="Y100" s="12">
        <f t="shared" ca="1" si="13"/>
        <v>-2.2972032267310816E-2</v>
      </c>
      <c r="Z100" s="12">
        <f t="shared" ca="1" si="13"/>
        <v>-4.9680942928597149E-3</v>
      </c>
    </row>
    <row r="101" spans="1:26">
      <c r="A101" s="13">
        <v>98</v>
      </c>
      <c r="B101" s="11">
        <v>44196</v>
      </c>
      <c r="C101" s="12">
        <v>5.933333333333333E-5</v>
      </c>
      <c r="D101" s="12">
        <v>4.6392746608669988E-4</v>
      </c>
      <c r="E101" s="12">
        <v>8.7550035100192325E-4</v>
      </c>
      <c r="F101" s="12">
        <v>2.1523553682416541E-3</v>
      </c>
      <c r="G101" s="12">
        <v>-2.8269958831873554E-3</v>
      </c>
      <c r="H101" s="12">
        <v>1.2765202794648989E-3</v>
      </c>
      <c r="I101" s="12">
        <v>4.9127003486577614E-3</v>
      </c>
      <c r="J101" s="12">
        <v>3.712140665943231E-2</v>
      </c>
      <c r="K101" s="12">
        <v>4.1383742267163237E-2</v>
      </c>
      <c r="L101" s="12">
        <v>6.8324938799628532E-2</v>
      </c>
      <c r="M101" s="13">
        <v>98</v>
      </c>
      <c r="N101" s="15">
        <f t="shared" ca="1" si="9"/>
        <v>19</v>
      </c>
      <c r="O101" s="13">
        <v>98</v>
      </c>
      <c r="P101" s="19">
        <f t="shared" ca="1" si="10"/>
        <v>41789</v>
      </c>
      <c r="Q101" s="12">
        <f t="shared" ca="1" si="13"/>
        <v>2.1083333333333332E-5</v>
      </c>
      <c r="R101" s="12">
        <f t="shared" ca="1" si="13"/>
        <v>1.8372645950004429E-3</v>
      </c>
      <c r="S101" s="12">
        <f t="shared" ca="1" si="13"/>
        <v>1.5690397719230198E-3</v>
      </c>
      <c r="T101" s="12">
        <f t="shared" ca="1" si="13"/>
        <v>3.6311918820273181E-3</v>
      </c>
      <c r="U101" s="12">
        <f t="shared" ca="1" si="13"/>
        <v>1.0908523280633409E-2</v>
      </c>
      <c r="V101" s="12">
        <f t="shared" ca="1" si="13"/>
        <v>7.2947422212128465E-3</v>
      </c>
      <c r="W101" s="12">
        <f t="shared" ca="1" si="13"/>
        <v>1.529301775138503E-2</v>
      </c>
      <c r="X101" s="12">
        <f t="shared" ca="1" si="13"/>
        <v>2.1030282120013677E-2</v>
      </c>
      <c r="Y101" s="12">
        <f t="shared" ca="1" si="13"/>
        <v>1.6258428430919514E-2</v>
      </c>
      <c r="Z101" s="12">
        <f t="shared" ca="1" si="13"/>
        <v>-3.246335968287628E-2</v>
      </c>
    </row>
    <row r="102" spans="1:26">
      <c r="A102" s="13">
        <v>99</v>
      </c>
      <c r="B102" s="11">
        <v>44225</v>
      </c>
      <c r="C102" s="12">
        <v>4.8583333333333333E-5</v>
      </c>
      <c r="D102" s="12">
        <v>1.5009428290868598E-4</v>
      </c>
      <c r="E102" s="12">
        <v>4.1806629045537669E-4</v>
      </c>
      <c r="F102" s="12">
        <v>5.7198793586965557E-4</v>
      </c>
      <c r="G102" s="12">
        <v>-1.1228896488291951E-2</v>
      </c>
      <c r="H102" s="12">
        <v>-2.711704697170525E-3</v>
      </c>
      <c r="I102" s="12">
        <v>-1.2198864959817701E-2</v>
      </c>
      <c r="J102" s="12">
        <v>-1.1136640158463607E-2</v>
      </c>
      <c r="K102" s="12">
        <v>-1.0538876745327164E-2</v>
      </c>
      <c r="L102" s="12">
        <v>-2.6712530816072722E-2</v>
      </c>
      <c r="M102" s="13">
        <v>99</v>
      </c>
      <c r="N102" s="15">
        <f t="shared" ca="1" si="9"/>
        <v>73</v>
      </c>
      <c r="O102" s="13">
        <v>99</v>
      </c>
      <c r="P102" s="19">
        <f t="shared" ca="1" si="10"/>
        <v>43434</v>
      </c>
      <c r="Q102" s="12">
        <f t="shared" ca="1" si="13"/>
        <v>1.9375833333333333E-3</v>
      </c>
      <c r="R102" s="12">
        <f t="shared" ca="1" si="13"/>
        <v>3.4649538091462428E-3</v>
      </c>
      <c r="S102" s="12">
        <f t="shared" ca="1" si="13"/>
        <v>3.5915043317140682E-3</v>
      </c>
      <c r="T102" s="12">
        <f t="shared" ca="1" si="13"/>
        <v>8.6614463737011427E-4</v>
      </c>
      <c r="U102" s="12">
        <f t="shared" ca="1" si="13"/>
        <v>9.0031053371659731E-3</v>
      </c>
      <c r="V102" s="12">
        <f t="shared" ca="1" si="13"/>
        <v>6.3138220733944816E-3</v>
      </c>
      <c r="W102" s="12">
        <f t="shared" ca="1" si="13"/>
        <v>-1.9074072227153183E-3</v>
      </c>
      <c r="X102" s="12">
        <f t="shared" ca="1" si="13"/>
        <v>1.785938179914015E-2</v>
      </c>
      <c r="Y102" s="12">
        <f t="shared" ca="1" si="13"/>
        <v>9.5846645367412275E-3</v>
      </c>
      <c r="Z102" s="12">
        <f t="shared" ca="1" si="13"/>
        <v>4.7416773683690572E-3</v>
      </c>
    </row>
    <row r="103" spans="1:26">
      <c r="A103" s="13">
        <v>100</v>
      </c>
      <c r="B103" s="11">
        <v>44253</v>
      </c>
      <c r="C103" s="12">
        <v>4.0166666666666669E-5</v>
      </c>
      <c r="D103" s="12">
        <v>-8.032788309566552E-4</v>
      </c>
      <c r="E103" s="12">
        <v>-6.6979138910350233E-4</v>
      </c>
      <c r="F103" s="12">
        <v>3.9661953240144321E-4</v>
      </c>
      <c r="G103" s="12">
        <v>-2.2862166673725981E-2</v>
      </c>
      <c r="H103" s="12">
        <v>-9.3254001979963252E-3</v>
      </c>
      <c r="I103" s="12">
        <v>-1.9555030410549623E-2</v>
      </c>
      <c r="J103" s="12">
        <v>2.6091474971999817E-2</v>
      </c>
      <c r="K103" s="12">
        <v>2.4503229151403794E-2</v>
      </c>
      <c r="L103" s="12">
        <v>-6.1488918355749211E-2</v>
      </c>
      <c r="M103" s="13">
        <v>100</v>
      </c>
      <c r="N103" s="15">
        <f t="shared" ca="1" si="9"/>
        <v>38</v>
      </c>
      <c r="O103" s="13">
        <v>100</v>
      </c>
      <c r="P103" s="19">
        <f t="shared" ca="1" si="10"/>
        <v>42369</v>
      </c>
      <c r="Q103" s="12">
        <f t="shared" ca="1" si="13"/>
        <v>1.3983333333333334E-4</v>
      </c>
      <c r="R103" s="12">
        <f t="shared" ca="1" si="13"/>
        <v>-9.365642487412229E-4</v>
      </c>
      <c r="S103" s="12">
        <f t="shared" ca="1" si="13"/>
        <v>-1.2589213561818857E-3</v>
      </c>
      <c r="T103" s="12">
        <f t="shared" ca="1" si="13"/>
        <v>-2.4958607185572301E-3</v>
      </c>
      <c r="U103" s="12">
        <f t="shared" ca="1" si="13"/>
        <v>-1.5686691398054675E-3</v>
      </c>
      <c r="V103" s="12">
        <f t="shared" ca="1" si="13"/>
        <v>-2.4794726558212687E-3</v>
      </c>
      <c r="W103" s="12">
        <f t="shared" ca="1" si="13"/>
        <v>-8.6713379184790718E-3</v>
      </c>
      <c r="X103" s="12">
        <f t="shared" ca="1" si="13"/>
        <v>-1.7530198374358763E-2</v>
      </c>
      <c r="Y103" s="12">
        <f t="shared" ca="1" si="13"/>
        <v>-1.8655571293673345E-2</v>
      </c>
      <c r="Z103" s="12">
        <f t="shared" ca="1" si="13"/>
        <v>-3.4467537590278097E-3</v>
      </c>
    </row>
    <row r="104" spans="1:26">
      <c r="A104" s="13">
        <v>101</v>
      </c>
      <c r="B104" s="11">
        <v>44286</v>
      </c>
      <c r="C104" s="12">
        <v>2.7500000000000001E-5</v>
      </c>
      <c r="D104" s="12">
        <v>1.8655477596030146E-4</v>
      </c>
      <c r="E104" s="12">
        <v>2.6226794750616733E-5</v>
      </c>
      <c r="F104" s="12">
        <v>-8.1406923077331772E-4</v>
      </c>
      <c r="G104" s="12">
        <v>-1.2653570914514911E-2</v>
      </c>
      <c r="H104" s="12">
        <v>-5.7461233487734464E-3</v>
      </c>
      <c r="I104" s="12">
        <v>-1.3870140935728026E-2</v>
      </c>
      <c r="J104" s="12">
        <v>4.2438634008107767E-2</v>
      </c>
      <c r="K104" s="12">
        <v>3.109380214235169E-2</v>
      </c>
      <c r="L104" s="12">
        <v>-1.5184194136236728E-2</v>
      </c>
      <c r="M104" s="13">
        <v>101</v>
      </c>
      <c r="N104" s="15">
        <f t="shared" ca="1" si="9"/>
        <v>73</v>
      </c>
      <c r="O104" s="13">
        <v>101</v>
      </c>
      <c r="P104" s="19">
        <f t="shared" ca="1" si="10"/>
        <v>43434</v>
      </c>
      <c r="Q104" s="12">
        <f t="shared" ref="Q104:Z113" ca="1" si="14">INDEX(histrets,$N104,Q$1)</f>
        <v>1.9375833333333333E-3</v>
      </c>
      <c r="R104" s="12">
        <f t="shared" ca="1" si="14"/>
        <v>3.4649538091462428E-3</v>
      </c>
      <c r="S104" s="12">
        <f t="shared" ca="1" si="14"/>
        <v>3.5915043317140682E-3</v>
      </c>
      <c r="T104" s="12">
        <f t="shared" ca="1" si="14"/>
        <v>8.6614463737011427E-4</v>
      </c>
      <c r="U104" s="12">
        <f t="shared" ca="1" si="14"/>
        <v>9.0031053371659731E-3</v>
      </c>
      <c r="V104" s="12">
        <f t="shared" ca="1" si="14"/>
        <v>6.3138220733944816E-3</v>
      </c>
      <c r="W104" s="12">
        <f t="shared" ca="1" si="14"/>
        <v>-1.9074072227153183E-3</v>
      </c>
      <c r="X104" s="12">
        <f t="shared" ca="1" si="14"/>
        <v>1.785938179914015E-2</v>
      </c>
      <c r="Y104" s="12">
        <f t="shared" ca="1" si="14"/>
        <v>9.5846645367412275E-3</v>
      </c>
      <c r="Z104" s="12">
        <f t="shared" ca="1" si="14"/>
        <v>4.7416773683690572E-3</v>
      </c>
    </row>
    <row r="105" spans="1:26">
      <c r="A105" s="13">
        <v>102</v>
      </c>
      <c r="B105" s="11">
        <v>44316</v>
      </c>
      <c r="C105" s="12">
        <v>1.2666666666666667E-5</v>
      </c>
      <c r="D105" s="12">
        <v>4.5049317147194401E-4</v>
      </c>
      <c r="E105" s="12">
        <v>4.0650465731939533E-4</v>
      </c>
      <c r="F105" s="12">
        <v>2.0728063989299272E-3</v>
      </c>
      <c r="G105" s="12">
        <v>8.4046100400529955E-3</v>
      </c>
      <c r="H105" s="12">
        <v>4.3196222963681752E-3</v>
      </c>
      <c r="I105" s="12">
        <v>1.1898975953755331E-2</v>
      </c>
      <c r="J105" s="12">
        <v>5.242531255584737E-2</v>
      </c>
      <c r="K105" s="12">
        <v>4.5189742860191506E-2</v>
      </c>
      <c r="L105" s="12">
        <v>3.5966294042899527E-2</v>
      </c>
      <c r="M105" s="13">
        <v>102</v>
      </c>
      <c r="N105" s="15">
        <f t="shared" ca="1" si="9"/>
        <v>96</v>
      </c>
      <c r="O105" s="13">
        <v>102</v>
      </c>
      <c r="P105" s="19">
        <f t="shared" ca="1" si="10"/>
        <v>44134</v>
      </c>
      <c r="Q105" s="12">
        <f t="shared" ca="1" si="14"/>
        <v>7.6249999999999997E-5</v>
      </c>
      <c r="R105" s="12">
        <f t="shared" ca="1" si="14"/>
        <v>-4.2126561468813772E-4</v>
      </c>
      <c r="S105" s="12">
        <f t="shared" ca="1" si="14"/>
        <v>-6.7095641189895971E-5</v>
      </c>
      <c r="T105" s="12">
        <f t="shared" ca="1" si="14"/>
        <v>1.8149952186470308E-3</v>
      </c>
      <c r="U105" s="12">
        <f t="shared" ca="1" si="14"/>
        <v>-1.0096313199052798E-2</v>
      </c>
      <c r="V105" s="12">
        <f t="shared" ca="1" si="14"/>
        <v>-3.5705368143630345E-3</v>
      </c>
      <c r="W105" s="12">
        <f t="shared" ca="1" si="14"/>
        <v>-1.7153852038643835E-3</v>
      </c>
      <c r="X105" s="12">
        <f t="shared" ca="1" si="14"/>
        <v>-2.7665774606006499E-2</v>
      </c>
      <c r="Y105" s="12">
        <f t="shared" ca="1" si="14"/>
        <v>-3.1403261985324948E-2</v>
      </c>
      <c r="Z105" s="12">
        <f t="shared" ca="1" si="14"/>
        <v>-3.7172158530506261E-3</v>
      </c>
    </row>
    <row r="106" spans="1:26">
      <c r="A106" s="13">
        <v>103</v>
      </c>
      <c r="B106" s="11">
        <v>44347</v>
      </c>
      <c r="C106" s="12">
        <v>2.0833333333333334E-6</v>
      </c>
      <c r="D106" s="12">
        <v>7.5601374570455349E-4</v>
      </c>
      <c r="E106" s="12">
        <v>7.7117116067437763E-4</v>
      </c>
      <c r="F106" s="12">
        <v>2.1318730865014235E-3</v>
      </c>
      <c r="G106" s="12">
        <v>2.9767087748440169E-3</v>
      </c>
      <c r="H106" s="12">
        <v>2.9418212628797846E-3</v>
      </c>
      <c r="I106" s="12">
        <v>7.0206864587414319E-3</v>
      </c>
      <c r="J106" s="12">
        <v>5.4865025818131574E-3</v>
      </c>
      <c r="K106" s="12">
        <v>1.2569927452394714E-2</v>
      </c>
      <c r="L106" s="12">
        <v>7.7857477969397237E-2</v>
      </c>
      <c r="M106" s="13">
        <v>103</v>
      </c>
      <c r="N106" s="15">
        <f t="shared" ca="1" si="9"/>
        <v>119</v>
      </c>
      <c r="O106" s="13">
        <v>103</v>
      </c>
      <c r="P106" s="19">
        <f t="shared" ca="1" si="10"/>
        <v>44834</v>
      </c>
      <c r="Q106" s="12">
        <f t="shared" ca="1" si="14"/>
        <v>2.4169166666666666E-3</v>
      </c>
      <c r="R106" s="12">
        <f t="shared" ca="1" si="14"/>
        <v>-1.178178702337318E-2</v>
      </c>
      <c r="S106" s="12">
        <f t="shared" ca="1" si="14"/>
        <v>-1.1024613866002952E-2</v>
      </c>
      <c r="T106" s="12">
        <f t="shared" ca="1" si="14"/>
        <v>-1.4531577207097968E-2</v>
      </c>
      <c r="U106" s="12">
        <f t="shared" ca="1" si="14"/>
        <v>-3.7510852028801778E-2</v>
      </c>
      <c r="V106" s="12">
        <f t="shared" ca="1" si="14"/>
        <v>-2.3715309664140927E-2</v>
      </c>
      <c r="W106" s="12">
        <f t="shared" ca="1" si="14"/>
        <v>-5.3080632783768955E-2</v>
      </c>
      <c r="X106" s="12">
        <f t="shared" ca="1" si="14"/>
        <v>-9.3395701643489315E-2</v>
      </c>
      <c r="Y106" s="12">
        <f t="shared" ca="1" si="14"/>
        <v>-9.4647777963856705E-2</v>
      </c>
      <c r="Z106" s="12">
        <f t="shared" ca="1" si="14"/>
        <v>-2.9473302786609312E-2</v>
      </c>
    </row>
    <row r="107" spans="1:26">
      <c r="A107" s="13">
        <v>104</v>
      </c>
      <c r="B107" s="11">
        <v>44377</v>
      </c>
      <c r="C107" s="12">
        <v>2.0833333333333334E-6</v>
      </c>
      <c r="D107" s="12">
        <v>-1.5448288492249107E-3</v>
      </c>
      <c r="E107" s="12">
        <v>-1.1198469033213421E-3</v>
      </c>
      <c r="F107" s="12">
        <v>-7.9920048341874939E-4</v>
      </c>
      <c r="G107" s="12">
        <v>8.6882529944476428E-3</v>
      </c>
      <c r="H107" s="12">
        <v>2.6803411128408783E-3</v>
      </c>
      <c r="I107" s="12">
        <v>1.6647095909956722E-2</v>
      </c>
      <c r="J107" s="12">
        <v>2.221397632316946E-2</v>
      </c>
      <c r="K107" s="12">
        <v>1.3956380011425962E-2</v>
      </c>
      <c r="L107" s="12">
        <v>-7.171962430579959E-2</v>
      </c>
      <c r="M107" s="13">
        <v>104</v>
      </c>
      <c r="N107" s="15">
        <f t="shared" ca="1" si="9"/>
        <v>44</v>
      </c>
      <c r="O107" s="13">
        <v>104</v>
      </c>
      <c r="P107" s="19">
        <f t="shared" ca="1" si="10"/>
        <v>42551</v>
      </c>
      <c r="Q107" s="12">
        <f t="shared" ca="1" si="14"/>
        <v>2.3741666666666665E-4</v>
      </c>
      <c r="R107" s="12">
        <f t="shared" ca="1" si="14"/>
        <v>5.9906889937983987E-3</v>
      </c>
      <c r="S107" s="12">
        <f t="shared" ca="1" si="14"/>
        <v>4.4449665516266279E-3</v>
      </c>
      <c r="T107" s="12">
        <f t="shared" ca="1" si="14"/>
        <v>6.0790218284707542E-3</v>
      </c>
      <c r="U107" s="12">
        <f t="shared" ca="1" si="14"/>
        <v>2.3245915429732422E-2</v>
      </c>
      <c r="V107" s="12">
        <f t="shared" ca="1" si="14"/>
        <v>1.2764522849498583E-2</v>
      </c>
      <c r="W107" s="12">
        <f t="shared" ca="1" si="14"/>
        <v>2.179508100404437E-2</v>
      </c>
      <c r="X107" s="12">
        <f t="shared" ca="1" si="14"/>
        <v>9.0607355409733081E-4</v>
      </c>
      <c r="Y107" s="12">
        <f t="shared" ca="1" si="14"/>
        <v>-1.2767151754736861E-2</v>
      </c>
      <c r="Z107" s="12">
        <f t="shared" ca="1" si="14"/>
        <v>8.768811763060258E-2</v>
      </c>
    </row>
    <row r="108" spans="1:26">
      <c r="A108" s="13">
        <v>105</v>
      </c>
      <c r="B108" s="11">
        <v>44407</v>
      </c>
      <c r="C108" s="12">
        <v>3.3833333333333334E-5</v>
      </c>
      <c r="D108" s="12">
        <v>1.6626477447918564E-3</v>
      </c>
      <c r="E108" s="12">
        <v>1.647780086191597E-3</v>
      </c>
      <c r="F108" s="12">
        <v>1.6872030917995939E-3</v>
      </c>
      <c r="G108" s="12">
        <v>1.3395155145788706E-2</v>
      </c>
      <c r="H108" s="12">
        <v>7.0237893228504156E-3</v>
      </c>
      <c r="I108" s="12">
        <v>1.2096097926917571E-2</v>
      </c>
      <c r="J108" s="12">
        <v>2.274810936591054E-2</v>
      </c>
      <c r="K108" s="12">
        <v>1.7240979308836168E-2</v>
      </c>
      <c r="L108" s="12">
        <v>2.4902407195033227E-2</v>
      </c>
      <c r="M108" s="13">
        <v>105</v>
      </c>
      <c r="N108" s="15">
        <f t="shared" ca="1" si="9"/>
        <v>24</v>
      </c>
      <c r="O108" s="13">
        <v>105</v>
      </c>
      <c r="P108" s="19">
        <f t="shared" ca="1" si="10"/>
        <v>41943</v>
      </c>
      <c r="Q108" s="12">
        <f t="shared" ca="1" si="14"/>
        <v>1.2666666666666667E-5</v>
      </c>
      <c r="R108" s="12">
        <f t="shared" ca="1" si="14"/>
        <v>2.7450503856620845E-3</v>
      </c>
      <c r="S108" s="12">
        <f t="shared" ca="1" si="14"/>
        <v>2.1854534088954214E-3</v>
      </c>
      <c r="T108" s="12">
        <f t="shared" ca="1" si="14"/>
        <v>2.1223615145111729E-3</v>
      </c>
      <c r="U108" s="12">
        <f t="shared" ca="1" si="14"/>
        <v>1.0856203181201174E-2</v>
      </c>
      <c r="V108" s="12">
        <f t="shared" ca="1" si="14"/>
        <v>6.3361069479148657E-3</v>
      </c>
      <c r="W108" s="12">
        <f t="shared" ca="1" si="14"/>
        <v>9.3323015351907124E-3</v>
      </c>
      <c r="X108" s="12">
        <f t="shared" ca="1" si="14"/>
        <v>2.3201456175308888E-2</v>
      </c>
      <c r="Y108" s="12">
        <f t="shared" ca="1" si="14"/>
        <v>5.6994483075345492E-3</v>
      </c>
      <c r="Z108" s="12">
        <f t="shared" ca="1" si="14"/>
        <v>-2.9143732152464574E-2</v>
      </c>
    </row>
    <row r="109" spans="1:26">
      <c r="A109" s="13">
        <v>106</v>
      </c>
      <c r="B109" s="11">
        <v>44439</v>
      </c>
      <c r="C109" s="12">
        <v>3.3833333333333334E-5</v>
      </c>
      <c r="D109" s="12">
        <v>-7.8140230932000065E-5</v>
      </c>
      <c r="E109" s="12">
        <v>-2.4726949029107992E-5</v>
      </c>
      <c r="F109" s="12">
        <v>4.2424848539091009E-4</v>
      </c>
      <c r="G109" s="12">
        <v>-1.5608667247386521E-3</v>
      </c>
      <c r="H109" s="12">
        <v>-9.0512669140796476E-4</v>
      </c>
      <c r="I109" s="12">
        <v>-1.9806785867538812E-3</v>
      </c>
      <c r="J109" s="12">
        <v>2.8990321391681118E-2</v>
      </c>
      <c r="K109" s="12">
        <v>2.349108088295182E-2</v>
      </c>
      <c r="L109" s="12">
        <v>-3.1418980371411553E-4</v>
      </c>
      <c r="M109" s="13">
        <v>106</v>
      </c>
      <c r="N109" s="15">
        <f t="shared" ca="1" si="9"/>
        <v>54</v>
      </c>
      <c r="O109" s="13">
        <v>106</v>
      </c>
      <c r="P109" s="19">
        <f t="shared" ca="1" si="10"/>
        <v>42853</v>
      </c>
      <c r="Q109" s="12">
        <f t="shared" ca="1" si="14"/>
        <v>6.2633333333333334E-4</v>
      </c>
      <c r="R109" s="12">
        <f t="shared" ca="1" si="14"/>
        <v>1.3859044506840945E-3</v>
      </c>
      <c r="S109" s="12">
        <f t="shared" ca="1" si="14"/>
        <v>1.3466246663074166E-3</v>
      </c>
      <c r="T109" s="12">
        <f t="shared" ca="1" si="14"/>
        <v>2.5485326666316865E-3</v>
      </c>
      <c r="U109" s="12">
        <f t="shared" ca="1" si="14"/>
        <v>7.0034395590732323E-3</v>
      </c>
      <c r="V109" s="12">
        <f t="shared" ca="1" si="14"/>
        <v>5.0291985433685849E-3</v>
      </c>
      <c r="W109" s="12">
        <f t="shared" ca="1" si="14"/>
        <v>9.9762185769320944E-3</v>
      </c>
      <c r="X109" s="12">
        <f t="shared" ca="1" si="14"/>
        <v>9.0912169025529899E-3</v>
      </c>
      <c r="Y109" s="12">
        <f t="shared" ca="1" si="14"/>
        <v>1.3265432731470739E-2</v>
      </c>
      <c r="Z109" s="12">
        <f t="shared" ca="1" si="14"/>
        <v>1.5273775216138263E-2</v>
      </c>
    </row>
    <row r="110" spans="1:26">
      <c r="A110" s="13">
        <v>107</v>
      </c>
      <c r="B110" s="11">
        <v>44469</v>
      </c>
      <c r="C110" s="12">
        <v>2.9583333333333332E-5</v>
      </c>
      <c r="D110" s="12">
        <v>-1.0048513877685128E-3</v>
      </c>
      <c r="E110" s="12">
        <v>-7.6437253088035284E-4</v>
      </c>
      <c r="F110" s="12">
        <v>-2.8779840011450286E-4</v>
      </c>
      <c r="G110" s="12">
        <v>-1.2014615583012089E-2</v>
      </c>
      <c r="H110" s="12">
        <v>-6.0025556246581235E-3</v>
      </c>
      <c r="I110" s="12">
        <v>-1.0569251398916846E-2</v>
      </c>
      <c r="J110" s="12">
        <v>-4.7569140421166334E-2</v>
      </c>
      <c r="K110" s="12">
        <v>-4.2895570375793834E-2</v>
      </c>
      <c r="L110" s="12">
        <v>-3.124689846825679E-2</v>
      </c>
      <c r="M110" s="13">
        <v>107</v>
      </c>
      <c r="N110" s="15">
        <f t="shared" ca="1" si="9"/>
        <v>34</v>
      </c>
      <c r="O110" s="13">
        <v>107</v>
      </c>
      <c r="P110" s="19">
        <f t="shared" ca="1" si="10"/>
        <v>42247</v>
      </c>
      <c r="Q110" s="12">
        <f t="shared" ca="1" si="14"/>
        <v>5.0833333333333333E-5</v>
      </c>
      <c r="R110" s="12">
        <f t="shared" ca="1" si="14"/>
        <v>-4.245659030255311E-4</v>
      </c>
      <c r="S110" s="12">
        <f t="shared" ca="1" si="14"/>
        <v>5.1180264889927329E-5</v>
      </c>
      <c r="T110" s="12">
        <f t="shared" ca="1" si="14"/>
        <v>-1.5857702074807412E-3</v>
      </c>
      <c r="U110" s="12">
        <f t="shared" ca="1" si="14"/>
        <v>5.7009692297005365E-4</v>
      </c>
      <c r="V110" s="12">
        <f t="shared" ca="1" si="14"/>
        <v>2.0695919191027201E-4</v>
      </c>
      <c r="W110" s="12">
        <f t="shared" ca="1" si="14"/>
        <v>-6.7093163473843642E-3</v>
      </c>
      <c r="X110" s="12">
        <f t="shared" ca="1" si="14"/>
        <v>-6.258080462392579E-2</v>
      </c>
      <c r="Y110" s="12">
        <f t="shared" ca="1" si="14"/>
        <v>-6.806184866334386E-2</v>
      </c>
      <c r="Z110" s="12">
        <f t="shared" ca="1" si="14"/>
        <v>3.5709070998357406E-2</v>
      </c>
    </row>
    <row r="111" spans="1:26">
      <c r="A111" s="13">
        <v>108</v>
      </c>
      <c r="B111" s="11">
        <v>44498</v>
      </c>
      <c r="C111" s="12">
        <v>2.7500000000000001E-5</v>
      </c>
      <c r="D111" s="12">
        <v>-3.0397106151245357E-3</v>
      </c>
      <c r="E111" s="12">
        <v>-2.7381247848330403E-3</v>
      </c>
      <c r="F111" s="12">
        <v>-3.2666890866690501E-3</v>
      </c>
      <c r="G111" s="12">
        <v>3.1127562849819768E-4</v>
      </c>
      <c r="H111" s="12">
        <v>-3.2191243321966212E-3</v>
      </c>
      <c r="I111" s="12">
        <v>2.4950726425574388E-3</v>
      </c>
      <c r="J111" s="12">
        <v>6.9143873301234615E-2</v>
      </c>
      <c r="K111" s="12">
        <v>5.5920308654293871E-2</v>
      </c>
      <c r="L111" s="12">
        <v>1.5043114488175524E-2</v>
      </c>
      <c r="M111" s="13">
        <v>108</v>
      </c>
      <c r="N111" s="15">
        <f t="shared" ca="1" si="9"/>
        <v>62</v>
      </c>
      <c r="O111" s="13">
        <v>108</v>
      </c>
      <c r="P111" s="19">
        <f t="shared" ca="1" si="10"/>
        <v>43098</v>
      </c>
      <c r="Q111" s="12">
        <f t="shared" ca="1" si="14"/>
        <v>1.0466666666666667E-3</v>
      </c>
      <c r="R111" s="12">
        <f t="shared" ca="1" si="14"/>
        <v>1.1996068716912944E-4</v>
      </c>
      <c r="S111" s="12">
        <f t="shared" ca="1" si="14"/>
        <v>2.1268953000364021E-4</v>
      </c>
      <c r="T111" s="12">
        <f t="shared" ca="1" si="14"/>
        <v>1.0776244263113188E-3</v>
      </c>
      <c r="U111" s="12">
        <f t="shared" ca="1" si="14"/>
        <v>3.4610496714706507E-3</v>
      </c>
      <c r="V111" s="12">
        <f t="shared" ca="1" si="14"/>
        <v>1.454193244943669E-3</v>
      </c>
      <c r="W111" s="12">
        <f t="shared" ca="1" si="14"/>
        <v>8.527452873188901E-3</v>
      </c>
      <c r="X111" s="12">
        <f t="shared" ca="1" si="14"/>
        <v>9.8316198188534987E-3</v>
      </c>
      <c r="Y111" s="12">
        <f t="shared" ca="1" si="14"/>
        <v>1.2559209766241697E-2</v>
      </c>
      <c r="Z111" s="12">
        <f t="shared" ca="1" si="14"/>
        <v>2.1795907483078469E-2</v>
      </c>
    </row>
    <row r="112" spans="1:26">
      <c r="A112" s="13">
        <v>109</v>
      </c>
      <c r="B112" s="11">
        <v>44530</v>
      </c>
      <c r="C112" s="12">
        <v>4.0166666666666669E-5</v>
      </c>
      <c r="D112" s="12">
        <v>1.9179953936432348E-4</v>
      </c>
      <c r="E112" s="12">
        <v>-4.641756393909402E-4</v>
      </c>
      <c r="F112" s="12">
        <v>-1.5428627549128882E-3</v>
      </c>
      <c r="G112" s="12">
        <v>8.9050093712257361E-3</v>
      </c>
      <c r="H112" s="12">
        <v>1.7489296007073829E-3</v>
      </c>
      <c r="I112" s="12">
        <v>9.181251245917732E-4</v>
      </c>
      <c r="J112" s="12">
        <v>-8.3337314184714906E-3</v>
      </c>
      <c r="K112" s="12">
        <v>-2.2972032267310816E-2</v>
      </c>
      <c r="L112" s="12">
        <v>-4.9680942928597149E-3</v>
      </c>
      <c r="M112" s="13">
        <v>109</v>
      </c>
      <c r="N112" s="15">
        <f t="shared" ca="1" si="9"/>
        <v>98</v>
      </c>
      <c r="O112" s="13">
        <v>109</v>
      </c>
      <c r="P112" s="19">
        <f t="shared" ca="1" si="10"/>
        <v>44196</v>
      </c>
      <c r="Q112" s="12">
        <f t="shared" ca="1" si="14"/>
        <v>5.933333333333333E-5</v>
      </c>
      <c r="R112" s="12">
        <f t="shared" ca="1" si="14"/>
        <v>4.6392746608669988E-4</v>
      </c>
      <c r="S112" s="12">
        <f t="shared" ca="1" si="14"/>
        <v>8.7550035100192325E-4</v>
      </c>
      <c r="T112" s="12">
        <f t="shared" ca="1" si="14"/>
        <v>2.1523553682416541E-3</v>
      </c>
      <c r="U112" s="12">
        <f t="shared" ca="1" si="14"/>
        <v>-2.8269958831873554E-3</v>
      </c>
      <c r="V112" s="12">
        <f t="shared" ca="1" si="14"/>
        <v>1.2765202794648989E-3</v>
      </c>
      <c r="W112" s="12">
        <f t="shared" ca="1" si="14"/>
        <v>4.9127003486577614E-3</v>
      </c>
      <c r="X112" s="12">
        <f t="shared" ca="1" si="14"/>
        <v>3.712140665943231E-2</v>
      </c>
      <c r="Y112" s="12">
        <f t="shared" ca="1" si="14"/>
        <v>4.1383742267163237E-2</v>
      </c>
      <c r="Z112" s="12">
        <f t="shared" ca="1" si="14"/>
        <v>6.8324938799628532E-2</v>
      </c>
    </row>
    <row r="113" spans="1:26">
      <c r="A113" s="13">
        <v>110</v>
      </c>
      <c r="B113" s="11">
        <v>44561</v>
      </c>
      <c r="C113" s="12">
        <v>3.8000000000000002E-5</v>
      </c>
      <c r="D113" s="12">
        <v>-2.4802373420731438E-3</v>
      </c>
      <c r="E113" s="12">
        <v>-1.7502290923563368E-3</v>
      </c>
      <c r="F113" s="12">
        <v>-6.6421288657614319E-4</v>
      </c>
      <c r="G113" s="12">
        <v>-5.7005265768458324E-3</v>
      </c>
      <c r="H113" s="12">
        <v>-2.2361847737648599E-3</v>
      </c>
      <c r="I113" s="12">
        <v>-1.7142201738967744E-3</v>
      </c>
      <c r="J113" s="12">
        <v>4.3612874972629889E-2</v>
      </c>
      <c r="K113" s="12">
        <v>4.188858082403768E-2</v>
      </c>
      <c r="L113" s="12">
        <v>3.0813966593783215E-2</v>
      </c>
      <c r="M113" s="13">
        <v>110</v>
      </c>
      <c r="N113" s="15">
        <f t="shared" ca="1" si="9"/>
        <v>16</v>
      </c>
      <c r="O113" s="13">
        <v>110</v>
      </c>
      <c r="P113" s="19">
        <f t="shared" ca="1" si="10"/>
        <v>41698</v>
      </c>
      <c r="Q113" s="12">
        <f t="shared" ca="1" si="14"/>
        <v>1.6916666666666667E-5</v>
      </c>
      <c r="R113" s="12">
        <f t="shared" ca="1" si="14"/>
        <v>9.038801092022819E-4</v>
      </c>
      <c r="S113" s="12">
        <f t="shared" ca="1" si="14"/>
        <v>8.8386385418104396E-4</v>
      </c>
      <c r="T113" s="12">
        <f t="shared" ca="1" si="14"/>
        <v>2.6635238508452286E-3</v>
      </c>
      <c r="U113" s="12">
        <f t="shared" ca="1" si="14"/>
        <v>3.1205105942291311E-3</v>
      </c>
      <c r="V113" s="12">
        <f t="shared" ca="1" si="14"/>
        <v>2.7924214282957216E-3</v>
      </c>
      <c r="W113" s="12">
        <f t="shared" ca="1" si="14"/>
        <v>1.0973285355480922E-2</v>
      </c>
      <c r="X113" s="12">
        <f t="shared" ca="1" si="14"/>
        <v>4.3117037568930705E-2</v>
      </c>
      <c r="Y113" s="12">
        <f t="shared" ca="1" si="14"/>
        <v>4.8133828810229984E-2</v>
      </c>
      <c r="Z113" s="12">
        <f t="shared" ca="1" si="14"/>
        <v>6.5758707966734997E-2</v>
      </c>
    </row>
    <row r="114" spans="1:26">
      <c r="A114" s="13">
        <v>111</v>
      </c>
      <c r="B114" s="11">
        <v>44592</v>
      </c>
      <c r="C114" s="12">
        <v>2.5333333333333334E-5</v>
      </c>
      <c r="D114" s="12">
        <v>-6.5472663058070424E-3</v>
      </c>
      <c r="E114" s="12">
        <v>-6.7111001230306666E-3</v>
      </c>
      <c r="F114" s="12">
        <v>-7.4958829530974436E-3</v>
      </c>
      <c r="G114" s="12">
        <v>-1.8864479239942833E-2</v>
      </c>
      <c r="H114" s="12">
        <v>-1.2502210150905135E-2</v>
      </c>
      <c r="I114" s="12">
        <v>-3.124768304575265E-2</v>
      </c>
      <c r="J114" s="12">
        <v>-5.2585089106999772E-2</v>
      </c>
      <c r="K114" s="12">
        <v>-5.343268156683878E-2</v>
      </c>
      <c r="L114" s="12">
        <v>-1.7510387054450072E-2</v>
      </c>
      <c r="M114" s="13">
        <v>111</v>
      </c>
      <c r="N114" s="15">
        <f t="shared" ca="1" si="9"/>
        <v>122</v>
      </c>
      <c r="O114" s="13">
        <v>111</v>
      </c>
      <c r="P114" s="19">
        <f t="shared" ca="1" si="10"/>
        <v>44925</v>
      </c>
      <c r="Q114" s="12">
        <f t="shared" ref="Q114:Z123" ca="1" si="15">INDEX(histrets,$N114,Q$1)</f>
        <v>3.5996666666666668E-3</v>
      </c>
      <c r="R114" s="12">
        <f t="shared" ca="1" si="15"/>
        <v>2.0455625090360918E-3</v>
      </c>
      <c r="S114" s="12">
        <f t="shared" ca="1" si="15"/>
        <v>2.5523556719058149E-3</v>
      </c>
      <c r="T114" s="12">
        <f t="shared" ca="1" si="15"/>
        <v>3.0386964971180763E-3</v>
      </c>
      <c r="U114" s="12">
        <f t="shared" ca="1" si="15"/>
        <v>-5.2423174935820605E-3</v>
      </c>
      <c r="V114" s="12">
        <f t="shared" ca="1" si="15"/>
        <v>1.4255618068126363E-3</v>
      </c>
      <c r="W114" s="12">
        <f t="shared" ca="1" si="15"/>
        <v>-2.1183511393275678E-3</v>
      </c>
      <c r="X114" s="12">
        <f t="shared" ca="1" si="15"/>
        <v>-5.8971449299161094E-2</v>
      </c>
      <c r="Y114" s="12">
        <f t="shared" ca="1" si="15"/>
        <v>-4.3441667983637688E-2</v>
      </c>
      <c r="Z114" s="12">
        <f t="shared" ca="1" si="15"/>
        <v>3.1382172664148555E-2</v>
      </c>
    </row>
    <row r="115" spans="1:26">
      <c r="A115" s="13">
        <v>112</v>
      </c>
      <c r="B115" s="11">
        <v>44620</v>
      </c>
      <c r="C115" s="12">
        <v>1.4999999999999999E-4</v>
      </c>
      <c r="D115" s="12">
        <v>-3.742991386562089E-3</v>
      </c>
      <c r="E115" s="12">
        <v>-3.7629891241512947E-3</v>
      </c>
      <c r="F115" s="12">
        <v>-7.7055182536860389E-3</v>
      </c>
      <c r="G115" s="12">
        <v>-7.5924389532928682E-3</v>
      </c>
      <c r="H115" s="12">
        <v>-6.6560114592384423E-3</v>
      </c>
      <c r="I115" s="12">
        <v>-2.180899029682648E-2</v>
      </c>
      <c r="J115" s="12">
        <v>-3.1360520866782648E-2</v>
      </c>
      <c r="K115" s="12">
        <v>-2.6511498667887157E-2</v>
      </c>
      <c r="L115" s="12">
        <v>6.2220045961149939E-2</v>
      </c>
      <c r="M115" s="13">
        <v>112</v>
      </c>
      <c r="N115" s="15">
        <f t="shared" ca="1" si="9"/>
        <v>116</v>
      </c>
      <c r="O115" s="13">
        <v>112</v>
      </c>
      <c r="P115" s="19">
        <f t="shared" ca="1" si="10"/>
        <v>44742</v>
      </c>
      <c r="Q115" s="12">
        <f t="shared" ca="1" si="15"/>
        <v>8.6599999999999991E-4</v>
      </c>
      <c r="R115" s="12">
        <f t="shared" ca="1" si="15"/>
        <v>-5.7825175166225096E-3</v>
      </c>
      <c r="S115" s="12">
        <f t="shared" ca="1" si="15"/>
        <v>-5.5318572229748897E-3</v>
      </c>
      <c r="T115" s="12">
        <f t="shared" ca="1" si="15"/>
        <v>-8.5627533909510278E-3</v>
      </c>
      <c r="U115" s="12">
        <f t="shared" ca="1" si="15"/>
        <v>-7.2396013408896343E-3</v>
      </c>
      <c r="V115" s="12">
        <f t="shared" ca="1" si="15"/>
        <v>-6.6055332999498395E-3</v>
      </c>
      <c r="W115" s="12">
        <f t="shared" ca="1" si="15"/>
        <v>-2.3502828776662321E-2</v>
      </c>
      <c r="X115" s="12">
        <f t="shared" ca="1" si="15"/>
        <v>-8.3919993223866451E-2</v>
      </c>
      <c r="Y115" s="12">
        <f t="shared" ca="1" si="15"/>
        <v>-8.7717349633286923E-2</v>
      </c>
      <c r="Z115" s="12">
        <f t="shared" ca="1" si="15"/>
        <v>-1.6371404468391915E-2</v>
      </c>
    </row>
    <row r="116" spans="1:26">
      <c r="A116" s="13">
        <v>113</v>
      </c>
      <c r="B116" s="11">
        <v>44651</v>
      </c>
      <c r="C116" s="12">
        <v>2.4308333333333335E-4</v>
      </c>
      <c r="D116" s="12">
        <v>-1.331462698738195E-2</v>
      </c>
      <c r="E116" s="12">
        <v>-1.2512815509149955E-2</v>
      </c>
      <c r="F116" s="12">
        <v>-1.6666603979287431E-2</v>
      </c>
      <c r="G116" s="12">
        <v>-3.0054746669558874E-2</v>
      </c>
      <c r="H116" s="12">
        <v>-2.3889501110438749E-2</v>
      </c>
      <c r="I116" s="12">
        <v>-2.6390902135604244E-2</v>
      </c>
      <c r="J116" s="12">
        <v>3.5773238773280092E-2</v>
      </c>
      <c r="K116" s="12">
        <v>2.5225406739535661E-2</v>
      </c>
      <c r="L116" s="12">
        <v>1.4903168691297486E-2</v>
      </c>
      <c r="M116" s="13">
        <v>113</v>
      </c>
      <c r="N116" s="15">
        <f t="shared" ca="1" si="9"/>
        <v>56</v>
      </c>
      <c r="O116" s="13">
        <v>113</v>
      </c>
      <c r="P116" s="19">
        <f t="shared" ca="1" si="10"/>
        <v>42916</v>
      </c>
      <c r="Q116" s="12">
        <f t="shared" ca="1" si="15"/>
        <v>8.0883333333333339E-4</v>
      </c>
      <c r="R116" s="12">
        <f t="shared" ca="1" si="15"/>
        <v>-8.0204131069117057E-4</v>
      </c>
      <c r="S116" s="12">
        <f t="shared" ca="1" si="15"/>
        <v>-2.4903126051567526E-4</v>
      </c>
      <c r="T116" s="12">
        <f t="shared" ca="1" si="15"/>
        <v>6.9842322783286725E-4</v>
      </c>
      <c r="U116" s="12">
        <f t="shared" ca="1" si="15"/>
        <v>-1.4999198156073756E-3</v>
      </c>
      <c r="V116" s="12">
        <f t="shared" ca="1" si="15"/>
        <v>-6.063772226055919E-4</v>
      </c>
      <c r="W116" s="12">
        <f t="shared" ca="1" si="15"/>
        <v>2.4540228281686449E-3</v>
      </c>
      <c r="X116" s="12">
        <f t="shared" ca="1" si="15"/>
        <v>4.8138319927024664E-3</v>
      </c>
      <c r="Y116" s="12">
        <f t="shared" ca="1" si="15"/>
        <v>2.4532624729305397E-3</v>
      </c>
      <c r="Z116" s="12">
        <f t="shared" ca="1" si="15"/>
        <v>-2.152223938467368E-2</v>
      </c>
    </row>
    <row r="117" spans="1:26">
      <c r="A117" s="13">
        <v>114</v>
      </c>
      <c r="B117" s="11">
        <v>44680</v>
      </c>
      <c r="C117" s="12">
        <v>4.0183333333333336E-4</v>
      </c>
      <c r="D117" s="12">
        <v>-4.7505397231347724E-3</v>
      </c>
      <c r="E117" s="12">
        <v>-5.0721410258810495E-3</v>
      </c>
      <c r="F117" s="12">
        <v>-7.2898890697563612E-3</v>
      </c>
      <c r="G117" s="12">
        <v>-3.2081456896948302E-2</v>
      </c>
      <c r="H117" s="12">
        <v>-1.6836959045835598E-2</v>
      </c>
      <c r="I117" s="12">
        <v>-4.9716282037125747E-2</v>
      </c>
      <c r="J117" s="12">
        <v>-8.7956719149039353E-2</v>
      </c>
      <c r="K117" s="12">
        <v>-8.4324958156871688E-2</v>
      </c>
      <c r="L117" s="12">
        <v>-2.090903460236182E-2</v>
      </c>
      <c r="M117" s="13">
        <v>114</v>
      </c>
      <c r="N117" s="15">
        <f t="shared" ca="1" si="9"/>
        <v>116</v>
      </c>
      <c r="O117" s="13">
        <v>114</v>
      </c>
      <c r="P117" s="19">
        <f t="shared" ca="1" si="10"/>
        <v>44742</v>
      </c>
      <c r="Q117" s="12">
        <f t="shared" ca="1" si="15"/>
        <v>8.6599999999999991E-4</v>
      </c>
      <c r="R117" s="12">
        <f t="shared" ca="1" si="15"/>
        <v>-5.7825175166225096E-3</v>
      </c>
      <c r="S117" s="12">
        <f t="shared" ca="1" si="15"/>
        <v>-5.5318572229748897E-3</v>
      </c>
      <c r="T117" s="12">
        <f t="shared" ca="1" si="15"/>
        <v>-8.5627533909510278E-3</v>
      </c>
      <c r="U117" s="12">
        <f t="shared" ca="1" si="15"/>
        <v>-7.2396013408896343E-3</v>
      </c>
      <c r="V117" s="12">
        <f t="shared" ca="1" si="15"/>
        <v>-6.6055332999498395E-3</v>
      </c>
      <c r="W117" s="12">
        <f t="shared" ca="1" si="15"/>
        <v>-2.3502828776662321E-2</v>
      </c>
      <c r="X117" s="12">
        <f t="shared" ca="1" si="15"/>
        <v>-8.3919993223866451E-2</v>
      </c>
      <c r="Y117" s="12">
        <f t="shared" ca="1" si="15"/>
        <v>-8.7717349633286923E-2</v>
      </c>
      <c r="Z117" s="12">
        <f t="shared" ca="1" si="15"/>
        <v>-1.6371404468391915E-2</v>
      </c>
    </row>
    <row r="118" spans="1:26">
      <c r="A118" s="13">
        <v>115</v>
      </c>
      <c r="B118" s="11">
        <v>44712</v>
      </c>
      <c r="C118" s="12">
        <v>6.8574999999999994E-4</v>
      </c>
      <c r="D118" s="12">
        <v>5.530063898964821E-3</v>
      </c>
      <c r="E118" s="12">
        <v>4.8060826889988473E-3</v>
      </c>
      <c r="F118" s="12">
        <v>5.7730161036764205E-3</v>
      </c>
      <c r="G118" s="12">
        <v>6.2212665030525471E-4</v>
      </c>
      <c r="H118" s="12">
        <v>3.571800989249363E-3</v>
      </c>
      <c r="I118" s="12">
        <v>5.3524782687703887E-3</v>
      </c>
      <c r="J118" s="12">
        <v>5.3243883608722342E-5</v>
      </c>
      <c r="K118" s="12">
        <v>-1.6490080912282545E-3</v>
      </c>
      <c r="L118" s="12">
        <v>-3.1408644493998272E-2</v>
      </c>
      <c r="M118" s="13">
        <v>115</v>
      </c>
      <c r="N118" s="15">
        <f t="shared" ca="1" si="9"/>
        <v>125</v>
      </c>
      <c r="O118" s="13">
        <v>115</v>
      </c>
      <c r="P118" s="19">
        <f t="shared" ca="1" si="10"/>
        <v>45016</v>
      </c>
      <c r="Q118" s="12">
        <f t="shared" ca="1" si="15"/>
        <v>3.9739166666666664E-3</v>
      </c>
      <c r="R118" s="12">
        <f t="shared" ca="1" si="15"/>
        <v>1.5952721678990756E-2</v>
      </c>
      <c r="S118" s="12">
        <f t="shared" ca="1" si="15"/>
        <v>1.6285339772754925E-2</v>
      </c>
      <c r="T118" s="12">
        <f t="shared" ca="1" si="15"/>
        <v>8.7837685668412657E-3</v>
      </c>
      <c r="U118" s="12">
        <f t="shared" ca="1" si="15"/>
        <v>2.9576955176613406E-2</v>
      </c>
      <c r="V118" s="12">
        <f t="shared" ca="1" si="15"/>
        <v>2.1121753530337406E-2</v>
      </c>
      <c r="W118" s="12">
        <f t="shared" ca="1" si="15"/>
        <v>2.5627855244890752E-2</v>
      </c>
      <c r="X118" s="12">
        <f t="shared" ca="1" si="15"/>
        <v>3.5051572358727023E-2</v>
      </c>
      <c r="Y118" s="12">
        <f t="shared" ca="1" si="15"/>
        <v>2.8317560423934518E-2</v>
      </c>
      <c r="Z118" s="12">
        <f t="shared" ca="1" si="15"/>
        <v>7.7923499660631057E-2</v>
      </c>
    </row>
    <row r="119" spans="1:26">
      <c r="A119" s="13">
        <v>116</v>
      </c>
      <c r="B119" s="11">
        <v>44742</v>
      </c>
      <c r="C119" s="12">
        <v>8.6599999999999991E-4</v>
      </c>
      <c r="D119" s="12">
        <v>-5.7825175166225096E-3</v>
      </c>
      <c r="E119" s="12">
        <v>-5.5318572229748897E-3</v>
      </c>
      <c r="F119" s="12">
        <v>-8.5627533909510278E-3</v>
      </c>
      <c r="G119" s="12">
        <v>-7.2396013408896343E-3</v>
      </c>
      <c r="H119" s="12">
        <v>-6.6055332999498395E-3</v>
      </c>
      <c r="I119" s="12">
        <v>-2.3502828776662321E-2</v>
      </c>
      <c r="J119" s="12">
        <v>-8.3919993223866451E-2</v>
      </c>
      <c r="K119" s="12">
        <v>-8.7717349633286923E-2</v>
      </c>
      <c r="L119" s="12">
        <v>-1.6371404468391915E-2</v>
      </c>
      <c r="M119" s="13">
        <v>116</v>
      </c>
      <c r="N119" s="15">
        <f t="shared" ca="1" si="9"/>
        <v>2</v>
      </c>
      <c r="O119" s="13">
        <v>116</v>
      </c>
      <c r="P119" s="19">
        <f t="shared" ca="1" si="10"/>
        <v>41274</v>
      </c>
      <c r="Q119" s="12">
        <f t="shared" ca="1" si="15"/>
        <v>6.3416666666666672E-5</v>
      </c>
      <c r="R119" s="12">
        <f t="shared" ca="1" si="15"/>
        <v>3.3762579425800077E-4</v>
      </c>
      <c r="S119" s="12">
        <f t="shared" ca="1" si="15"/>
        <v>5.5201947805216811E-4</v>
      </c>
      <c r="T119" s="12">
        <f t="shared" ca="1" si="15"/>
        <v>1.9529105173961003E-3</v>
      </c>
      <c r="U119" s="12">
        <f t="shared" ca="1" si="15"/>
        <v>-4.9419567051486313E-3</v>
      </c>
      <c r="V119" s="12">
        <f t="shared" ca="1" si="15"/>
        <v>-1.6410959913608636E-3</v>
      </c>
      <c r="W119" s="12">
        <f t="shared" ca="1" si="15"/>
        <v>-1.9428262162357601E-4</v>
      </c>
      <c r="X119" s="12">
        <f t="shared" ca="1" si="15"/>
        <v>7.0683105254980561E-3</v>
      </c>
      <c r="Y119" s="12">
        <f t="shared" ca="1" si="15"/>
        <v>1.7491581083854735E-2</v>
      </c>
      <c r="Z119" s="12">
        <f t="shared" ca="1" si="15"/>
        <v>-2.3108141202812904E-2</v>
      </c>
    </row>
    <row r="120" spans="1:26">
      <c r="A120" s="13">
        <v>117</v>
      </c>
      <c r="B120" s="11">
        <v>44771</v>
      </c>
      <c r="C120" s="12">
        <v>1.3551666666666668E-3</v>
      </c>
      <c r="D120" s="12">
        <v>3.3528295068618874E-3</v>
      </c>
      <c r="E120" s="12">
        <v>2.6352464971926004E-3</v>
      </c>
      <c r="F120" s="12">
        <v>7.4658997444205788E-3</v>
      </c>
      <c r="G120" s="12">
        <v>1.65865653968571E-2</v>
      </c>
      <c r="H120" s="12">
        <v>1.0522057632823767E-2</v>
      </c>
      <c r="I120" s="12">
        <v>2.9487751054719125E-2</v>
      </c>
      <c r="J120" s="12">
        <v>9.1116347632205885E-2</v>
      </c>
      <c r="K120" s="12">
        <v>7.8619427458280766E-2</v>
      </c>
      <c r="L120" s="12">
        <v>-2.2868746783823113E-2</v>
      </c>
      <c r="M120" s="13">
        <v>117</v>
      </c>
      <c r="N120" s="15">
        <f t="shared" ca="1" si="9"/>
        <v>75</v>
      </c>
      <c r="O120" s="13">
        <v>117</v>
      </c>
      <c r="P120" s="19">
        <f t="shared" ca="1" si="10"/>
        <v>43496</v>
      </c>
      <c r="Q120" s="12">
        <f t="shared" ca="1" si="15"/>
        <v>1.962416666666667E-3</v>
      </c>
      <c r="R120" s="12">
        <f t="shared" ca="1" si="15"/>
        <v>2.693012589601862E-3</v>
      </c>
      <c r="S120" s="12">
        <f t="shared" ca="1" si="15"/>
        <v>2.7841509229560302E-3</v>
      </c>
      <c r="T120" s="12">
        <f t="shared" ca="1" si="15"/>
        <v>7.0274240371139829E-3</v>
      </c>
      <c r="U120" s="12">
        <f t="shared" ca="1" si="15"/>
        <v>4.6694430922893382E-3</v>
      </c>
      <c r="V120" s="12">
        <f t="shared" ca="1" si="15"/>
        <v>3.7222012815680827E-3</v>
      </c>
      <c r="W120" s="12">
        <f t="shared" ca="1" si="15"/>
        <v>2.0932190041150545E-2</v>
      </c>
      <c r="X120" s="12">
        <f t="shared" ca="1" si="15"/>
        <v>7.8684404731036883E-2</v>
      </c>
      <c r="Y120" s="12">
        <f t="shared" ca="1" si="15"/>
        <v>7.6750358299272792E-2</v>
      </c>
      <c r="Z120" s="12">
        <f t="shared" ca="1" si="15"/>
        <v>3.0222457874915287E-2</v>
      </c>
    </row>
    <row r="121" spans="1:26">
      <c r="A121" s="13">
        <v>118</v>
      </c>
      <c r="B121" s="11">
        <v>44804</v>
      </c>
      <c r="C121" s="12">
        <v>1.9306666666666669E-3</v>
      </c>
      <c r="D121" s="12">
        <v>-7.2039287934703156E-3</v>
      </c>
      <c r="E121" s="12">
        <v>-7.9638102833402558E-3</v>
      </c>
      <c r="F121" s="12">
        <v>-5.7503855963663142E-3</v>
      </c>
      <c r="G121" s="12">
        <v>-2.6175212402140158E-2</v>
      </c>
      <c r="H121" s="12">
        <v>-1.7493418533857663E-2</v>
      </c>
      <c r="I121" s="12">
        <v>-2.6611677035771941E-2</v>
      </c>
      <c r="J121" s="12">
        <v>-4.2440119216810457E-2</v>
      </c>
      <c r="K121" s="12">
        <v>-4.3348128620688264E-2</v>
      </c>
      <c r="L121" s="12">
        <v>-3.1088258944245051E-2</v>
      </c>
      <c r="M121" s="13">
        <v>118</v>
      </c>
      <c r="N121" s="15">
        <f t="shared" ca="1" si="9"/>
        <v>56</v>
      </c>
      <c r="O121" s="13">
        <v>118</v>
      </c>
      <c r="P121" s="19">
        <f t="shared" ca="1" si="10"/>
        <v>42916</v>
      </c>
      <c r="Q121" s="12">
        <f t="shared" ca="1" si="15"/>
        <v>8.0883333333333339E-4</v>
      </c>
      <c r="R121" s="12">
        <f t="shared" ca="1" si="15"/>
        <v>-8.0204131069117057E-4</v>
      </c>
      <c r="S121" s="12">
        <f t="shared" ca="1" si="15"/>
        <v>-2.4903126051567526E-4</v>
      </c>
      <c r="T121" s="12">
        <f t="shared" ca="1" si="15"/>
        <v>6.9842322783286725E-4</v>
      </c>
      <c r="U121" s="12">
        <f t="shared" ca="1" si="15"/>
        <v>-1.4999198156073756E-3</v>
      </c>
      <c r="V121" s="12">
        <f t="shared" ca="1" si="15"/>
        <v>-6.063772226055919E-4</v>
      </c>
      <c r="W121" s="12">
        <f t="shared" ca="1" si="15"/>
        <v>2.4540228281686449E-3</v>
      </c>
      <c r="X121" s="12">
        <f t="shared" ca="1" si="15"/>
        <v>4.8138319927024664E-3</v>
      </c>
      <c r="Y121" s="12">
        <f t="shared" ca="1" si="15"/>
        <v>2.4532624729305397E-3</v>
      </c>
      <c r="Z121" s="12">
        <f t="shared" ca="1" si="15"/>
        <v>-2.152223938467368E-2</v>
      </c>
    </row>
    <row r="122" spans="1:26">
      <c r="A122" s="13">
        <v>119</v>
      </c>
      <c r="B122" s="11">
        <v>44834</v>
      </c>
      <c r="C122" s="12">
        <v>2.4169166666666666E-3</v>
      </c>
      <c r="D122" s="12">
        <v>-1.178178702337318E-2</v>
      </c>
      <c r="E122" s="12">
        <v>-1.1024613866002952E-2</v>
      </c>
      <c r="F122" s="12">
        <v>-1.4531577207097968E-2</v>
      </c>
      <c r="G122" s="12">
        <v>-3.7510852028801778E-2</v>
      </c>
      <c r="H122" s="12">
        <v>-2.3715309664140927E-2</v>
      </c>
      <c r="I122" s="12">
        <v>-5.3080632783768955E-2</v>
      </c>
      <c r="J122" s="12">
        <v>-9.3395701643489315E-2</v>
      </c>
      <c r="K122" s="12">
        <v>-9.4647777963856705E-2</v>
      </c>
      <c r="L122" s="12">
        <v>-2.9473302786609312E-2</v>
      </c>
      <c r="M122" s="13">
        <v>119</v>
      </c>
      <c r="N122" s="15">
        <f t="shared" ca="1" si="9"/>
        <v>94</v>
      </c>
      <c r="O122" s="13">
        <v>119</v>
      </c>
      <c r="P122" s="19">
        <f t="shared" ca="1" si="10"/>
        <v>44074</v>
      </c>
      <c r="Q122" s="12">
        <f t="shared" ca="1" si="15"/>
        <v>6.9750000000000001E-5</v>
      </c>
      <c r="R122" s="12">
        <f t="shared" ca="1" si="15"/>
        <v>-2.4264938349671805E-4</v>
      </c>
      <c r="S122" s="12">
        <f t="shared" ca="1" si="15"/>
        <v>2.9189559186559855E-4</v>
      </c>
      <c r="T122" s="12">
        <f t="shared" ca="1" si="15"/>
        <v>2.5177005785046447E-3</v>
      </c>
      <c r="U122" s="12">
        <f t="shared" ca="1" si="15"/>
        <v>-1.2016152135081337E-2</v>
      </c>
      <c r="V122" s="12">
        <f t="shared" ca="1" si="15"/>
        <v>-1.7319156027352234E-3</v>
      </c>
      <c r="W122" s="12">
        <f t="shared" ca="1" si="15"/>
        <v>-1.1540921161941387E-2</v>
      </c>
      <c r="X122" s="12">
        <f t="shared" ca="1" si="15"/>
        <v>7.0064687324219221E-2</v>
      </c>
      <c r="Y122" s="12">
        <f t="shared" ca="1" si="15"/>
        <v>6.5306423483067144E-2</v>
      </c>
      <c r="Z122" s="12">
        <f t="shared" ca="1" si="15"/>
        <v>-4.0792363831445577E-3</v>
      </c>
    </row>
    <row r="123" spans="1:26">
      <c r="A123" s="13">
        <v>120</v>
      </c>
      <c r="B123" s="11">
        <v>44865</v>
      </c>
      <c r="C123" s="12">
        <v>2.7055E-3</v>
      </c>
      <c r="D123" s="12">
        <v>-9.8749969893285883E-4</v>
      </c>
      <c r="E123" s="12">
        <v>-1.6226807911334795E-3</v>
      </c>
      <c r="F123" s="12">
        <v>-2.2720778243974227E-3</v>
      </c>
      <c r="G123" s="12">
        <v>-1.5219530427619032E-2</v>
      </c>
      <c r="H123" s="12">
        <v>-7.3248596036072922E-3</v>
      </c>
      <c r="I123" s="12">
        <v>-1.1149135715035507E-2</v>
      </c>
      <c r="J123" s="12">
        <v>7.9863454576893256E-2</v>
      </c>
      <c r="K123" s="12">
        <v>7.1078132554179829E-2</v>
      </c>
      <c r="L123" s="12">
        <v>-1.6289194934391515E-2</v>
      </c>
      <c r="M123" s="13">
        <v>120</v>
      </c>
      <c r="N123" s="15">
        <f t="shared" ca="1" si="9"/>
        <v>32</v>
      </c>
      <c r="O123" s="13">
        <v>120</v>
      </c>
      <c r="P123" s="19">
        <f t="shared" ca="1" si="10"/>
        <v>42185</v>
      </c>
      <c r="Q123" s="12">
        <f t="shared" ca="1" si="15"/>
        <v>0</v>
      </c>
      <c r="R123" s="12">
        <f t="shared" ca="1" si="15"/>
        <v>2.5320231558723094E-4</v>
      </c>
      <c r="S123" s="12">
        <f t="shared" ca="1" si="15"/>
        <v>3.5784763056034841E-4</v>
      </c>
      <c r="T123" s="12">
        <f t="shared" ca="1" si="15"/>
        <v>-1.5031059264967173E-3</v>
      </c>
      <c r="U123" s="12">
        <f t="shared" ca="1" si="15"/>
        <v>-9.962299900720839E-3</v>
      </c>
      <c r="V123" s="12">
        <f t="shared" ca="1" si="15"/>
        <v>-4.4419820231021978E-3</v>
      </c>
      <c r="W123" s="12">
        <f t="shared" ca="1" si="15"/>
        <v>-1.639343013945227E-2</v>
      </c>
      <c r="X123" s="12">
        <f t="shared" ca="1" si="15"/>
        <v>-2.10117728564716E-2</v>
      </c>
      <c r="Y123" s="12">
        <f t="shared" ca="1" si="15"/>
        <v>-2.4560082279085793E-2</v>
      </c>
      <c r="Z123" s="12">
        <f t="shared" ca="1" si="15"/>
        <v>-1.5311864805389042E-2</v>
      </c>
    </row>
    <row r="124" spans="1:26">
      <c r="A124" s="13">
        <v>121</v>
      </c>
      <c r="B124" s="11">
        <v>44895</v>
      </c>
      <c r="C124" s="12">
        <v>3.3799166666666669E-3</v>
      </c>
      <c r="D124" s="12">
        <v>6.2875043022390109E-3</v>
      </c>
      <c r="E124" s="12">
        <v>6.2505749946333289E-3</v>
      </c>
      <c r="F124" s="12">
        <v>1.3179812663381529E-2</v>
      </c>
      <c r="G124" s="12">
        <v>2.8126175985148771E-2</v>
      </c>
      <c r="H124" s="12">
        <v>1.5199845454158423E-2</v>
      </c>
      <c r="I124" s="12">
        <v>4.9175445389133987E-2</v>
      </c>
      <c r="J124" s="12">
        <v>5.3752860293699856E-2</v>
      </c>
      <c r="K124" s="12">
        <v>6.7970577614494543E-2</v>
      </c>
      <c r="L124" s="12">
        <v>8.2617106197507395E-2</v>
      </c>
      <c r="M124" s="13">
        <v>121</v>
      </c>
      <c r="N124" s="15">
        <f t="shared" ca="1" si="9"/>
        <v>49</v>
      </c>
      <c r="O124" s="13">
        <v>121</v>
      </c>
      <c r="P124" s="19">
        <f t="shared" ca="1" si="10"/>
        <v>42704</v>
      </c>
      <c r="Q124" s="12">
        <f t="shared" ref="Q124:Z133" ca="1" si="16">INDEX(histrets,$N124,Q$1)</f>
        <v>2.4941666666666667E-4</v>
      </c>
      <c r="R124" s="12">
        <f t="shared" ca="1" si="16"/>
        <v>-3.9680668767997362E-3</v>
      </c>
      <c r="S124" s="12">
        <f t="shared" ca="1" si="16"/>
        <v>-3.9652254703520518E-3</v>
      </c>
      <c r="T124" s="12">
        <f t="shared" ca="1" si="16"/>
        <v>-4.234892489187625E-3</v>
      </c>
      <c r="U124" s="12">
        <f t="shared" ca="1" si="16"/>
        <v>-2.7309126741589806E-2</v>
      </c>
      <c r="V124" s="12">
        <f t="shared" ca="1" si="16"/>
        <v>-1.4909534956887072E-2</v>
      </c>
      <c r="W124" s="12">
        <f t="shared" ca="1" si="16"/>
        <v>-2.6791531353187459E-2</v>
      </c>
      <c r="X124" s="12">
        <f t="shared" ca="1" si="16"/>
        <v>3.4174446769983158E-2</v>
      </c>
      <c r="Y124" s="12">
        <f t="shared" ca="1" si="16"/>
        <v>1.2519811700139494E-2</v>
      </c>
      <c r="Z124" s="12">
        <f t="shared" ca="1" si="16"/>
        <v>-8.143531604043186E-2</v>
      </c>
    </row>
    <row r="125" spans="1:26">
      <c r="A125" s="13">
        <v>122</v>
      </c>
      <c r="B125" s="11">
        <v>44925</v>
      </c>
      <c r="C125" s="12">
        <v>3.5996666666666668E-3</v>
      </c>
      <c r="D125" s="12">
        <v>2.0455625090360918E-3</v>
      </c>
      <c r="E125" s="12">
        <v>2.5523556719058149E-3</v>
      </c>
      <c r="F125" s="12">
        <v>3.0386964971180763E-3</v>
      </c>
      <c r="G125" s="12">
        <v>-5.2423174935820605E-3</v>
      </c>
      <c r="H125" s="12">
        <v>1.4255618068126363E-3</v>
      </c>
      <c r="I125" s="12">
        <v>-2.1183511393275678E-3</v>
      </c>
      <c r="J125" s="12">
        <v>-5.8971449299161094E-2</v>
      </c>
      <c r="K125" s="12">
        <v>-4.3441667983637688E-2</v>
      </c>
      <c r="L125" s="12">
        <v>3.1382172664148555E-2</v>
      </c>
      <c r="M125" s="13">
        <v>122</v>
      </c>
      <c r="N125" s="15">
        <f t="shared" ca="1" si="9"/>
        <v>48</v>
      </c>
      <c r="O125" s="13">
        <v>122</v>
      </c>
      <c r="P125" s="19">
        <f t="shared" ca="1" si="10"/>
        <v>42674</v>
      </c>
      <c r="Q125" s="12">
        <f t="shared" ca="1" si="16"/>
        <v>2.2824999999999999E-4</v>
      </c>
      <c r="R125" s="12">
        <f t="shared" ca="1" si="16"/>
        <v>-6.6904014583524241E-4</v>
      </c>
      <c r="S125" s="12">
        <f t="shared" ca="1" si="16"/>
        <v>-8.8476979395957223E-5</v>
      </c>
      <c r="T125" s="12">
        <f t="shared" ca="1" si="16"/>
        <v>4.7436962881475253E-4</v>
      </c>
      <c r="U125" s="12">
        <f t="shared" ca="1" si="16"/>
        <v>-1.151288919576221E-2</v>
      </c>
      <c r="V125" s="12">
        <f t="shared" ca="1" si="16"/>
        <v>-4.5227010929861367E-3</v>
      </c>
      <c r="W125" s="12">
        <f t="shared" ca="1" si="16"/>
        <v>-8.2772866137545975E-3</v>
      </c>
      <c r="X125" s="12">
        <f t="shared" ca="1" si="16"/>
        <v>-1.9425625037472249E-2</v>
      </c>
      <c r="Y125" s="12">
        <f t="shared" ca="1" si="16"/>
        <v>-2.0137106167459562E-2</v>
      </c>
      <c r="Z125" s="12">
        <f t="shared" ca="1" si="16"/>
        <v>-2.9379801956120222E-2</v>
      </c>
    </row>
    <row r="126" spans="1:26">
      <c r="A126" s="13">
        <v>123</v>
      </c>
      <c r="B126" s="11">
        <v>44957</v>
      </c>
      <c r="C126" s="12">
        <v>3.6190833333333335E-3</v>
      </c>
      <c r="D126" s="12">
        <v>6.8529912993722242E-3</v>
      </c>
      <c r="E126" s="12">
        <v>7.4985009837649219E-3</v>
      </c>
      <c r="F126" s="12">
        <v>1.0432522821833157E-2</v>
      </c>
      <c r="G126" s="12">
        <v>2.5942010417448813E-2</v>
      </c>
      <c r="H126" s="12">
        <v>1.4634042651866963E-2</v>
      </c>
      <c r="I126" s="12">
        <v>3.889132644369897E-2</v>
      </c>
      <c r="J126" s="12">
        <v>6.1752832400052027E-2</v>
      </c>
      <c r="K126" s="12">
        <v>7.004675931440163E-2</v>
      </c>
      <c r="L126" s="12">
        <v>5.720332013903362E-2</v>
      </c>
      <c r="M126" s="13">
        <v>123</v>
      </c>
      <c r="N126" s="15">
        <f t="shared" ca="1" si="9"/>
        <v>23</v>
      </c>
      <c r="O126" s="13">
        <v>123</v>
      </c>
      <c r="P126" s="19">
        <f t="shared" ca="1" si="10"/>
        <v>41912</v>
      </c>
      <c r="Q126" s="12">
        <f t="shared" ca="1" si="16"/>
        <v>1.6916666666666667E-5</v>
      </c>
      <c r="R126" s="12">
        <f t="shared" ca="1" si="16"/>
        <v>-5.5918784954711587E-4</v>
      </c>
      <c r="S126" s="12">
        <f t="shared" ca="1" si="16"/>
        <v>-1.4454531212915178E-4</v>
      </c>
      <c r="T126" s="12">
        <f t="shared" ca="1" si="16"/>
        <v>-1.0665751749033836E-3</v>
      </c>
      <c r="U126" s="12">
        <f t="shared" ca="1" si="16"/>
        <v>-6.3298466173178358E-3</v>
      </c>
      <c r="V126" s="12">
        <f t="shared" ca="1" si="16"/>
        <v>-3.1157649714820268E-3</v>
      </c>
      <c r="W126" s="12">
        <f t="shared" ca="1" si="16"/>
        <v>-1.2431832190915149E-2</v>
      </c>
      <c r="X126" s="12">
        <f t="shared" ca="1" si="16"/>
        <v>-1.5513859147336717E-2</v>
      </c>
      <c r="Y126" s="12">
        <f t="shared" ca="1" si="16"/>
        <v>-2.8752952209940008E-2</v>
      </c>
      <c r="Z126" s="12">
        <f t="shared" ca="1" si="16"/>
        <v>-6.1499860174626275E-2</v>
      </c>
    </row>
    <row r="127" spans="1:26">
      <c r="A127" s="13">
        <v>124</v>
      </c>
      <c r="B127" s="11">
        <v>44985</v>
      </c>
      <c r="C127" s="12">
        <v>3.8679166666666666E-3</v>
      </c>
      <c r="D127" s="12">
        <v>-7.2206895930521098E-3</v>
      </c>
      <c r="E127" s="12">
        <v>-7.9186561366191288E-3</v>
      </c>
      <c r="F127" s="12">
        <v>-6.3179141658825655E-3</v>
      </c>
      <c r="G127" s="12">
        <v>-2.4088299362497012E-2</v>
      </c>
      <c r="H127" s="12">
        <v>-1.5144791597230811E-2</v>
      </c>
      <c r="I127" s="12">
        <v>-2.9128853320997239E-2</v>
      </c>
      <c r="J127" s="12">
        <v>-2.6112446646715304E-2</v>
      </c>
      <c r="K127" s="12">
        <v>-2.5289048473967624E-2</v>
      </c>
      <c r="L127" s="12">
        <v>-5.2604285506855475E-2</v>
      </c>
      <c r="M127" s="13">
        <v>124</v>
      </c>
      <c r="N127" s="15">
        <f t="shared" ca="1" si="9"/>
        <v>17</v>
      </c>
      <c r="O127" s="13">
        <v>124</v>
      </c>
      <c r="P127" s="19">
        <f t="shared" ca="1" si="10"/>
        <v>41729</v>
      </c>
      <c r="Q127" s="12">
        <f t="shared" ca="1" si="16"/>
        <v>3.8000000000000002E-5</v>
      </c>
      <c r="R127" s="12">
        <f t="shared" ca="1" si="16"/>
        <v>-1.107151021881192E-3</v>
      </c>
      <c r="S127" s="12">
        <f t="shared" ca="1" si="16"/>
        <v>-8.6527596556373876E-4</v>
      </c>
      <c r="T127" s="12">
        <f t="shared" ca="1" si="16"/>
        <v>-2.8994238099677716E-4</v>
      </c>
      <c r="U127" s="12">
        <f t="shared" ca="1" si="16"/>
        <v>-2.817973742041735E-3</v>
      </c>
      <c r="V127" s="12">
        <f t="shared" ca="1" si="16"/>
        <v>-1.3003567426064233E-3</v>
      </c>
      <c r="W127" s="12">
        <f t="shared" ca="1" si="16"/>
        <v>7.1137327652026627E-4</v>
      </c>
      <c r="X127" s="12">
        <f t="shared" ca="1" si="16"/>
        <v>6.9321573583585039E-3</v>
      </c>
      <c r="Y127" s="12">
        <f t="shared" ca="1" si="16"/>
        <v>-9.1321475468553182E-4</v>
      </c>
      <c r="Z127" s="12">
        <f t="shared" ca="1" si="16"/>
        <v>-3.1951386847005825E-2</v>
      </c>
    </row>
    <row r="128" spans="1:26">
      <c r="A128" s="13">
        <v>125</v>
      </c>
      <c r="B128" s="11">
        <v>45016</v>
      </c>
      <c r="C128" s="12">
        <v>3.9739166666666664E-3</v>
      </c>
      <c r="D128" s="12">
        <v>1.5952721678990756E-2</v>
      </c>
      <c r="E128" s="12">
        <v>1.6285339772754925E-2</v>
      </c>
      <c r="F128" s="12">
        <v>8.7837685668412657E-3</v>
      </c>
      <c r="G128" s="12">
        <v>2.9576955176613406E-2</v>
      </c>
      <c r="H128" s="12">
        <v>2.1121753530337406E-2</v>
      </c>
      <c r="I128" s="12">
        <v>2.5627855244890752E-2</v>
      </c>
      <c r="J128" s="12">
        <v>3.5051572358727023E-2</v>
      </c>
      <c r="K128" s="12">
        <v>2.8317560423934518E-2</v>
      </c>
      <c r="L128" s="12">
        <v>7.7923499660631057E-2</v>
      </c>
      <c r="M128" s="13">
        <v>125</v>
      </c>
      <c r="N128" s="15">
        <f t="shared" ca="1" si="9"/>
        <v>128</v>
      </c>
      <c r="O128" s="13">
        <v>125</v>
      </c>
      <c r="P128" s="19">
        <f t="shared" ca="1" si="10"/>
        <v>45107</v>
      </c>
      <c r="Q128" s="12">
        <f t="shared" ca="1" si="16"/>
        <v>4.4903333333333332E-3</v>
      </c>
      <c r="R128" s="12">
        <f t="shared" ca="1" si="16"/>
        <v>-4.8445195255588658E-3</v>
      </c>
      <c r="S128" s="12">
        <f t="shared" ca="1" si="16"/>
        <v>-1.3030179964843569E-3</v>
      </c>
      <c r="T128" s="12">
        <f t="shared" ca="1" si="16"/>
        <v>-1.368606954410323E-3</v>
      </c>
      <c r="U128" s="12">
        <f t="shared" ca="1" si="16"/>
        <v>-7.2523719399045783E-3</v>
      </c>
      <c r="V128" s="12">
        <f t="shared" ca="1" si="16"/>
        <v>-2.996004695004828E-3</v>
      </c>
      <c r="W128" s="12">
        <f t="shared" ca="1" si="16"/>
        <v>2.8447957469166507E-3</v>
      </c>
      <c r="X128" s="12">
        <f t="shared" ca="1" si="16"/>
        <v>6.4727512841431301E-2</v>
      </c>
      <c r="Y128" s="12">
        <f t="shared" ca="1" si="16"/>
        <v>5.9330990944668205E-2</v>
      </c>
      <c r="Z128" s="12">
        <f t="shared" ca="1" si="16"/>
        <v>-2.2101868316069972E-2</v>
      </c>
    </row>
    <row r="129" spans="1:26">
      <c r="A129" s="13">
        <v>126</v>
      </c>
      <c r="B129" s="11">
        <v>45044</v>
      </c>
      <c r="C129" s="12">
        <v>3.910833333333333E-3</v>
      </c>
      <c r="D129" s="12">
        <v>2.5906525424277405E-3</v>
      </c>
      <c r="E129" s="12">
        <v>1.6892966077157734E-3</v>
      </c>
      <c r="F129" s="12">
        <v>5.9787379091187365E-3</v>
      </c>
      <c r="G129" s="12">
        <v>5.4692115776100447E-3</v>
      </c>
      <c r="H129" s="12">
        <v>3.9277674600057821E-3</v>
      </c>
      <c r="I129" s="12">
        <v>8.4788423636714683E-3</v>
      </c>
      <c r="J129" s="12">
        <v>1.464236088297044E-2</v>
      </c>
      <c r="K129" s="12">
        <v>1.5938010489209731E-2</v>
      </c>
      <c r="L129" s="12">
        <v>1.0521611959700916E-2</v>
      </c>
      <c r="M129" s="13">
        <v>126</v>
      </c>
      <c r="N129" s="15">
        <f t="shared" ca="1" si="9"/>
        <v>89</v>
      </c>
      <c r="O129" s="13">
        <v>126</v>
      </c>
      <c r="P129" s="19">
        <f t="shared" ca="1" si="10"/>
        <v>43921</v>
      </c>
      <c r="Q129" s="12">
        <f t="shared" ca="1" si="16"/>
        <v>1.0558333333333333E-3</v>
      </c>
      <c r="R129" s="12">
        <f t="shared" ca="1" si="16"/>
        <v>1.3718685826674903E-2</v>
      </c>
      <c r="S129" s="12">
        <f t="shared" ca="1" si="16"/>
        <v>8.1095810185372041E-3</v>
      </c>
      <c r="T129" s="12">
        <f t="shared" ca="1" si="16"/>
        <v>-2.7939758182719765E-2</v>
      </c>
      <c r="U129" s="12">
        <f t="shared" ca="1" si="16"/>
        <v>3.2641882382009157E-2</v>
      </c>
      <c r="V129" s="12">
        <f t="shared" ca="1" si="16"/>
        <v>9.480625065106052E-3</v>
      </c>
      <c r="W129" s="12">
        <f t="shared" ca="1" si="16"/>
        <v>-7.4740274503774518E-2</v>
      </c>
      <c r="X129" s="12">
        <f t="shared" ca="1" si="16"/>
        <v>-0.12511932083595656</v>
      </c>
      <c r="Y129" s="12">
        <f t="shared" ca="1" si="16"/>
        <v>-0.13469118965774918</v>
      </c>
      <c r="Z129" s="12">
        <f t="shared" ca="1" si="16"/>
        <v>-5.366748860117676E-3</v>
      </c>
    </row>
    <row r="130" spans="1:26">
      <c r="A130" s="13">
        <v>127</v>
      </c>
      <c r="B130" s="11">
        <v>45077</v>
      </c>
      <c r="C130" s="12">
        <v>4.191833333333333E-3</v>
      </c>
      <c r="D130" s="12">
        <v>-3.4479770869045856E-3</v>
      </c>
      <c r="E130" s="12">
        <v>-3.2227731683034389E-3</v>
      </c>
      <c r="F130" s="12">
        <v>-1.7737598295631818E-3</v>
      </c>
      <c r="G130" s="12">
        <v>-1.2280652613657628E-2</v>
      </c>
      <c r="H130" s="12">
        <v>-5.1693738650140375E-3</v>
      </c>
      <c r="I130" s="12">
        <v>-1.3282449996727785E-2</v>
      </c>
      <c r="J130" s="12">
        <v>2.4823239348792381E-3</v>
      </c>
      <c r="K130" s="12">
        <v>-1.247209909976621E-2</v>
      </c>
      <c r="L130" s="12">
        <v>-1.370351758793964E-2</v>
      </c>
      <c r="M130" s="13">
        <v>127</v>
      </c>
      <c r="N130" s="15">
        <f t="shared" ca="1" si="9"/>
        <v>41</v>
      </c>
      <c r="O130" s="13">
        <v>127</v>
      </c>
      <c r="P130" s="19">
        <f t="shared" ca="1" si="10"/>
        <v>42460</v>
      </c>
      <c r="Q130" s="12">
        <f t="shared" ca="1" si="16"/>
        <v>2.6283333333333334E-4</v>
      </c>
      <c r="R130" s="12">
        <f t="shared" ca="1" si="16"/>
        <v>1.7450488010437581E-3</v>
      </c>
      <c r="S130" s="12">
        <f t="shared" ca="1" si="16"/>
        <v>2.0434531973680947E-3</v>
      </c>
      <c r="T130" s="12">
        <f t="shared" ca="1" si="16"/>
        <v>8.4586985427637096E-3</v>
      </c>
      <c r="U130" s="12">
        <f t="shared" ca="1" si="16"/>
        <v>1.3902308915594297E-3</v>
      </c>
      <c r="V130" s="12">
        <f t="shared" ca="1" si="16"/>
        <v>2.4232475161714007E-3</v>
      </c>
      <c r="W130" s="12">
        <f t="shared" ca="1" si="16"/>
        <v>2.7141723803574269E-2</v>
      </c>
      <c r="X130" s="12">
        <f t="shared" ca="1" si="16"/>
        <v>6.5991108718941094E-2</v>
      </c>
      <c r="Y130" s="12">
        <f t="shared" ca="1" si="16"/>
        <v>6.5248162774614205E-2</v>
      </c>
      <c r="Z130" s="12">
        <f t="shared" ca="1" si="16"/>
        <v>-4.7793197542526089E-3</v>
      </c>
    </row>
    <row r="131" spans="1:26">
      <c r="A131" s="13">
        <v>128</v>
      </c>
      <c r="B131" s="11">
        <v>45107</v>
      </c>
      <c r="C131" s="12">
        <v>4.4903333333333332E-3</v>
      </c>
      <c r="D131" s="12">
        <v>-4.8445195255588658E-3</v>
      </c>
      <c r="E131" s="12">
        <v>-1.3030179964843569E-3</v>
      </c>
      <c r="F131" s="12">
        <v>-1.368606954410323E-3</v>
      </c>
      <c r="G131" s="12">
        <v>-7.2523719399045783E-3</v>
      </c>
      <c r="H131" s="12">
        <v>-2.996004695004828E-3</v>
      </c>
      <c r="I131" s="12">
        <v>2.8447957469166507E-3</v>
      </c>
      <c r="J131" s="12">
        <v>6.4727512841431301E-2</v>
      </c>
      <c r="K131" s="12">
        <v>5.9330990944668205E-2</v>
      </c>
      <c r="L131" s="12">
        <v>-2.2101868316069972E-2</v>
      </c>
      <c r="M131" s="13">
        <v>128</v>
      </c>
      <c r="N131" s="15">
        <f t="shared" ca="1" si="9"/>
        <v>115</v>
      </c>
      <c r="O131" s="13">
        <v>128</v>
      </c>
      <c r="P131" s="19">
        <f t="shared" ca="1" si="10"/>
        <v>44712</v>
      </c>
      <c r="Q131" s="12">
        <f t="shared" ca="1" si="16"/>
        <v>6.8574999999999994E-4</v>
      </c>
      <c r="R131" s="12">
        <f t="shared" ca="1" si="16"/>
        <v>5.530063898964821E-3</v>
      </c>
      <c r="S131" s="12">
        <f t="shared" ca="1" si="16"/>
        <v>4.8060826889988473E-3</v>
      </c>
      <c r="T131" s="12">
        <f t="shared" ca="1" si="16"/>
        <v>5.7730161036764205E-3</v>
      </c>
      <c r="U131" s="12">
        <f t="shared" ca="1" si="16"/>
        <v>6.2212665030525471E-4</v>
      </c>
      <c r="V131" s="12">
        <f t="shared" ca="1" si="16"/>
        <v>3.571800989249363E-3</v>
      </c>
      <c r="W131" s="12">
        <f t="shared" ca="1" si="16"/>
        <v>5.3524782687703887E-3</v>
      </c>
      <c r="X131" s="12">
        <f t="shared" ca="1" si="16"/>
        <v>5.3243883608722342E-5</v>
      </c>
      <c r="Y131" s="12">
        <f t="shared" ca="1" si="16"/>
        <v>-1.6490080912282545E-3</v>
      </c>
      <c r="Z131" s="12">
        <f t="shared" ca="1" si="16"/>
        <v>-3.1408644493998272E-2</v>
      </c>
    </row>
    <row r="132" spans="1:26">
      <c r="A132" s="13">
        <v>129</v>
      </c>
      <c r="B132" s="11">
        <v>45138</v>
      </c>
      <c r="C132" s="12">
        <v>4.4029999999999998E-3</v>
      </c>
      <c r="D132" s="12">
        <v>3.5600351757603121E-3</v>
      </c>
      <c r="E132" s="12">
        <v>3.4279797877487805E-3</v>
      </c>
      <c r="F132" s="12">
        <v>6.7704229871852206E-3</v>
      </c>
      <c r="G132" s="12">
        <v>-3.9619306898106554E-3</v>
      </c>
      <c r="H132" s="12">
        <v>2.6690047401789485E-4</v>
      </c>
      <c r="I132" s="12">
        <v>4.3345170855186854E-3</v>
      </c>
      <c r="J132" s="12">
        <v>3.1138913980379268E-2</v>
      </c>
      <c r="K132" s="12">
        <v>3.2891543522813205E-2</v>
      </c>
      <c r="L132" s="12">
        <v>2.3830984447859915E-2</v>
      </c>
      <c r="M132" s="13">
        <v>129</v>
      </c>
      <c r="N132" s="15">
        <f t="shared" ref="N132:N195" ca="1" si="17">RANDBETWEEN(1,numobs)</f>
        <v>105</v>
      </c>
      <c r="O132" s="13">
        <v>129</v>
      </c>
      <c r="P132" s="19">
        <f t="shared" ref="P132:P195" ca="1" si="18">INDEX(histdates,N132,1)</f>
        <v>44407</v>
      </c>
      <c r="Q132" s="12">
        <f t="shared" ca="1" si="16"/>
        <v>3.3833333333333334E-5</v>
      </c>
      <c r="R132" s="12">
        <f t="shared" ca="1" si="16"/>
        <v>1.6626477447918564E-3</v>
      </c>
      <c r="S132" s="12">
        <f t="shared" ca="1" si="16"/>
        <v>1.647780086191597E-3</v>
      </c>
      <c r="T132" s="12">
        <f t="shared" ca="1" si="16"/>
        <v>1.6872030917995939E-3</v>
      </c>
      <c r="U132" s="12">
        <f t="shared" ca="1" si="16"/>
        <v>1.3395155145788706E-2</v>
      </c>
      <c r="V132" s="12">
        <f t="shared" ca="1" si="16"/>
        <v>7.0237893228504156E-3</v>
      </c>
      <c r="W132" s="12">
        <f t="shared" ca="1" si="16"/>
        <v>1.2096097926917571E-2</v>
      </c>
      <c r="X132" s="12">
        <f t="shared" ca="1" si="16"/>
        <v>2.274810936591054E-2</v>
      </c>
      <c r="Y132" s="12">
        <f t="shared" ca="1" si="16"/>
        <v>1.7240979308836168E-2</v>
      </c>
      <c r="Z132" s="12">
        <f t="shared" ca="1" si="16"/>
        <v>2.4902407195033227E-2</v>
      </c>
    </row>
    <row r="133" spans="1:26">
      <c r="A133" s="13">
        <v>130</v>
      </c>
      <c r="B133" s="11">
        <v>45169</v>
      </c>
      <c r="C133" s="12">
        <v>4.5000833333333334E-3</v>
      </c>
      <c r="D133" s="12">
        <v>3.9273692971986129E-3</v>
      </c>
      <c r="E133" s="12">
        <v>3.9583557645146428E-3</v>
      </c>
      <c r="F133" s="12">
        <v>3.0283320281572212E-3</v>
      </c>
      <c r="G133" s="12">
        <v>-5.8212682970623097E-3</v>
      </c>
      <c r="H133" s="12">
        <v>1.6821017779320435E-3</v>
      </c>
      <c r="I133" s="12">
        <v>-6.8291158690111375E-3</v>
      </c>
      <c r="J133" s="12">
        <v>-1.771643248143373E-2</v>
      </c>
      <c r="K133" s="12">
        <v>-2.5545801651274402E-2</v>
      </c>
      <c r="L133" s="12">
        <v>-1.2671175366013698E-2</v>
      </c>
      <c r="M133" s="13">
        <v>130</v>
      </c>
      <c r="N133" s="15">
        <f t="shared" ca="1" si="17"/>
        <v>95</v>
      </c>
      <c r="O133" s="13">
        <v>130</v>
      </c>
      <c r="P133" s="19">
        <f t="shared" ca="1" si="18"/>
        <v>44104</v>
      </c>
      <c r="Q133" s="12">
        <f t="shared" ca="1" si="16"/>
        <v>7.8166666666666665E-5</v>
      </c>
      <c r="R133" s="12">
        <f t="shared" ca="1" si="16"/>
        <v>2.7037860119394352E-4</v>
      </c>
      <c r="S133" s="12">
        <f t="shared" ca="1" si="16"/>
        <v>3.0931903851394438E-4</v>
      </c>
      <c r="T133" s="12">
        <f t="shared" ca="1" si="16"/>
        <v>-1.1885340045969528E-4</v>
      </c>
      <c r="U133" s="12">
        <f t="shared" ca="1" si="16"/>
        <v>1.8500889599100123E-3</v>
      </c>
      <c r="V133" s="12">
        <f t="shared" ca="1" si="16"/>
        <v>1.6540901537707153E-3</v>
      </c>
      <c r="W133" s="12">
        <f t="shared" ca="1" si="16"/>
        <v>-2.6417169576633537E-3</v>
      </c>
      <c r="X133" s="12">
        <f t="shared" ca="1" si="16"/>
        <v>-3.9227954095494399E-2</v>
      </c>
      <c r="Y133" s="12">
        <f t="shared" ca="1" si="16"/>
        <v>-3.5935508305810271E-2</v>
      </c>
      <c r="Z133" s="12">
        <f t="shared" ca="1" si="16"/>
        <v>-4.1660737879865906E-2</v>
      </c>
    </row>
    <row r="134" spans="1:26">
      <c r="A134" s="13">
        <v>131</v>
      </c>
      <c r="B134" s="11">
        <v>45198</v>
      </c>
      <c r="C134" s="12">
        <v>4.5294999999999997E-3</v>
      </c>
      <c r="D134" s="12">
        <v>-8.7527777912765892E-5</v>
      </c>
      <c r="E134" s="12">
        <v>7.3954471452686299E-4</v>
      </c>
      <c r="F134" s="12">
        <v>-6.7481426476689865E-4</v>
      </c>
      <c r="G134" s="12">
        <v>-2.3814615369661118E-2</v>
      </c>
      <c r="H134" s="12">
        <v>-7.8838704615544763E-3</v>
      </c>
      <c r="I134" s="12">
        <v>-2.4496905181951245E-2</v>
      </c>
      <c r="J134" s="12">
        <v>-4.871929116215501E-2</v>
      </c>
      <c r="K134" s="12">
        <v>-4.4467217232302625E-2</v>
      </c>
      <c r="L134" s="12">
        <v>-4.7191254464768906E-2</v>
      </c>
      <c r="M134" s="13">
        <v>131</v>
      </c>
      <c r="N134" s="15">
        <f t="shared" ca="1" si="17"/>
        <v>97</v>
      </c>
      <c r="O134" s="13">
        <v>131</v>
      </c>
      <c r="P134" s="19">
        <f t="shared" ca="1" si="18"/>
        <v>44165</v>
      </c>
      <c r="Q134" s="12">
        <f t="shared" ref="Q134:Z143" ca="1" si="19">INDEX(histrets,$N134,Q$1)</f>
        <v>7.2000000000000002E-5</v>
      </c>
      <c r="R134" s="12">
        <f t="shared" ca="1" si="19"/>
        <v>4.6018745918008364E-4</v>
      </c>
      <c r="S134" s="12">
        <f t="shared" ca="1" si="19"/>
        <v>5.1200326748523928E-4</v>
      </c>
      <c r="T134" s="12">
        <f t="shared" ca="1" si="19"/>
        <v>3.404200074170971E-3</v>
      </c>
      <c r="U134" s="12">
        <f t="shared" ca="1" si="19"/>
        <v>3.8089454052951943E-3</v>
      </c>
      <c r="V134" s="12">
        <f t="shared" ca="1" si="19"/>
        <v>2.67018622641646E-3</v>
      </c>
      <c r="W134" s="12">
        <f t="shared" ca="1" si="19"/>
        <v>2.6657871609712336E-2</v>
      </c>
      <c r="X134" s="12">
        <f t="shared" ca="1" si="19"/>
        <v>0.10754565805086314</v>
      </c>
      <c r="Y134" s="12">
        <f t="shared" ca="1" si="19"/>
        <v>0.1265673177986244</v>
      </c>
      <c r="Z134" s="12">
        <f t="shared" ca="1" si="19"/>
        <v>-5.4215168111730216E-2</v>
      </c>
    </row>
    <row r="135" spans="1:26">
      <c r="M135" s="13">
        <v>132</v>
      </c>
      <c r="N135" s="15">
        <f t="shared" ca="1" si="17"/>
        <v>53</v>
      </c>
      <c r="O135" s="13">
        <v>132</v>
      </c>
      <c r="P135" s="19">
        <f t="shared" ca="1" si="18"/>
        <v>42825</v>
      </c>
      <c r="Q135" s="12">
        <f t="shared" ca="1" si="19"/>
        <v>5.0349999999999993E-4</v>
      </c>
      <c r="R135" s="12">
        <f t="shared" ca="1" si="19"/>
        <v>3.210493334364628E-4</v>
      </c>
      <c r="S135" s="12">
        <f t="shared" ca="1" si="19"/>
        <v>4.2376566391277848E-4</v>
      </c>
      <c r="T135" s="12">
        <f t="shared" ca="1" si="19"/>
        <v>7.8579211313489772E-4</v>
      </c>
      <c r="U135" s="12">
        <f t="shared" ca="1" si="19"/>
        <v>-5.8683501589096299E-4</v>
      </c>
      <c r="V135" s="12">
        <f t="shared" ca="1" si="19"/>
        <v>7.5457879896112523E-4</v>
      </c>
      <c r="W135" s="12">
        <f t="shared" ca="1" si="19"/>
        <v>-1.2306723182694546E-3</v>
      </c>
      <c r="X135" s="12">
        <f t="shared" ca="1" si="19"/>
        <v>-3.8923017041514463E-4</v>
      </c>
      <c r="Y135" s="12">
        <f t="shared" ca="1" si="19"/>
        <v>8.152499048240669E-3</v>
      </c>
      <c r="Z135" s="12">
        <f t="shared" ca="1" si="19"/>
        <v>6.087597321458027E-4</v>
      </c>
    </row>
    <row r="136" spans="1:26">
      <c r="M136" s="13">
        <v>133</v>
      </c>
      <c r="N136" s="15">
        <f t="shared" ca="1" si="17"/>
        <v>12</v>
      </c>
      <c r="O136" s="13">
        <v>133</v>
      </c>
      <c r="P136" s="19">
        <f t="shared" ca="1" si="18"/>
        <v>41578</v>
      </c>
      <c r="Q136" s="12">
        <f t="shared" ca="1" si="19"/>
        <v>4.25E-6</v>
      </c>
      <c r="R136" s="12">
        <f t="shared" ca="1" si="19"/>
        <v>1.0262168533272664E-3</v>
      </c>
      <c r="S136" s="12">
        <f t="shared" ca="1" si="19"/>
        <v>1.6937705168518224E-3</v>
      </c>
      <c r="T136" s="12">
        <f t="shared" ca="1" si="19"/>
        <v>3.8961680711877555E-3</v>
      </c>
      <c r="U136" s="12">
        <f t="shared" ca="1" si="19"/>
        <v>5.4804354642623565E-3</v>
      </c>
      <c r="V136" s="12">
        <f t="shared" ca="1" si="19"/>
        <v>4.7594010612186377E-3</v>
      </c>
      <c r="W136" s="12">
        <f t="shared" ca="1" si="19"/>
        <v>1.4968260558051671E-2</v>
      </c>
      <c r="X136" s="12">
        <f t="shared" ca="1" si="19"/>
        <v>4.4595759864410889E-2</v>
      </c>
      <c r="Y136" s="12">
        <f t="shared" ca="1" si="19"/>
        <v>3.8343687446150909E-2</v>
      </c>
      <c r="Z136" s="12">
        <f t="shared" ca="1" si="19"/>
        <v>-4.4919979232974638E-3</v>
      </c>
    </row>
    <row r="137" spans="1:26">
      <c r="M137" s="13">
        <v>134</v>
      </c>
      <c r="N137" s="15">
        <f t="shared" ca="1" si="17"/>
        <v>69</v>
      </c>
      <c r="O137" s="13">
        <v>134</v>
      </c>
      <c r="P137" s="19">
        <f t="shared" ca="1" si="18"/>
        <v>43312</v>
      </c>
      <c r="Q137" s="12">
        <f t="shared" ca="1" si="19"/>
        <v>1.5935833333333334E-3</v>
      </c>
      <c r="R137" s="12">
        <f t="shared" ca="1" si="19"/>
        <v>-4.6222627003156269E-5</v>
      </c>
      <c r="S137" s="12">
        <f t="shared" ca="1" si="19"/>
        <v>4.2441252268443641E-4</v>
      </c>
      <c r="T137" s="12">
        <f t="shared" ca="1" si="19"/>
        <v>2.3251080399415702E-3</v>
      </c>
      <c r="U137" s="12">
        <f t="shared" ca="1" si="19"/>
        <v>-4.5336258171457811E-3</v>
      </c>
      <c r="V137" s="12">
        <f t="shared" ca="1" si="19"/>
        <v>-1.6762821090071656E-3</v>
      </c>
      <c r="W137" s="12">
        <f t="shared" ca="1" si="19"/>
        <v>7.4082404125315193E-3</v>
      </c>
      <c r="X137" s="12">
        <f t="shared" ca="1" si="19"/>
        <v>3.6021586465418753E-2</v>
      </c>
      <c r="Y137" s="12">
        <f t="shared" ca="1" si="19"/>
        <v>3.0536543339874545E-2</v>
      </c>
      <c r="Z137" s="12">
        <f t="shared" ca="1" si="19"/>
        <v>-2.2712757464473765E-2</v>
      </c>
    </row>
    <row r="138" spans="1:26">
      <c r="M138" s="13">
        <v>135</v>
      </c>
      <c r="N138" s="15">
        <f t="shared" ca="1" si="17"/>
        <v>128</v>
      </c>
      <c r="O138" s="13">
        <v>135</v>
      </c>
      <c r="P138" s="19">
        <f t="shared" ca="1" si="18"/>
        <v>45107</v>
      </c>
      <c r="Q138" s="12">
        <f t="shared" ca="1" si="19"/>
        <v>4.4903333333333332E-3</v>
      </c>
      <c r="R138" s="12">
        <f t="shared" ca="1" si="19"/>
        <v>-4.8445195255588658E-3</v>
      </c>
      <c r="S138" s="12">
        <f t="shared" ca="1" si="19"/>
        <v>-1.3030179964843569E-3</v>
      </c>
      <c r="T138" s="12">
        <f t="shared" ca="1" si="19"/>
        <v>-1.368606954410323E-3</v>
      </c>
      <c r="U138" s="12">
        <f t="shared" ca="1" si="19"/>
        <v>-7.2523719399045783E-3</v>
      </c>
      <c r="V138" s="12">
        <f t="shared" ca="1" si="19"/>
        <v>-2.996004695004828E-3</v>
      </c>
      <c r="W138" s="12">
        <f t="shared" ca="1" si="19"/>
        <v>2.8447957469166507E-3</v>
      </c>
      <c r="X138" s="12">
        <f t="shared" ca="1" si="19"/>
        <v>6.4727512841431301E-2</v>
      </c>
      <c r="Y138" s="12">
        <f t="shared" ca="1" si="19"/>
        <v>5.9330990944668205E-2</v>
      </c>
      <c r="Z138" s="12">
        <f t="shared" ca="1" si="19"/>
        <v>-2.2101868316069972E-2</v>
      </c>
    </row>
    <row r="139" spans="1:26">
      <c r="M139" s="13">
        <v>136</v>
      </c>
      <c r="N139" s="15">
        <f t="shared" ca="1" si="17"/>
        <v>114</v>
      </c>
      <c r="O139" s="13">
        <v>136</v>
      </c>
      <c r="P139" s="19">
        <f t="shared" ca="1" si="18"/>
        <v>44680</v>
      </c>
      <c r="Q139" s="12">
        <f t="shared" ca="1" si="19"/>
        <v>4.0183333333333336E-4</v>
      </c>
      <c r="R139" s="12">
        <f t="shared" ca="1" si="19"/>
        <v>-4.7505397231347724E-3</v>
      </c>
      <c r="S139" s="12">
        <f t="shared" ca="1" si="19"/>
        <v>-5.0721410258810495E-3</v>
      </c>
      <c r="T139" s="12">
        <f t="shared" ca="1" si="19"/>
        <v>-7.2898890697563612E-3</v>
      </c>
      <c r="U139" s="12">
        <f t="shared" ca="1" si="19"/>
        <v>-3.2081456896948302E-2</v>
      </c>
      <c r="V139" s="12">
        <f t="shared" ca="1" si="19"/>
        <v>-1.6836959045835598E-2</v>
      </c>
      <c r="W139" s="12">
        <f t="shared" ca="1" si="19"/>
        <v>-4.9716282037125747E-2</v>
      </c>
      <c r="X139" s="12">
        <f t="shared" ca="1" si="19"/>
        <v>-8.7956719149039353E-2</v>
      </c>
      <c r="Y139" s="12">
        <f t="shared" ca="1" si="19"/>
        <v>-8.4324958156871688E-2</v>
      </c>
      <c r="Z139" s="12">
        <f t="shared" ca="1" si="19"/>
        <v>-2.090903460236182E-2</v>
      </c>
    </row>
    <row r="140" spans="1:26">
      <c r="M140" s="13">
        <v>137</v>
      </c>
      <c r="N140" s="15">
        <f t="shared" ca="1" si="17"/>
        <v>77</v>
      </c>
      <c r="O140" s="13">
        <v>137</v>
      </c>
      <c r="P140" s="19">
        <f t="shared" ca="1" si="18"/>
        <v>43553</v>
      </c>
      <c r="Q140" s="12">
        <f t="shared" ca="1" si="19"/>
        <v>2.0271666666666667E-3</v>
      </c>
      <c r="R140" s="12">
        <f t="shared" ca="1" si="19"/>
        <v>6.1140339599461413E-3</v>
      </c>
      <c r="S140" s="12">
        <f t="shared" ca="1" si="19"/>
        <v>5.6005851058500422E-3</v>
      </c>
      <c r="T140" s="12">
        <f t="shared" ca="1" si="19"/>
        <v>7.8061480891151724E-3</v>
      </c>
      <c r="U140" s="12">
        <f t="shared" ca="1" si="19"/>
        <v>1.9871317951636103E-2</v>
      </c>
      <c r="V140" s="12">
        <f t="shared" ca="1" si="19"/>
        <v>1.4119884433976049E-2</v>
      </c>
      <c r="W140" s="12">
        <f t="shared" ca="1" si="19"/>
        <v>2.4897397534795696E-2</v>
      </c>
      <c r="X140" s="12">
        <f t="shared" ca="1" si="19"/>
        <v>1.7924287751078349E-2</v>
      </c>
      <c r="Y140" s="12">
        <f t="shared" ca="1" si="19"/>
        <v>1.0499367161431294E-2</v>
      </c>
      <c r="Z140" s="12">
        <f t="shared" ca="1" si="19"/>
        <v>-1.5944324307860858E-2</v>
      </c>
    </row>
    <row r="141" spans="1:26">
      <c r="M141" s="13">
        <v>138</v>
      </c>
      <c r="N141" s="15">
        <f t="shared" ca="1" si="17"/>
        <v>63</v>
      </c>
      <c r="O141" s="13">
        <v>138</v>
      </c>
      <c r="P141" s="19">
        <f t="shared" ca="1" si="18"/>
        <v>43131</v>
      </c>
      <c r="Q141" s="12">
        <f t="shared" ca="1" si="19"/>
        <v>1.1464166666666667E-3</v>
      </c>
      <c r="R141" s="12">
        <f t="shared" ca="1" si="19"/>
        <v>-2.8744273635203932E-3</v>
      </c>
      <c r="S141" s="12">
        <f t="shared" ca="1" si="19"/>
        <v>-2.2571798955052236E-3</v>
      </c>
      <c r="T141" s="12">
        <f t="shared" ca="1" si="19"/>
        <v>-1.7389948786749043E-3</v>
      </c>
      <c r="U141" s="12">
        <f t="shared" ca="1" si="19"/>
        <v>-1.3959378934221722E-2</v>
      </c>
      <c r="V141" s="12">
        <f t="shared" ca="1" si="19"/>
        <v>-7.9297322504744416E-3</v>
      </c>
      <c r="W141" s="12">
        <f t="shared" ca="1" si="19"/>
        <v>-9.2413589736451973E-3</v>
      </c>
      <c r="X141" s="12">
        <f t="shared" ca="1" si="19"/>
        <v>5.6178724645703726E-2</v>
      </c>
      <c r="Y141" s="12">
        <f t="shared" ca="1" si="19"/>
        <v>5.2195203118685862E-2</v>
      </c>
      <c r="Z141" s="12">
        <f t="shared" ca="1" si="19"/>
        <v>3.2499232422474877E-2</v>
      </c>
    </row>
    <row r="142" spans="1:26">
      <c r="M142" s="13">
        <v>139</v>
      </c>
      <c r="N142" s="15">
        <f t="shared" ca="1" si="17"/>
        <v>74</v>
      </c>
      <c r="O142" s="13">
        <v>139</v>
      </c>
      <c r="P142" s="19">
        <f t="shared" ca="1" si="18"/>
        <v>43465</v>
      </c>
      <c r="Q142" s="12">
        <f t="shared" ca="1" si="19"/>
        <v>1.952E-3</v>
      </c>
      <c r="R142" s="12">
        <f t="shared" ca="1" si="19"/>
        <v>7.896311710921422E-3</v>
      </c>
      <c r="S142" s="12">
        <f t="shared" ca="1" si="19"/>
        <v>7.5697447228533221E-3</v>
      </c>
      <c r="T142" s="12">
        <f t="shared" ca="1" si="19"/>
        <v>6.9781620857483073E-3</v>
      </c>
      <c r="U142" s="12">
        <f t="shared" ca="1" si="19"/>
        <v>2.219667593196295E-2</v>
      </c>
      <c r="V142" s="12">
        <f t="shared" ca="1" si="19"/>
        <v>1.4366555259428315E-2</v>
      </c>
      <c r="W142" s="12">
        <f t="shared" ca="1" si="19"/>
        <v>1.5011129069729678E-2</v>
      </c>
      <c r="X142" s="12">
        <f t="shared" ca="1" si="19"/>
        <v>-9.1776955767217339E-2</v>
      </c>
      <c r="Y142" s="12">
        <f t="shared" ca="1" si="19"/>
        <v>-7.7134851275620031E-2</v>
      </c>
      <c r="Z142" s="12">
        <f t="shared" ca="1" si="19"/>
        <v>5.0773440828499439E-2</v>
      </c>
    </row>
    <row r="143" spans="1:26">
      <c r="M143" s="13">
        <v>140</v>
      </c>
      <c r="N143" s="15">
        <f t="shared" ca="1" si="17"/>
        <v>11</v>
      </c>
      <c r="O143" s="13">
        <v>140</v>
      </c>
      <c r="P143" s="19">
        <f t="shared" ca="1" si="18"/>
        <v>41547</v>
      </c>
      <c r="Q143" s="12">
        <f t="shared" ca="1" si="19"/>
        <v>1.6916666666666667E-5</v>
      </c>
      <c r="R143" s="12">
        <f t="shared" ca="1" si="19"/>
        <v>2.2604909853345401E-3</v>
      </c>
      <c r="S143" s="12">
        <f t="shared" ca="1" si="19"/>
        <v>2.0409077397314235E-3</v>
      </c>
      <c r="T143" s="12">
        <f t="shared" ca="1" si="19"/>
        <v>4.0480627945882475E-3</v>
      </c>
      <c r="U143" s="12">
        <f t="shared" ca="1" si="19"/>
        <v>7.6369728708005624E-3</v>
      </c>
      <c r="V143" s="12">
        <f t="shared" ca="1" si="19"/>
        <v>6.3216309372344792E-3</v>
      </c>
      <c r="W143" s="12">
        <f t="shared" ca="1" si="19"/>
        <v>8.2365093403367062E-3</v>
      </c>
      <c r="X143" s="12">
        <f t="shared" ca="1" si="19"/>
        <v>2.9749474883188354E-2</v>
      </c>
      <c r="Y143" s="12">
        <f t="shared" ca="1" si="19"/>
        <v>4.816192946480724E-2</v>
      </c>
      <c r="Z143" s="12">
        <f t="shared" ca="1" si="19"/>
        <v>-4.7474682319551098E-2</v>
      </c>
    </row>
    <row r="144" spans="1:26">
      <c r="M144" s="13">
        <v>141</v>
      </c>
      <c r="N144" s="15">
        <f t="shared" ca="1" si="17"/>
        <v>1</v>
      </c>
      <c r="O144" s="13">
        <v>141</v>
      </c>
      <c r="P144" s="19">
        <f t="shared" ca="1" si="18"/>
        <v>41243</v>
      </c>
      <c r="Q144" s="12">
        <f t="shared" ref="Q144:Z153" ca="1" si="20">INDEX(histrets,$N144,Q$1)</f>
        <v>8.8750000000000002E-5</v>
      </c>
      <c r="R144" s="12">
        <f t="shared" ca="1" si="20"/>
        <v>8.9025510352636061E-4</v>
      </c>
      <c r="S144" s="12">
        <f t="shared" ca="1" si="20"/>
        <v>7.4010668307344929E-4</v>
      </c>
      <c r="T144" s="12">
        <f t="shared" ca="1" si="20"/>
        <v>8.6192379333893676E-4</v>
      </c>
      <c r="U144" s="12">
        <f t="shared" ca="1" si="20"/>
        <v>5.7531373731054547E-3</v>
      </c>
      <c r="V144" s="12">
        <f t="shared" ca="1" si="20"/>
        <v>3.7147171217664088E-3</v>
      </c>
      <c r="W144" s="12">
        <f t="shared" ca="1" si="20"/>
        <v>-8.2135255640869431E-4</v>
      </c>
      <c r="X144" s="12">
        <f t="shared" ca="1" si="20"/>
        <v>2.8467029231815655E-3</v>
      </c>
      <c r="Y144" s="12">
        <f t="shared" ca="1" si="20"/>
        <v>1.0733603786342139E-2</v>
      </c>
      <c r="Z144" s="12">
        <f t="shared" ca="1" si="20"/>
        <v>-3.2952663237730828E-3</v>
      </c>
    </row>
    <row r="145" spans="13:26">
      <c r="M145" s="13">
        <v>142</v>
      </c>
      <c r="N145" s="15">
        <f t="shared" ca="1" si="17"/>
        <v>28</v>
      </c>
      <c r="O145" s="13">
        <v>142</v>
      </c>
      <c r="P145" s="19">
        <f t="shared" ca="1" si="18"/>
        <v>42062</v>
      </c>
      <c r="Q145" s="12">
        <f t="shared" ca="1" si="20"/>
        <v>0</v>
      </c>
      <c r="R145" s="12">
        <f t="shared" ca="1" si="20"/>
        <v>-2.1577567665429509E-3</v>
      </c>
      <c r="S145" s="12">
        <f t="shared" ca="1" si="20"/>
        <v>-1.442941258093966E-3</v>
      </c>
      <c r="T145" s="12">
        <f t="shared" ca="1" si="20"/>
        <v>9.4403804380460699E-4</v>
      </c>
      <c r="U145" s="12">
        <f t="shared" ca="1" si="20"/>
        <v>-1.7481816683666107E-2</v>
      </c>
      <c r="V145" s="12">
        <f t="shared" ca="1" si="20"/>
        <v>-8.9278151648537474E-3</v>
      </c>
      <c r="W145" s="12">
        <f t="shared" ca="1" si="20"/>
        <v>-8.3607142066883799E-3</v>
      </c>
      <c r="X145" s="12">
        <f t="shared" ca="1" si="20"/>
        <v>5.4892505726845675E-2</v>
      </c>
      <c r="Y145" s="12">
        <f t="shared" ca="1" si="20"/>
        <v>5.6821297852808206E-2</v>
      </c>
      <c r="Z145" s="12">
        <f t="shared" ca="1" si="20"/>
        <v>-5.5001207362574744E-2</v>
      </c>
    </row>
    <row r="146" spans="13:26">
      <c r="M146" s="13">
        <v>143</v>
      </c>
      <c r="N146" s="15">
        <f t="shared" ca="1" si="17"/>
        <v>130</v>
      </c>
      <c r="O146" s="13">
        <v>143</v>
      </c>
      <c r="P146" s="19">
        <f t="shared" ca="1" si="18"/>
        <v>45169</v>
      </c>
      <c r="Q146" s="12">
        <f t="shared" ca="1" si="20"/>
        <v>4.5000833333333334E-3</v>
      </c>
      <c r="R146" s="12">
        <f t="shared" ca="1" si="20"/>
        <v>3.9273692971986129E-3</v>
      </c>
      <c r="S146" s="12">
        <f t="shared" ca="1" si="20"/>
        <v>3.9583557645146428E-3</v>
      </c>
      <c r="T146" s="12">
        <f t="shared" ca="1" si="20"/>
        <v>3.0283320281572212E-3</v>
      </c>
      <c r="U146" s="12">
        <f t="shared" ca="1" si="20"/>
        <v>-5.8212682970623097E-3</v>
      </c>
      <c r="V146" s="12">
        <f t="shared" ca="1" si="20"/>
        <v>1.6821017779320435E-3</v>
      </c>
      <c r="W146" s="12">
        <f t="shared" ca="1" si="20"/>
        <v>-6.8291158690111375E-3</v>
      </c>
      <c r="X146" s="12">
        <f t="shared" ca="1" si="20"/>
        <v>-1.771643248143373E-2</v>
      </c>
      <c r="Y146" s="12">
        <f t="shared" ca="1" si="20"/>
        <v>-2.5545801651274402E-2</v>
      </c>
      <c r="Z146" s="12">
        <f t="shared" ca="1" si="20"/>
        <v>-1.2671175366013698E-2</v>
      </c>
    </row>
    <row r="147" spans="13:26">
      <c r="M147" s="13">
        <v>144</v>
      </c>
      <c r="N147" s="15">
        <f t="shared" ca="1" si="17"/>
        <v>79</v>
      </c>
      <c r="O147" s="13">
        <v>144</v>
      </c>
      <c r="P147" s="19">
        <f t="shared" ca="1" si="18"/>
        <v>43616</v>
      </c>
      <c r="Q147" s="12">
        <f t="shared" ca="1" si="20"/>
        <v>2.0082500000000001E-3</v>
      </c>
      <c r="R147" s="12">
        <f t="shared" ca="1" si="20"/>
        <v>7.0972646150306851E-3</v>
      </c>
      <c r="S147" s="12">
        <f t="shared" ca="1" si="20"/>
        <v>6.6454558664943431E-3</v>
      </c>
      <c r="T147" s="12">
        <f t="shared" ca="1" si="20"/>
        <v>5.5851148528454075E-3</v>
      </c>
      <c r="U147" s="12">
        <f t="shared" ca="1" si="20"/>
        <v>2.4430574842440933E-2</v>
      </c>
      <c r="V147" s="12">
        <f t="shared" ca="1" si="20"/>
        <v>1.5931915178023504E-2</v>
      </c>
      <c r="W147" s="12">
        <f t="shared" ca="1" si="20"/>
        <v>1.4346665352576782E-2</v>
      </c>
      <c r="X147" s="12">
        <f t="shared" ca="1" si="20"/>
        <v>-6.5777726481161536E-2</v>
      </c>
      <c r="Y147" s="12">
        <f t="shared" ca="1" si="20"/>
        <v>-6.0780200764686709E-2</v>
      </c>
      <c r="Z147" s="12">
        <f t="shared" ca="1" si="20"/>
        <v>1.7179185527412599E-2</v>
      </c>
    </row>
    <row r="148" spans="13:26">
      <c r="M148" s="13">
        <v>145</v>
      </c>
      <c r="N148" s="15">
        <f t="shared" ca="1" si="17"/>
        <v>92</v>
      </c>
      <c r="O148" s="13">
        <v>145</v>
      </c>
      <c r="P148" s="19">
        <f t="shared" ca="1" si="18"/>
        <v>44012</v>
      </c>
      <c r="Q148" s="12">
        <f t="shared" ca="1" si="20"/>
        <v>1.0383333333333334E-4</v>
      </c>
      <c r="R148" s="12">
        <f t="shared" ca="1" si="20"/>
        <v>2.5720205318457978E-4</v>
      </c>
      <c r="S148" s="12">
        <f t="shared" ca="1" si="20"/>
        <v>3.4943001969378606E-4</v>
      </c>
      <c r="T148" s="12">
        <f t="shared" ca="1" si="20"/>
        <v>8.0694229120292782E-3</v>
      </c>
      <c r="U148" s="12">
        <f t="shared" ca="1" si="20"/>
        <v>1.0868782264197296E-3</v>
      </c>
      <c r="V148" s="12">
        <f t="shared" ca="1" si="20"/>
        <v>2.0532032618281182E-3</v>
      </c>
      <c r="W148" s="12">
        <f t="shared" ca="1" si="20"/>
        <v>2.0152707876929243E-2</v>
      </c>
      <c r="X148" s="12">
        <f t="shared" ca="1" si="20"/>
        <v>1.8388403283502663E-2</v>
      </c>
      <c r="Y148" s="12">
        <f t="shared" ca="1" si="20"/>
        <v>2.5099167551259738E-2</v>
      </c>
      <c r="Z148" s="12">
        <f t="shared" ca="1" si="20"/>
        <v>2.9296005825680371E-2</v>
      </c>
    </row>
    <row r="149" spans="13:26">
      <c r="M149" s="13">
        <v>146</v>
      </c>
      <c r="N149" s="15">
        <f t="shared" ca="1" si="17"/>
        <v>82</v>
      </c>
      <c r="O149" s="13">
        <v>146</v>
      </c>
      <c r="P149" s="19">
        <f t="shared" ca="1" si="18"/>
        <v>43707</v>
      </c>
      <c r="Q149" s="12">
        <f t="shared" ca="1" si="20"/>
        <v>1.7179999999999999E-3</v>
      </c>
      <c r="R149" s="12">
        <f t="shared" ca="1" si="20"/>
        <v>8.0651942026881418E-3</v>
      </c>
      <c r="S149" s="12">
        <f t="shared" ca="1" si="20"/>
        <v>7.2430967663801304E-3</v>
      </c>
      <c r="T149" s="12">
        <f t="shared" ca="1" si="20"/>
        <v>7.590990648397522E-3</v>
      </c>
      <c r="U149" s="12">
        <f t="shared" ca="1" si="20"/>
        <v>3.5535343864688151E-2</v>
      </c>
      <c r="V149" s="12">
        <f t="shared" ca="1" si="20"/>
        <v>2.2414536061881041E-2</v>
      </c>
      <c r="W149" s="12">
        <f t="shared" ca="1" si="20"/>
        <v>3.0361290462434187E-2</v>
      </c>
      <c r="X149" s="12">
        <f t="shared" ca="1" si="20"/>
        <v>-1.8091652742267761E-2</v>
      </c>
      <c r="Y149" s="12">
        <f t="shared" ca="1" si="20"/>
        <v>-2.2417670829600111E-2</v>
      </c>
      <c r="Z149" s="12">
        <f t="shared" ca="1" si="20"/>
        <v>7.5400698835745406E-2</v>
      </c>
    </row>
    <row r="150" spans="13:26">
      <c r="M150" s="13">
        <v>147</v>
      </c>
      <c r="N150" s="15">
        <f t="shared" ca="1" si="17"/>
        <v>46</v>
      </c>
      <c r="O150" s="13">
        <v>147</v>
      </c>
      <c r="P150" s="19">
        <f t="shared" ca="1" si="18"/>
        <v>42613</v>
      </c>
      <c r="Q150" s="12">
        <f t="shared" ca="1" si="20"/>
        <v>2.1133333333333334E-4</v>
      </c>
      <c r="R150" s="12">
        <f t="shared" ca="1" si="20"/>
        <v>-1.6602050811351798E-3</v>
      </c>
      <c r="S150" s="12">
        <f t="shared" ca="1" si="20"/>
        <v>-8.8058716350547517E-4</v>
      </c>
      <c r="T150" s="12">
        <f t="shared" ca="1" si="20"/>
        <v>3.1979744558774392E-4</v>
      </c>
      <c r="U150" s="12">
        <f t="shared" ca="1" si="20"/>
        <v>-5.7267215803793459E-3</v>
      </c>
      <c r="V150" s="12">
        <f t="shared" ca="1" si="20"/>
        <v>-1.9741681522077448E-3</v>
      </c>
      <c r="W150" s="12">
        <f t="shared" ca="1" si="20"/>
        <v>2.7415164014816806E-3</v>
      </c>
      <c r="X150" s="12">
        <f t="shared" ca="1" si="20"/>
        <v>-1.2191755612808164E-3</v>
      </c>
      <c r="Y150" s="12">
        <f t="shared" ca="1" si="20"/>
        <v>-1.3183953908432189E-3</v>
      </c>
      <c r="Z150" s="12">
        <f t="shared" ca="1" si="20"/>
        <v>-3.1311053223610164E-2</v>
      </c>
    </row>
    <row r="151" spans="13:26">
      <c r="M151" s="13">
        <v>148</v>
      </c>
      <c r="N151" s="15">
        <f t="shared" ca="1" si="17"/>
        <v>100</v>
      </c>
      <c r="O151" s="13">
        <v>148</v>
      </c>
      <c r="P151" s="19">
        <f t="shared" ca="1" si="18"/>
        <v>44253</v>
      </c>
      <c r="Q151" s="12">
        <f t="shared" ca="1" si="20"/>
        <v>4.0166666666666669E-5</v>
      </c>
      <c r="R151" s="12">
        <f t="shared" ca="1" si="20"/>
        <v>-8.032788309566552E-4</v>
      </c>
      <c r="S151" s="12">
        <f t="shared" ca="1" si="20"/>
        <v>-6.6979138910350233E-4</v>
      </c>
      <c r="T151" s="12">
        <f t="shared" ca="1" si="20"/>
        <v>3.9661953240144321E-4</v>
      </c>
      <c r="U151" s="12">
        <f t="shared" ca="1" si="20"/>
        <v>-2.2862166673725981E-2</v>
      </c>
      <c r="V151" s="12">
        <f t="shared" ca="1" si="20"/>
        <v>-9.3254001979963252E-3</v>
      </c>
      <c r="W151" s="12">
        <f t="shared" ca="1" si="20"/>
        <v>-1.9555030410549623E-2</v>
      </c>
      <c r="X151" s="12">
        <f t="shared" ca="1" si="20"/>
        <v>2.6091474971999817E-2</v>
      </c>
      <c r="Y151" s="12">
        <f t="shared" ca="1" si="20"/>
        <v>2.4503229151403794E-2</v>
      </c>
      <c r="Z151" s="12">
        <f t="shared" ca="1" si="20"/>
        <v>-6.1488918355749211E-2</v>
      </c>
    </row>
    <row r="152" spans="13:26">
      <c r="M152" s="13">
        <v>149</v>
      </c>
      <c r="N152" s="15">
        <f t="shared" ca="1" si="17"/>
        <v>26</v>
      </c>
      <c r="O152" s="13">
        <v>149</v>
      </c>
      <c r="P152" s="19">
        <f t="shared" ca="1" si="18"/>
        <v>42004</v>
      </c>
      <c r="Q152" s="12">
        <f t="shared" ca="1" si="20"/>
        <v>8.4166666666666668E-6</v>
      </c>
      <c r="R152" s="12">
        <f t="shared" ca="1" si="20"/>
        <v>-2.4358542422430185E-3</v>
      </c>
      <c r="S152" s="12">
        <f t="shared" ca="1" si="20"/>
        <v>-1.9464407079575752E-3</v>
      </c>
      <c r="T152" s="12">
        <f t="shared" ca="1" si="20"/>
        <v>-3.8821468979093332E-3</v>
      </c>
      <c r="U152" s="12">
        <f t="shared" ca="1" si="20"/>
        <v>2.5858855279670134E-3</v>
      </c>
      <c r="V152" s="12">
        <f t="shared" ca="1" si="20"/>
        <v>6.1162377075785201E-4</v>
      </c>
      <c r="W152" s="12">
        <f t="shared" ca="1" si="20"/>
        <v>-1.4009665553383899E-3</v>
      </c>
      <c r="X152" s="12">
        <f t="shared" ca="1" si="20"/>
        <v>-4.1885120625277938E-3</v>
      </c>
      <c r="Y152" s="12">
        <f t="shared" ca="1" si="20"/>
        <v>-1.7148605921241677E-2</v>
      </c>
      <c r="Z152" s="12">
        <f t="shared" ca="1" si="20"/>
        <v>1.4553958436841263E-2</v>
      </c>
    </row>
    <row r="153" spans="13:26">
      <c r="M153" s="13">
        <v>150</v>
      </c>
      <c r="N153" s="15">
        <f t="shared" ca="1" si="17"/>
        <v>5</v>
      </c>
      <c r="O153" s="13">
        <v>150</v>
      </c>
      <c r="P153" s="19">
        <f t="shared" ca="1" si="18"/>
        <v>41362</v>
      </c>
      <c r="Q153" s="12">
        <f t="shared" ca="1" si="20"/>
        <v>8.4500000000000008E-5</v>
      </c>
      <c r="R153" s="12">
        <f t="shared" ca="1" si="20"/>
        <v>2.3418729525115367E-4</v>
      </c>
      <c r="S153" s="12">
        <f t="shared" ca="1" si="20"/>
        <v>4.8135581072217271E-4</v>
      </c>
      <c r="T153" s="12">
        <f t="shared" ca="1" si="20"/>
        <v>1.2732568826077095E-3</v>
      </c>
      <c r="U153" s="12">
        <f t="shared" ca="1" si="20"/>
        <v>1.0737913451743797E-3</v>
      </c>
      <c r="V153" s="12">
        <f t="shared" ca="1" si="20"/>
        <v>7.7880569401389543E-4</v>
      </c>
      <c r="W153" s="12">
        <f t="shared" ca="1" si="20"/>
        <v>6.6103676205497841E-4</v>
      </c>
      <c r="X153" s="12">
        <f t="shared" ca="1" si="20"/>
        <v>3.5987799403174314E-2</v>
      </c>
      <c r="Y153" s="12">
        <f t="shared" ca="1" si="20"/>
        <v>2.0872770748231462E-2</v>
      </c>
      <c r="Z153" s="12">
        <f t="shared" ca="1" si="20"/>
        <v>1.1325580364773602E-2</v>
      </c>
    </row>
    <row r="154" spans="13:26">
      <c r="M154" s="13">
        <v>151</v>
      </c>
      <c r="N154" s="15">
        <f t="shared" ca="1" si="17"/>
        <v>91</v>
      </c>
      <c r="O154" s="13">
        <v>151</v>
      </c>
      <c r="P154" s="19">
        <f t="shared" ca="1" si="18"/>
        <v>43980</v>
      </c>
      <c r="Q154" s="12">
        <f t="shared" ref="Q154:Z163" ca="1" si="21">INDEX(histrets,$N154,Q$1)</f>
        <v>6.5666666666666659E-5</v>
      </c>
      <c r="R154" s="12">
        <f t="shared" ca="1" si="21"/>
        <v>6.5332407328955178E-4</v>
      </c>
      <c r="S154" s="12">
        <f t="shared" ca="1" si="21"/>
        <v>1.1219188398201574E-3</v>
      </c>
      <c r="T154" s="12">
        <f t="shared" ca="1" si="21"/>
        <v>1.1510566044761195E-2</v>
      </c>
      <c r="U154" s="12">
        <f t="shared" ca="1" si="21"/>
        <v>-3.0809051435478629E-3</v>
      </c>
      <c r="V154" s="12">
        <f t="shared" ca="1" si="21"/>
        <v>1.2924211926443885E-3</v>
      </c>
      <c r="W154" s="12">
        <f t="shared" ca="1" si="21"/>
        <v>1.7481872879328675E-2</v>
      </c>
      <c r="X154" s="12">
        <f t="shared" ca="1" si="21"/>
        <v>4.528177501261843E-2</v>
      </c>
      <c r="Y154" s="12">
        <f t="shared" ca="1" si="21"/>
        <v>4.6291740750663779E-2</v>
      </c>
      <c r="Z154" s="12">
        <f t="shared" ca="1" si="21"/>
        <v>2.5953157426623186E-2</v>
      </c>
    </row>
    <row r="155" spans="13:26">
      <c r="M155" s="13">
        <v>152</v>
      </c>
      <c r="N155" s="15">
        <f t="shared" ca="1" si="17"/>
        <v>111</v>
      </c>
      <c r="O155" s="13">
        <v>152</v>
      </c>
      <c r="P155" s="19">
        <f t="shared" ca="1" si="18"/>
        <v>44592</v>
      </c>
      <c r="Q155" s="12">
        <f t="shared" ca="1" si="21"/>
        <v>2.5333333333333334E-5</v>
      </c>
      <c r="R155" s="12">
        <f t="shared" ca="1" si="21"/>
        <v>-6.5472663058070424E-3</v>
      </c>
      <c r="S155" s="12">
        <f t="shared" ca="1" si="21"/>
        <v>-6.7111001230306666E-3</v>
      </c>
      <c r="T155" s="12">
        <f t="shared" ca="1" si="21"/>
        <v>-7.4958829530974436E-3</v>
      </c>
      <c r="U155" s="12">
        <f t="shared" ca="1" si="21"/>
        <v>-1.8864479239942833E-2</v>
      </c>
      <c r="V155" s="12">
        <f t="shared" ca="1" si="21"/>
        <v>-1.2502210150905135E-2</v>
      </c>
      <c r="W155" s="12">
        <f t="shared" ca="1" si="21"/>
        <v>-3.124768304575265E-2</v>
      </c>
      <c r="X155" s="12">
        <f t="shared" ca="1" si="21"/>
        <v>-5.2585089106999772E-2</v>
      </c>
      <c r="Y155" s="12">
        <f t="shared" ca="1" si="21"/>
        <v>-5.343268156683878E-2</v>
      </c>
      <c r="Z155" s="12">
        <f t="shared" ca="1" si="21"/>
        <v>-1.7510387054450072E-2</v>
      </c>
    </row>
    <row r="156" spans="13:26">
      <c r="M156" s="13">
        <v>153</v>
      </c>
      <c r="N156" s="15">
        <f t="shared" ca="1" si="17"/>
        <v>117</v>
      </c>
      <c r="O156" s="13">
        <v>153</v>
      </c>
      <c r="P156" s="19">
        <f t="shared" ca="1" si="18"/>
        <v>44771</v>
      </c>
      <c r="Q156" s="12">
        <f t="shared" ca="1" si="21"/>
        <v>1.3551666666666668E-3</v>
      </c>
      <c r="R156" s="12">
        <f t="shared" ca="1" si="21"/>
        <v>3.3528295068618874E-3</v>
      </c>
      <c r="S156" s="12">
        <f t="shared" ca="1" si="21"/>
        <v>2.6352464971926004E-3</v>
      </c>
      <c r="T156" s="12">
        <f t="shared" ca="1" si="21"/>
        <v>7.4658997444205788E-3</v>
      </c>
      <c r="U156" s="12">
        <f t="shared" ca="1" si="21"/>
        <v>1.65865653968571E-2</v>
      </c>
      <c r="V156" s="12">
        <f t="shared" ca="1" si="21"/>
        <v>1.0522057632823767E-2</v>
      </c>
      <c r="W156" s="12">
        <f t="shared" ca="1" si="21"/>
        <v>2.9487751054719125E-2</v>
      </c>
      <c r="X156" s="12">
        <f t="shared" ca="1" si="21"/>
        <v>9.1116347632205885E-2</v>
      </c>
      <c r="Y156" s="12">
        <f t="shared" ca="1" si="21"/>
        <v>7.8619427458280766E-2</v>
      </c>
      <c r="Z156" s="12">
        <f t="shared" ca="1" si="21"/>
        <v>-2.2868746783823113E-2</v>
      </c>
    </row>
    <row r="157" spans="13:26">
      <c r="M157" s="13">
        <v>154</v>
      </c>
      <c r="N157" s="15">
        <f t="shared" ca="1" si="17"/>
        <v>57</v>
      </c>
      <c r="O157" s="13">
        <v>154</v>
      </c>
      <c r="P157" s="19">
        <f t="shared" ca="1" si="18"/>
        <v>42947</v>
      </c>
      <c r="Q157" s="12">
        <f t="shared" ca="1" si="21"/>
        <v>8.4275000000000007E-4</v>
      </c>
      <c r="R157" s="12">
        <f t="shared" ca="1" si="21"/>
        <v>2.1296426380839062E-3</v>
      </c>
      <c r="S157" s="12">
        <f t="shared" ca="1" si="21"/>
        <v>2.1188695263520962E-3</v>
      </c>
      <c r="T157" s="12">
        <f t="shared" ca="1" si="21"/>
        <v>3.9737789984888305E-3</v>
      </c>
      <c r="U157" s="12">
        <f t="shared" ca="1" si="21"/>
        <v>1.5204383699691792E-3</v>
      </c>
      <c r="V157" s="12">
        <f t="shared" ca="1" si="21"/>
        <v>2.7943614040748521E-3</v>
      </c>
      <c r="W157" s="12">
        <f t="shared" ca="1" si="21"/>
        <v>7.4729816467542509E-3</v>
      </c>
      <c r="X157" s="12">
        <f t="shared" ca="1" si="21"/>
        <v>1.9348768883515444E-2</v>
      </c>
      <c r="Y157" s="12">
        <f t="shared" ca="1" si="21"/>
        <v>2.330896510699576E-2</v>
      </c>
      <c r="Z157" s="12">
        <f t="shared" ca="1" si="21"/>
        <v>2.2414445759940893E-2</v>
      </c>
    </row>
    <row r="158" spans="13:26">
      <c r="M158" s="13">
        <v>155</v>
      </c>
      <c r="N158" s="15">
        <f t="shared" ca="1" si="17"/>
        <v>35</v>
      </c>
      <c r="O158" s="13">
        <v>155</v>
      </c>
      <c r="P158" s="19">
        <f t="shared" ca="1" si="18"/>
        <v>42277</v>
      </c>
      <c r="Q158" s="12">
        <f t="shared" ca="1" si="21"/>
        <v>0</v>
      </c>
      <c r="R158" s="12">
        <f t="shared" ca="1" si="21"/>
        <v>3.025233393722182E-3</v>
      </c>
      <c r="S158" s="12">
        <f t="shared" ca="1" si="21"/>
        <v>2.8579516467206467E-3</v>
      </c>
      <c r="T158" s="12">
        <f t="shared" ca="1" si="21"/>
        <v>2.7680900795501451E-3</v>
      </c>
      <c r="U158" s="12">
        <f t="shared" ca="1" si="21"/>
        <v>8.9755328959022496E-3</v>
      </c>
      <c r="V158" s="12">
        <f t="shared" ca="1" si="21"/>
        <v>6.0349461811213256E-3</v>
      </c>
      <c r="W158" s="12">
        <f t="shared" ca="1" si="21"/>
        <v>5.2409861317948003E-3</v>
      </c>
      <c r="X158" s="12">
        <f t="shared" ca="1" si="21"/>
        <v>-2.6442819620927094E-2</v>
      </c>
      <c r="Y158" s="12">
        <f t="shared" ca="1" si="21"/>
        <v>-3.8597813337546971E-2</v>
      </c>
      <c r="Z158" s="12">
        <f t="shared" ca="1" si="21"/>
        <v>-1.7481254350488751E-2</v>
      </c>
    </row>
    <row r="159" spans="13:26">
      <c r="M159" s="13">
        <v>156</v>
      </c>
      <c r="N159" s="15">
        <f t="shared" ca="1" si="17"/>
        <v>91</v>
      </c>
      <c r="O159" s="13">
        <v>156</v>
      </c>
      <c r="P159" s="19">
        <f t="shared" ca="1" si="18"/>
        <v>43980</v>
      </c>
      <c r="Q159" s="12">
        <f t="shared" ca="1" si="21"/>
        <v>6.5666666666666659E-5</v>
      </c>
      <c r="R159" s="12">
        <f t="shared" ca="1" si="21"/>
        <v>6.5332407328955178E-4</v>
      </c>
      <c r="S159" s="12">
        <f t="shared" ca="1" si="21"/>
        <v>1.1219188398201574E-3</v>
      </c>
      <c r="T159" s="12">
        <f t="shared" ca="1" si="21"/>
        <v>1.1510566044761195E-2</v>
      </c>
      <c r="U159" s="12">
        <f t="shared" ca="1" si="21"/>
        <v>-3.0809051435478629E-3</v>
      </c>
      <c r="V159" s="12">
        <f t="shared" ca="1" si="21"/>
        <v>1.2924211926443885E-3</v>
      </c>
      <c r="W159" s="12">
        <f t="shared" ca="1" si="21"/>
        <v>1.7481872879328675E-2</v>
      </c>
      <c r="X159" s="12">
        <f t="shared" ca="1" si="21"/>
        <v>4.528177501261843E-2</v>
      </c>
      <c r="Y159" s="12">
        <f t="shared" ca="1" si="21"/>
        <v>4.6291740750663779E-2</v>
      </c>
      <c r="Z159" s="12">
        <f t="shared" ca="1" si="21"/>
        <v>2.5953157426623186E-2</v>
      </c>
    </row>
    <row r="160" spans="13:26">
      <c r="M160" s="13">
        <v>157</v>
      </c>
      <c r="N160" s="15">
        <f t="shared" ca="1" si="17"/>
        <v>30</v>
      </c>
      <c r="O160" s="13">
        <v>157</v>
      </c>
      <c r="P160" s="19">
        <f t="shared" ca="1" si="18"/>
        <v>42124</v>
      </c>
      <c r="Q160" s="12">
        <f t="shared" ca="1" si="21"/>
        <v>1.6916666666666667E-5</v>
      </c>
      <c r="R160" s="12">
        <f t="shared" ca="1" si="21"/>
        <v>4.5665826855323388E-4</v>
      </c>
      <c r="S160" s="12">
        <f t="shared" ca="1" si="21"/>
        <v>6.0678736150876489E-4</v>
      </c>
      <c r="T160" s="12">
        <f t="shared" ca="1" si="21"/>
        <v>1.6621938242677992E-3</v>
      </c>
      <c r="U160" s="12">
        <f t="shared" ca="1" si="21"/>
        <v>-6.1820809081205574E-3</v>
      </c>
      <c r="V160" s="12">
        <f t="shared" ca="1" si="21"/>
        <v>-2.1386677019336053E-3</v>
      </c>
      <c r="W160" s="12">
        <f t="shared" ca="1" si="21"/>
        <v>-5.341883159823646E-3</v>
      </c>
      <c r="X160" s="12">
        <f t="shared" ca="1" si="21"/>
        <v>8.5207627098153882E-3</v>
      </c>
      <c r="Y160" s="12">
        <f t="shared" ca="1" si="21"/>
        <v>2.1593396177641555E-2</v>
      </c>
      <c r="Z160" s="12">
        <f t="shared" ca="1" si="21"/>
        <v>6.75921153797443E-4</v>
      </c>
    </row>
    <row r="161" spans="13:26">
      <c r="M161" s="13">
        <v>158</v>
      </c>
      <c r="N161" s="15">
        <f t="shared" ca="1" si="17"/>
        <v>37</v>
      </c>
      <c r="O161" s="13">
        <v>158</v>
      </c>
      <c r="P161" s="19">
        <f t="shared" ca="1" si="18"/>
        <v>42338</v>
      </c>
      <c r="Q161" s="12">
        <f t="shared" ca="1" si="21"/>
        <v>5.933333333333333E-5</v>
      </c>
      <c r="R161" s="12">
        <f t="shared" ca="1" si="21"/>
        <v>-2.4550406621516307E-3</v>
      </c>
      <c r="S161" s="12">
        <f t="shared" ca="1" si="21"/>
        <v>-1.9393666703364509E-3</v>
      </c>
      <c r="T161" s="12">
        <f t="shared" ca="1" si="21"/>
        <v>-7.1057840590915688E-4</v>
      </c>
      <c r="U161" s="12">
        <f t="shared" ca="1" si="21"/>
        <v>-4.225256655618348E-3</v>
      </c>
      <c r="V161" s="12">
        <f t="shared" ca="1" si="21"/>
        <v>-2.6917513626392164E-3</v>
      </c>
      <c r="W161" s="12">
        <f t="shared" ca="1" si="21"/>
        <v>-2.2383480101869635E-3</v>
      </c>
      <c r="X161" s="12">
        <f t="shared" ca="1" si="21"/>
        <v>5.0496306555847248E-4</v>
      </c>
      <c r="Y161" s="12">
        <f t="shared" ca="1" si="21"/>
        <v>-6.6830812521982974E-3</v>
      </c>
      <c r="Z161" s="12">
        <f t="shared" ca="1" si="21"/>
        <v>-6.7716769838281676E-2</v>
      </c>
    </row>
    <row r="162" spans="13:26">
      <c r="M162" s="13">
        <v>159</v>
      </c>
      <c r="N162" s="15">
        <f t="shared" ca="1" si="17"/>
        <v>37</v>
      </c>
      <c r="O162" s="13">
        <v>159</v>
      </c>
      <c r="P162" s="19">
        <f t="shared" ca="1" si="18"/>
        <v>42338</v>
      </c>
      <c r="Q162" s="12">
        <f t="shared" ca="1" si="21"/>
        <v>5.933333333333333E-5</v>
      </c>
      <c r="R162" s="12">
        <f t="shared" ca="1" si="21"/>
        <v>-2.4550406621516307E-3</v>
      </c>
      <c r="S162" s="12">
        <f t="shared" ca="1" si="21"/>
        <v>-1.9393666703364509E-3</v>
      </c>
      <c r="T162" s="12">
        <f t="shared" ca="1" si="21"/>
        <v>-7.1057840590915688E-4</v>
      </c>
      <c r="U162" s="12">
        <f t="shared" ca="1" si="21"/>
        <v>-4.225256655618348E-3</v>
      </c>
      <c r="V162" s="12">
        <f t="shared" ca="1" si="21"/>
        <v>-2.6917513626392164E-3</v>
      </c>
      <c r="W162" s="12">
        <f t="shared" ca="1" si="21"/>
        <v>-2.2383480101869635E-3</v>
      </c>
      <c r="X162" s="12">
        <f t="shared" ca="1" si="21"/>
        <v>5.0496306555847248E-4</v>
      </c>
      <c r="Y162" s="12">
        <f t="shared" ca="1" si="21"/>
        <v>-6.6830812521982974E-3</v>
      </c>
      <c r="Z162" s="12">
        <f t="shared" ca="1" si="21"/>
        <v>-6.7716769838281676E-2</v>
      </c>
    </row>
    <row r="163" spans="13:26">
      <c r="M163" s="13">
        <v>160</v>
      </c>
      <c r="N163" s="15">
        <f t="shared" ca="1" si="17"/>
        <v>104</v>
      </c>
      <c r="O163" s="13">
        <v>160</v>
      </c>
      <c r="P163" s="19">
        <f t="shared" ca="1" si="18"/>
        <v>44377</v>
      </c>
      <c r="Q163" s="12">
        <f t="shared" ca="1" si="21"/>
        <v>2.0833333333333334E-6</v>
      </c>
      <c r="R163" s="12">
        <f t="shared" ca="1" si="21"/>
        <v>-1.5448288492249107E-3</v>
      </c>
      <c r="S163" s="12">
        <f t="shared" ca="1" si="21"/>
        <v>-1.1198469033213421E-3</v>
      </c>
      <c r="T163" s="12">
        <f t="shared" ca="1" si="21"/>
        <v>-7.9920048341874939E-4</v>
      </c>
      <c r="U163" s="12">
        <f t="shared" ca="1" si="21"/>
        <v>8.6882529944476428E-3</v>
      </c>
      <c r="V163" s="12">
        <f t="shared" ca="1" si="21"/>
        <v>2.6803411128408783E-3</v>
      </c>
      <c r="W163" s="12">
        <f t="shared" ca="1" si="21"/>
        <v>1.6647095909956722E-2</v>
      </c>
      <c r="X163" s="12">
        <f t="shared" ca="1" si="21"/>
        <v>2.221397632316946E-2</v>
      </c>
      <c r="Y163" s="12">
        <f t="shared" ca="1" si="21"/>
        <v>1.3956380011425962E-2</v>
      </c>
      <c r="Z163" s="12">
        <f t="shared" ca="1" si="21"/>
        <v>-7.171962430579959E-2</v>
      </c>
    </row>
    <row r="164" spans="13:26">
      <c r="M164" s="13">
        <v>161</v>
      </c>
      <c r="N164" s="15">
        <f t="shared" ca="1" si="17"/>
        <v>64</v>
      </c>
      <c r="O164" s="13">
        <v>161</v>
      </c>
      <c r="P164" s="19">
        <f t="shared" ca="1" si="18"/>
        <v>43159</v>
      </c>
      <c r="Q164" s="12">
        <f t="shared" ref="Q164:Z173" ca="1" si="22">INDEX(histrets,$N164,Q$1)</f>
        <v>1.2125833333333333E-3</v>
      </c>
      <c r="R164" s="12">
        <f t="shared" ca="1" si="22"/>
        <v>-3.7977924686849462E-4</v>
      </c>
      <c r="S164" s="12">
        <f t="shared" ca="1" si="22"/>
        <v>1.7365770487831611E-5</v>
      </c>
      <c r="T164" s="12">
        <f t="shared" ca="1" si="22"/>
        <v>-2.2637442459962909E-3</v>
      </c>
      <c r="U164" s="12">
        <f t="shared" ca="1" si="22"/>
        <v>-7.8760874663250657E-3</v>
      </c>
      <c r="V164" s="12">
        <f t="shared" ca="1" si="22"/>
        <v>-3.0430541002997025E-3</v>
      </c>
      <c r="W164" s="12">
        <f t="shared" ca="1" si="22"/>
        <v>-1.4964540778451663E-2</v>
      </c>
      <c r="X164" s="12">
        <f t="shared" ca="1" si="22"/>
        <v>-3.8947379604151844E-2</v>
      </c>
      <c r="Y164" s="12">
        <f t="shared" ca="1" si="22"/>
        <v>-4.3036453344418191E-2</v>
      </c>
      <c r="Z164" s="12">
        <f t="shared" ca="1" si="22"/>
        <v>-1.9945879239335773E-2</v>
      </c>
    </row>
    <row r="165" spans="13:26">
      <c r="M165" s="13">
        <v>162</v>
      </c>
      <c r="N165" s="15">
        <f t="shared" ca="1" si="17"/>
        <v>38</v>
      </c>
      <c r="O165" s="13">
        <v>162</v>
      </c>
      <c r="P165" s="19">
        <f t="shared" ca="1" si="18"/>
        <v>42369</v>
      </c>
      <c r="Q165" s="12">
        <f t="shared" ca="1" si="22"/>
        <v>1.3983333333333334E-4</v>
      </c>
      <c r="R165" s="12">
        <f t="shared" ca="1" si="22"/>
        <v>-9.365642487412229E-4</v>
      </c>
      <c r="S165" s="12">
        <f t="shared" ca="1" si="22"/>
        <v>-1.2589213561818857E-3</v>
      </c>
      <c r="T165" s="12">
        <f t="shared" ca="1" si="22"/>
        <v>-2.4958607185572301E-3</v>
      </c>
      <c r="U165" s="12">
        <f t="shared" ca="1" si="22"/>
        <v>-1.5686691398054675E-3</v>
      </c>
      <c r="V165" s="12">
        <f t="shared" ca="1" si="22"/>
        <v>-2.4794726558212687E-3</v>
      </c>
      <c r="W165" s="12">
        <f t="shared" ca="1" si="22"/>
        <v>-8.6713379184790718E-3</v>
      </c>
      <c r="X165" s="12">
        <f t="shared" ca="1" si="22"/>
        <v>-1.7530198374358763E-2</v>
      </c>
      <c r="Y165" s="12">
        <f t="shared" ca="1" si="22"/>
        <v>-1.8655571293673345E-2</v>
      </c>
      <c r="Z165" s="12">
        <f t="shared" ca="1" si="22"/>
        <v>-3.4467537590278097E-3</v>
      </c>
    </row>
    <row r="166" spans="13:26">
      <c r="M166" s="13">
        <v>163</v>
      </c>
      <c r="N166" s="15">
        <f t="shared" ca="1" si="17"/>
        <v>28</v>
      </c>
      <c r="O166" s="13">
        <v>163</v>
      </c>
      <c r="P166" s="19">
        <f t="shared" ca="1" si="18"/>
        <v>42062</v>
      </c>
      <c r="Q166" s="12">
        <f t="shared" ca="1" si="22"/>
        <v>0</v>
      </c>
      <c r="R166" s="12">
        <f t="shared" ca="1" si="22"/>
        <v>-2.1577567665429509E-3</v>
      </c>
      <c r="S166" s="12">
        <f t="shared" ca="1" si="22"/>
        <v>-1.442941258093966E-3</v>
      </c>
      <c r="T166" s="12">
        <f t="shared" ca="1" si="22"/>
        <v>9.4403804380460699E-4</v>
      </c>
      <c r="U166" s="12">
        <f t="shared" ca="1" si="22"/>
        <v>-1.7481816683666107E-2</v>
      </c>
      <c r="V166" s="12">
        <f t="shared" ca="1" si="22"/>
        <v>-8.9278151648537474E-3</v>
      </c>
      <c r="W166" s="12">
        <f t="shared" ca="1" si="22"/>
        <v>-8.3607142066883799E-3</v>
      </c>
      <c r="X166" s="12">
        <f t="shared" ca="1" si="22"/>
        <v>5.4892505726845675E-2</v>
      </c>
      <c r="Y166" s="12">
        <f t="shared" ca="1" si="22"/>
        <v>5.6821297852808206E-2</v>
      </c>
      <c r="Z166" s="12">
        <f t="shared" ca="1" si="22"/>
        <v>-5.5001207362574744E-2</v>
      </c>
    </row>
    <row r="167" spans="13:26">
      <c r="M167" s="13">
        <v>164</v>
      </c>
      <c r="N167" s="15">
        <f t="shared" ca="1" si="17"/>
        <v>129</v>
      </c>
      <c r="O167" s="13">
        <v>164</v>
      </c>
      <c r="P167" s="19">
        <f t="shared" ca="1" si="18"/>
        <v>45138</v>
      </c>
      <c r="Q167" s="12">
        <f t="shared" ca="1" si="22"/>
        <v>4.4029999999999998E-3</v>
      </c>
      <c r="R167" s="12">
        <f t="shared" ca="1" si="22"/>
        <v>3.5600351757603121E-3</v>
      </c>
      <c r="S167" s="12">
        <f t="shared" ca="1" si="22"/>
        <v>3.4279797877487805E-3</v>
      </c>
      <c r="T167" s="12">
        <f t="shared" ca="1" si="22"/>
        <v>6.7704229871852206E-3</v>
      </c>
      <c r="U167" s="12">
        <f t="shared" ca="1" si="22"/>
        <v>-3.9619306898106554E-3</v>
      </c>
      <c r="V167" s="12">
        <f t="shared" ca="1" si="22"/>
        <v>2.6690047401789485E-4</v>
      </c>
      <c r="W167" s="12">
        <f t="shared" ca="1" si="22"/>
        <v>4.3345170855186854E-3</v>
      </c>
      <c r="X167" s="12">
        <f t="shared" ca="1" si="22"/>
        <v>3.1138913980379268E-2</v>
      </c>
      <c r="Y167" s="12">
        <f t="shared" ca="1" si="22"/>
        <v>3.2891543522813205E-2</v>
      </c>
      <c r="Z167" s="12">
        <f t="shared" ca="1" si="22"/>
        <v>2.3830984447859915E-2</v>
      </c>
    </row>
    <row r="168" spans="13:26">
      <c r="M168" s="13">
        <v>165</v>
      </c>
      <c r="N168" s="15">
        <f t="shared" ca="1" si="17"/>
        <v>74</v>
      </c>
      <c r="O168" s="13">
        <v>165</v>
      </c>
      <c r="P168" s="19">
        <f t="shared" ca="1" si="18"/>
        <v>43465</v>
      </c>
      <c r="Q168" s="12">
        <f t="shared" ca="1" si="22"/>
        <v>1.952E-3</v>
      </c>
      <c r="R168" s="12">
        <f t="shared" ca="1" si="22"/>
        <v>7.896311710921422E-3</v>
      </c>
      <c r="S168" s="12">
        <f t="shared" ca="1" si="22"/>
        <v>7.5697447228533221E-3</v>
      </c>
      <c r="T168" s="12">
        <f t="shared" ca="1" si="22"/>
        <v>6.9781620857483073E-3</v>
      </c>
      <c r="U168" s="12">
        <f t="shared" ca="1" si="22"/>
        <v>2.219667593196295E-2</v>
      </c>
      <c r="V168" s="12">
        <f t="shared" ca="1" si="22"/>
        <v>1.4366555259428315E-2</v>
      </c>
      <c r="W168" s="12">
        <f t="shared" ca="1" si="22"/>
        <v>1.5011129069729678E-2</v>
      </c>
      <c r="X168" s="12">
        <f t="shared" ca="1" si="22"/>
        <v>-9.1776955767217339E-2</v>
      </c>
      <c r="Y168" s="12">
        <f t="shared" ca="1" si="22"/>
        <v>-7.7134851275620031E-2</v>
      </c>
      <c r="Z168" s="12">
        <f t="shared" ca="1" si="22"/>
        <v>5.0773440828499439E-2</v>
      </c>
    </row>
    <row r="169" spans="13:26">
      <c r="M169" s="13">
        <v>166</v>
      </c>
      <c r="N169" s="15">
        <f t="shared" ca="1" si="17"/>
        <v>102</v>
      </c>
      <c r="O169" s="13">
        <v>166</v>
      </c>
      <c r="P169" s="19">
        <f t="shared" ca="1" si="18"/>
        <v>44316</v>
      </c>
      <c r="Q169" s="12">
        <f t="shared" ca="1" si="22"/>
        <v>1.2666666666666667E-5</v>
      </c>
      <c r="R169" s="12">
        <f t="shared" ca="1" si="22"/>
        <v>4.5049317147194401E-4</v>
      </c>
      <c r="S169" s="12">
        <f t="shared" ca="1" si="22"/>
        <v>4.0650465731939533E-4</v>
      </c>
      <c r="T169" s="12">
        <f t="shared" ca="1" si="22"/>
        <v>2.0728063989299272E-3</v>
      </c>
      <c r="U169" s="12">
        <f t="shared" ca="1" si="22"/>
        <v>8.4046100400529955E-3</v>
      </c>
      <c r="V169" s="12">
        <f t="shared" ca="1" si="22"/>
        <v>4.3196222963681752E-3</v>
      </c>
      <c r="W169" s="12">
        <f t="shared" ca="1" si="22"/>
        <v>1.1898975953755331E-2</v>
      </c>
      <c r="X169" s="12">
        <f t="shared" ca="1" si="22"/>
        <v>5.242531255584737E-2</v>
      </c>
      <c r="Y169" s="12">
        <f t="shared" ca="1" si="22"/>
        <v>4.5189742860191506E-2</v>
      </c>
      <c r="Z169" s="12">
        <f t="shared" ca="1" si="22"/>
        <v>3.5966294042899527E-2</v>
      </c>
    </row>
    <row r="170" spans="13:26">
      <c r="M170" s="13">
        <v>167</v>
      </c>
      <c r="N170" s="15">
        <f t="shared" ca="1" si="17"/>
        <v>103</v>
      </c>
      <c r="O170" s="13">
        <v>167</v>
      </c>
      <c r="P170" s="19">
        <f t="shared" ca="1" si="18"/>
        <v>44347</v>
      </c>
      <c r="Q170" s="12">
        <f t="shared" ca="1" si="22"/>
        <v>2.0833333333333334E-6</v>
      </c>
      <c r="R170" s="12">
        <f t="shared" ca="1" si="22"/>
        <v>7.5601374570455349E-4</v>
      </c>
      <c r="S170" s="12">
        <f t="shared" ca="1" si="22"/>
        <v>7.7117116067437763E-4</v>
      </c>
      <c r="T170" s="12">
        <f t="shared" ca="1" si="22"/>
        <v>2.1318730865014235E-3</v>
      </c>
      <c r="U170" s="12">
        <f t="shared" ca="1" si="22"/>
        <v>2.9767087748440169E-3</v>
      </c>
      <c r="V170" s="12">
        <f t="shared" ca="1" si="22"/>
        <v>2.9418212628797846E-3</v>
      </c>
      <c r="W170" s="12">
        <f t="shared" ca="1" si="22"/>
        <v>7.0206864587414319E-3</v>
      </c>
      <c r="X170" s="12">
        <f t="shared" ca="1" si="22"/>
        <v>5.4865025818131574E-3</v>
      </c>
      <c r="Y170" s="12">
        <f t="shared" ca="1" si="22"/>
        <v>1.2569927452394714E-2</v>
      </c>
      <c r="Z170" s="12">
        <f t="shared" ca="1" si="22"/>
        <v>7.7857477969397237E-2</v>
      </c>
    </row>
    <row r="171" spans="13:26">
      <c r="M171" s="13">
        <v>168</v>
      </c>
      <c r="N171" s="15">
        <f t="shared" ca="1" si="17"/>
        <v>108</v>
      </c>
      <c r="O171" s="13">
        <v>168</v>
      </c>
      <c r="P171" s="19">
        <f t="shared" ca="1" si="18"/>
        <v>44498</v>
      </c>
      <c r="Q171" s="12">
        <f t="shared" ca="1" si="22"/>
        <v>2.7500000000000001E-5</v>
      </c>
      <c r="R171" s="12">
        <f t="shared" ca="1" si="22"/>
        <v>-3.0397106151245357E-3</v>
      </c>
      <c r="S171" s="12">
        <f t="shared" ca="1" si="22"/>
        <v>-2.7381247848330403E-3</v>
      </c>
      <c r="T171" s="12">
        <f t="shared" ca="1" si="22"/>
        <v>-3.2666890866690501E-3</v>
      </c>
      <c r="U171" s="12">
        <f t="shared" ca="1" si="22"/>
        <v>3.1127562849819768E-4</v>
      </c>
      <c r="V171" s="12">
        <f t="shared" ca="1" si="22"/>
        <v>-3.2191243321966212E-3</v>
      </c>
      <c r="W171" s="12">
        <f t="shared" ca="1" si="22"/>
        <v>2.4950726425574388E-3</v>
      </c>
      <c r="X171" s="12">
        <f t="shared" ca="1" si="22"/>
        <v>6.9143873301234615E-2</v>
      </c>
      <c r="Y171" s="12">
        <f t="shared" ca="1" si="22"/>
        <v>5.5920308654293871E-2</v>
      </c>
      <c r="Z171" s="12">
        <f t="shared" ca="1" si="22"/>
        <v>1.5043114488175524E-2</v>
      </c>
    </row>
    <row r="172" spans="13:26">
      <c r="M172" s="13">
        <v>169</v>
      </c>
      <c r="N172" s="15">
        <f t="shared" ca="1" si="17"/>
        <v>32</v>
      </c>
      <c r="O172" s="13">
        <v>169</v>
      </c>
      <c r="P172" s="19">
        <f t="shared" ca="1" si="18"/>
        <v>42185</v>
      </c>
      <c r="Q172" s="12">
        <f t="shared" ca="1" si="22"/>
        <v>0</v>
      </c>
      <c r="R172" s="12">
        <f t="shared" ca="1" si="22"/>
        <v>2.5320231558723094E-4</v>
      </c>
      <c r="S172" s="12">
        <f t="shared" ca="1" si="22"/>
        <v>3.5784763056034841E-4</v>
      </c>
      <c r="T172" s="12">
        <f t="shared" ca="1" si="22"/>
        <v>-1.5031059264967173E-3</v>
      </c>
      <c r="U172" s="12">
        <f t="shared" ca="1" si="22"/>
        <v>-9.962299900720839E-3</v>
      </c>
      <c r="V172" s="12">
        <f t="shared" ca="1" si="22"/>
        <v>-4.4419820231021978E-3</v>
      </c>
      <c r="W172" s="12">
        <f t="shared" ca="1" si="22"/>
        <v>-1.639343013945227E-2</v>
      </c>
      <c r="X172" s="12">
        <f t="shared" ca="1" si="22"/>
        <v>-2.10117728564716E-2</v>
      </c>
      <c r="Y172" s="12">
        <f t="shared" ca="1" si="22"/>
        <v>-2.4560082279085793E-2</v>
      </c>
      <c r="Z172" s="12">
        <f t="shared" ca="1" si="22"/>
        <v>-1.5311864805389042E-2</v>
      </c>
    </row>
    <row r="173" spans="13:26">
      <c r="M173" s="13">
        <v>170</v>
      </c>
      <c r="N173" s="15">
        <f t="shared" ca="1" si="17"/>
        <v>87</v>
      </c>
      <c r="O173" s="13">
        <v>170</v>
      </c>
      <c r="P173" s="19">
        <f t="shared" ca="1" si="18"/>
        <v>43861</v>
      </c>
      <c r="Q173" s="12">
        <f t="shared" ca="1" si="22"/>
        <v>1.2863333333333333E-3</v>
      </c>
      <c r="R173" s="12">
        <f t="shared" ca="1" si="22"/>
        <v>5.4097992135349049E-3</v>
      </c>
      <c r="S173" s="12">
        <f t="shared" ca="1" si="22"/>
        <v>4.2842005056689114E-3</v>
      </c>
      <c r="T173" s="12">
        <f t="shared" ca="1" si="22"/>
        <v>5.7110103120057154E-3</v>
      </c>
      <c r="U173" s="12">
        <f t="shared" ca="1" si="22"/>
        <v>2.5643424492520994E-2</v>
      </c>
      <c r="V173" s="12">
        <f t="shared" ca="1" si="22"/>
        <v>1.565730710389257E-2</v>
      </c>
      <c r="W173" s="12">
        <f t="shared" ca="1" si="22"/>
        <v>2.3757911224389527E-2</v>
      </c>
      <c r="X173" s="12">
        <f t="shared" ca="1" si="22"/>
        <v>-1.6280898111292741E-3</v>
      </c>
      <c r="Y173" s="12">
        <f t="shared" ca="1" si="22"/>
        <v>-6.8094993788345715E-3</v>
      </c>
      <c r="Z173" s="12">
        <f t="shared" ca="1" si="22"/>
        <v>4.7381151673729915E-2</v>
      </c>
    </row>
    <row r="174" spans="13:26">
      <c r="M174" s="13">
        <v>171</v>
      </c>
      <c r="N174" s="15">
        <f t="shared" ca="1" si="17"/>
        <v>90</v>
      </c>
      <c r="O174" s="13">
        <v>171</v>
      </c>
      <c r="P174" s="19">
        <f t="shared" ca="1" si="18"/>
        <v>43951</v>
      </c>
      <c r="Q174" s="12">
        <f t="shared" ref="Q174:Z183" ca="1" si="23">INDEX(histrets,$N174,Q$1)</f>
        <v>5.0833333333333333E-5</v>
      </c>
      <c r="R174" s="12">
        <f t="shared" ca="1" si="23"/>
        <v>4.1830231056572131E-4</v>
      </c>
      <c r="S174" s="12">
        <f t="shared" ca="1" si="23"/>
        <v>2.2672626635900084E-3</v>
      </c>
      <c r="T174" s="12">
        <f t="shared" ca="1" si="23"/>
        <v>2.3727111036870641E-2</v>
      </c>
      <c r="U174" s="12">
        <f t="shared" ca="1" si="23"/>
        <v>4.0531345700494104E-3</v>
      </c>
      <c r="V174" s="12">
        <f t="shared" ca="1" si="23"/>
        <v>6.7602108896387403E-3</v>
      </c>
      <c r="W174" s="12">
        <f t="shared" ca="1" si="23"/>
        <v>5.2725029544570923E-2</v>
      </c>
      <c r="X174" s="12">
        <f t="shared" ca="1" si="23"/>
        <v>0.12684410293315374</v>
      </c>
      <c r="Y174" s="12">
        <f t="shared" ca="1" si="23"/>
        <v>0.10801357996038274</v>
      </c>
      <c r="Z174" s="12">
        <f t="shared" ca="1" si="23"/>
        <v>6.9313585006150147E-2</v>
      </c>
    </row>
    <row r="175" spans="13:26">
      <c r="M175" s="13">
        <v>172</v>
      </c>
      <c r="N175" s="15">
        <f t="shared" ca="1" si="17"/>
        <v>62</v>
      </c>
      <c r="O175" s="13">
        <v>172</v>
      </c>
      <c r="P175" s="19">
        <f t="shared" ca="1" si="18"/>
        <v>43098</v>
      </c>
      <c r="Q175" s="12">
        <f t="shared" ca="1" si="23"/>
        <v>1.0466666666666667E-3</v>
      </c>
      <c r="R175" s="12">
        <f t="shared" ca="1" si="23"/>
        <v>1.1996068716912944E-4</v>
      </c>
      <c r="S175" s="12">
        <f t="shared" ca="1" si="23"/>
        <v>2.1268953000364021E-4</v>
      </c>
      <c r="T175" s="12">
        <f t="shared" ca="1" si="23"/>
        <v>1.0776244263113188E-3</v>
      </c>
      <c r="U175" s="12">
        <f t="shared" ca="1" si="23"/>
        <v>3.4610496714706507E-3</v>
      </c>
      <c r="V175" s="12">
        <f t="shared" ca="1" si="23"/>
        <v>1.454193244943669E-3</v>
      </c>
      <c r="W175" s="12">
        <f t="shared" ca="1" si="23"/>
        <v>8.527452873188901E-3</v>
      </c>
      <c r="X175" s="12">
        <f t="shared" ca="1" si="23"/>
        <v>9.8316198188534987E-3</v>
      </c>
      <c r="Y175" s="12">
        <f t="shared" ca="1" si="23"/>
        <v>1.2559209766241697E-2</v>
      </c>
      <c r="Z175" s="12">
        <f t="shared" ca="1" si="23"/>
        <v>2.1795907483078469E-2</v>
      </c>
    </row>
    <row r="176" spans="13:26">
      <c r="M176" s="13">
        <v>173</v>
      </c>
      <c r="N176" s="15">
        <f t="shared" ca="1" si="17"/>
        <v>77</v>
      </c>
      <c r="O176" s="13">
        <v>173</v>
      </c>
      <c r="P176" s="19">
        <f t="shared" ca="1" si="18"/>
        <v>43553</v>
      </c>
      <c r="Q176" s="12">
        <f t="shared" ca="1" si="23"/>
        <v>2.0271666666666667E-3</v>
      </c>
      <c r="R176" s="12">
        <f t="shared" ca="1" si="23"/>
        <v>6.1140339599461413E-3</v>
      </c>
      <c r="S176" s="12">
        <f t="shared" ca="1" si="23"/>
        <v>5.6005851058500422E-3</v>
      </c>
      <c r="T176" s="12">
        <f t="shared" ca="1" si="23"/>
        <v>7.8061480891151724E-3</v>
      </c>
      <c r="U176" s="12">
        <f t="shared" ca="1" si="23"/>
        <v>1.9871317951636103E-2</v>
      </c>
      <c r="V176" s="12">
        <f t="shared" ca="1" si="23"/>
        <v>1.4119884433976049E-2</v>
      </c>
      <c r="W176" s="12">
        <f t="shared" ca="1" si="23"/>
        <v>2.4897397534795696E-2</v>
      </c>
      <c r="X176" s="12">
        <f t="shared" ca="1" si="23"/>
        <v>1.7924287751078349E-2</v>
      </c>
      <c r="Y176" s="12">
        <f t="shared" ca="1" si="23"/>
        <v>1.0499367161431294E-2</v>
      </c>
      <c r="Z176" s="12">
        <f t="shared" ca="1" si="23"/>
        <v>-1.5944324307860858E-2</v>
      </c>
    </row>
    <row r="177" spans="13:26">
      <c r="M177" s="13">
        <v>174</v>
      </c>
      <c r="N177" s="15">
        <f t="shared" ca="1" si="17"/>
        <v>107</v>
      </c>
      <c r="O177" s="13">
        <v>174</v>
      </c>
      <c r="P177" s="19">
        <f t="shared" ca="1" si="18"/>
        <v>44469</v>
      </c>
      <c r="Q177" s="12">
        <f t="shared" ca="1" si="23"/>
        <v>2.9583333333333332E-5</v>
      </c>
      <c r="R177" s="12">
        <f t="shared" ca="1" si="23"/>
        <v>-1.0048513877685128E-3</v>
      </c>
      <c r="S177" s="12">
        <f t="shared" ca="1" si="23"/>
        <v>-7.6437253088035284E-4</v>
      </c>
      <c r="T177" s="12">
        <f t="shared" ca="1" si="23"/>
        <v>-2.8779840011450286E-4</v>
      </c>
      <c r="U177" s="12">
        <f t="shared" ca="1" si="23"/>
        <v>-1.2014615583012089E-2</v>
      </c>
      <c r="V177" s="12">
        <f t="shared" ca="1" si="23"/>
        <v>-6.0025556246581235E-3</v>
      </c>
      <c r="W177" s="12">
        <f t="shared" ca="1" si="23"/>
        <v>-1.0569251398916846E-2</v>
      </c>
      <c r="X177" s="12">
        <f t="shared" ca="1" si="23"/>
        <v>-4.7569140421166334E-2</v>
      </c>
      <c r="Y177" s="12">
        <f t="shared" ca="1" si="23"/>
        <v>-4.2895570375793834E-2</v>
      </c>
      <c r="Z177" s="12">
        <f t="shared" ca="1" si="23"/>
        <v>-3.124689846825679E-2</v>
      </c>
    </row>
    <row r="178" spans="13:26">
      <c r="M178" s="13">
        <v>175</v>
      </c>
      <c r="N178" s="15">
        <f t="shared" ca="1" si="17"/>
        <v>122</v>
      </c>
      <c r="O178" s="13">
        <v>175</v>
      </c>
      <c r="P178" s="19">
        <f t="shared" ca="1" si="18"/>
        <v>44925</v>
      </c>
      <c r="Q178" s="12">
        <f t="shared" ca="1" si="23"/>
        <v>3.5996666666666668E-3</v>
      </c>
      <c r="R178" s="12">
        <f t="shared" ca="1" si="23"/>
        <v>2.0455625090360918E-3</v>
      </c>
      <c r="S178" s="12">
        <f t="shared" ca="1" si="23"/>
        <v>2.5523556719058149E-3</v>
      </c>
      <c r="T178" s="12">
        <f t="shared" ca="1" si="23"/>
        <v>3.0386964971180763E-3</v>
      </c>
      <c r="U178" s="12">
        <f t="shared" ca="1" si="23"/>
        <v>-5.2423174935820605E-3</v>
      </c>
      <c r="V178" s="12">
        <f t="shared" ca="1" si="23"/>
        <v>1.4255618068126363E-3</v>
      </c>
      <c r="W178" s="12">
        <f t="shared" ca="1" si="23"/>
        <v>-2.1183511393275678E-3</v>
      </c>
      <c r="X178" s="12">
        <f t="shared" ca="1" si="23"/>
        <v>-5.8971449299161094E-2</v>
      </c>
      <c r="Y178" s="12">
        <f t="shared" ca="1" si="23"/>
        <v>-4.3441667983637688E-2</v>
      </c>
      <c r="Z178" s="12">
        <f t="shared" ca="1" si="23"/>
        <v>3.1382172664148555E-2</v>
      </c>
    </row>
    <row r="179" spans="13:26">
      <c r="M179" s="13">
        <v>176</v>
      </c>
      <c r="N179" s="15">
        <f t="shared" ca="1" si="17"/>
        <v>53</v>
      </c>
      <c r="O179" s="13">
        <v>176</v>
      </c>
      <c r="P179" s="19">
        <f t="shared" ca="1" si="18"/>
        <v>42825</v>
      </c>
      <c r="Q179" s="12">
        <f t="shared" ca="1" si="23"/>
        <v>5.0349999999999993E-4</v>
      </c>
      <c r="R179" s="12">
        <f t="shared" ca="1" si="23"/>
        <v>3.210493334364628E-4</v>
      </c>
      <c r="S179" s="12">
        <f t="shared" ca="1" si="23"/>
        <v>4.2376566391277848E-4</v>
      </c>
      <c r="T179" s="12">
        <f t="shared" ca="1" si="23"/>
        <v>7.8579211313489772E-4</v>
      </c>
      <c r="U179" s="12">
        <f t="shared" ca="1" si="23"/>
        <v>-5.8683501589096299E-4</v>
      </c>
      <c r="V179" s="12">
        <f t="shared" ca="1" si="23"/>
        <v>7.5457879896112523E-4</v>
      </c>
      <c r="W179" s="12">
        <f t="shared" ca="1" si="23"/>
        <v>-1.2306723182694546E-3</v>
      </c>
      <c r="X179" s="12">
        <f t="shared" ca="1" si="23"/>
        <v>-3.8923017041514463E-4</v>
      </c>
      <c r="Y179" s="12">
        <f t="shared" ca="1" si="23"/>
        <v>8.152499048240669E-3</v>
      </c>
      <c r="Z179" s="12">
        <f t="shared" ca="1" si="23"/>
        <v>6.087597321458027E-4</v>
      </c>
    </row>
    <row r="180" spans="13:26">
      <c r="M180" s="13">
        <v>177</v>
      </c>
      <c r="N180" s="15">
        <f t="shared" ca="1" si="17"/>
        <v>86</v>
      </c>
      <c r="O180" s="13">
        <v>177</v>
      </c>
      <c r="P180" s="19">
        <f t="shared" ca="1" si="18"/>
        <v>43830</v>
      </c>
      <c r="Q180" s="12">
        <f t="shared" ca="1" si="23"/>
        <v>1.3059999999999999E-3</v>
      </c>
      <c r="R180" s="12">
        <f t="shared" ca="1" si="23"/>
        <v>2.1205151268308686E-3</v>
      </c>
      <c r="S180" s="12">
        <f t="shared" ca="1" si="23"/>
        <v>2.0915015047420216E-3</v>
      </c>
      <c r="T180" s="12">
        <f t="shared" ca="1" si="23"/>
        <v>3.4688001557421355E-3</v>
      </c>
      <c r="U180" s="12">
        <f t="shared" ca="1" si="23"/>
        <v>-6.162005891732214E-3</v>
      </c>
      <c r="V180" s="12">
        <f t="shared" ca="1" si="23"/>
        <v>-2.0535388229255824E-3</v>
      </c>
      <c r="W180" s="12">
        <f t="shared" ca="1" si="23"/>
        <v>3.1502213769212251E-3</v>
      </c>
      <c r="X180" s="12">
        <f t="shared" ca="1" si="23"/>
        <v>2.8589803182446305E-2</v>
      </c>
      <c r="Y180" s="12">
        <f t="shared" ca="1" si="23"/>
        <v>2.8884157992548731E-2</v>
      </c>
      <c r="Z180" s="12">
        <f t="shared" ca="1" si="23"/>
        <v>3.640077050232926E-2</v>
      </c>
    </row>
    <row r="181" spans="13:26">
      <c r="M181" s="13">
        <v>178</v>
      </c>
      <c r="N181" s="15">
        <f t="shared" ca="1" si="17"/>
        <v>114</v>
      </c>
      <c r="O181" s="13">
        <v>178</v>
      </c>
      <c r="P181" s="19">
        <f t="shared" ca="1" si="18"/>
        <v>44680</v>
      </c>
      <c r="Q181" s="12">
        <f t="shared" ca="1" si="23"/>
        <v>4.0183333333333336E-4</v>
      </c>
      <c r="R181" s="12">
        <f t="shared" ca="1" si="23"/>
        <v>-4.7505397231347724E-3</v>
      </c>
      <c r="S181" s="12">
        <f t="shared" ca="1" si="23"/>
        <v>-5.0721410258810495E-3</v>
      </c>
      <c r="T181" s="12">
        <f t="shared" ca="1" si="23"/>
        <v>-7.2898890697563612E-3</v>
      </c>
      <c r="U181" s="12">
        <f t="shared" ca="1" si="23"/>
        <v>-3.2081456896948302E-2</v>
      </c>
      <c r="V181" s="12">
        <f t="shared" ca="1" si="23"/>
        <v>-1.6836959045835598E-2</v>
      </c>
      <c r="W181" s="12">
        <f t="shared" ca="1" si="23"/>
        <v>-4.9716282037125747E-2</v>
      </c>
      <c r="X181" s="12">
        <f t="shared" ca="1" si="23"/>
        <v>-8.7956719149039353E-2</v>
      </c>
      <c r="Y181" s="12">
        <f t="shared" ca="1" si="23"/>
        <v>-8.4324958156871688E-2</v>
      </c>
      <c r="Z181" s="12">
        <f t="shared" ca="1" si="23"/>
        <v>-2.090903460236182E-2</v>
      </c>
    </row>
    <row r="182" spans="13:26">
      <c r="M182" s="13">
        <v>179</v>
      </c>
      <c r="N182" s="15">
        <f t="shared" ca="1" si="17"/>
        <v>82</v>
      </c>
      <c r="O182" s="13">
        <v>179</v>
      </c>
      <c r="P182" s="19">
        <f t="shared" ca="1" si="18"/>
        <v>43707</v>
      </c>
      <c r="Q182" s="12">
        <f t="shared" ca="1" si="23"/>
        <v>1.7179999999999999E-3</v>
      </c>
      <c r="R182" s="12">
        <f t="shared" ca="1" si="23"/>
        <v>8.0651942026881418E-3</v>
      </c>
      <c r="S182" s="12">
        <f t="shared" ca="1" si="23"/>
        <v>7.2430967663801304E-3</v>
      </c>
      <c r="T182" s="12">
        <f t="shared" ca="1" si="23"/>
        <v>7.590990648397522E-3</v>
      </c>
      <c r="U182" s="12">
        <f t="shared" ca="1" si="23"/>
        <v>3.5535343864688151E-2</v>
      </c>
      <c r="V182" s="12">
        <f t="shared" ca="1" si="23"/>
        <v>2.2414536061881041E-2</v>
      </c>
      <c r="W182" s="12">
        <f t="shared" ca="1" si="23"/>
        <v>3.0361290462434187E-2</v>
      </c>
      <c r="X182" s="12">
        <f t="shared" ca="1" si="23"/>
        <v>-1.8091652742267761E-2</v>
      </c>
      <c r="Y182" s="12">
        <f t="shared" ca="1" si="23"/>
        <v>-2.2417670829600111E-2</v>
      </c>
      <c r="Z182" s="12">
        <f t="shared" ca="1" si="23"/>
        <v>7.5400698835745406E-2</v>
      </c>
    </row>
    <row r="183" spans="13:26">
      <c r="M183" s="13">
        <v>180</v>
      </c>
      <c r="N183" s="15">
        <f t="shared" ca="1" si="17"/>
        <v>43</v>
      </c>
      <c r="O183" s="13">
        <v>180</v>
      </c>
      <c r="P183" s="19">
        <f t="shared" ca="1" si="18"/>
        <v>42521</v>
      </c>
      <c r="Q183" s="12">
        <f t="shared" ca="1" si="23"/>
        <v>1.7374999999999999E-4</v>
      </c>
      <c r="R183" s="12">
        <f t="shared" ca="1" si="23"/>
        <v>-1.0628856830331435E-3</v>
      </c>
      <c r="S183" s="12">
        <f t="shared" ca="1" si="23"/>
        <v>-5.5927657376853013E-4</v>
      </c>
      <c r="T183" s="12">
        <f t="shared" ca="1" si="23"/>
        <v>1.5459070746159931E-4</v>
      </c>
      <c r="U183" s="12">
        <f t="shared" ca="1" si="23"/>
        <v>3.748514902548461E-4</v>
      </c>
      <c r="V183" s="12">
        <f t="shared" ca="1" si="23"/>
        <v>3.9650403269497758E-4</v>
      </c>
      <c r="W183" s="12">
        <f t="shared" ca="1" si="23"/>
        <v>-6.4936379649593867E-4</v>
      </c>
      <c r="X183" s="12">
        <f t="shared" ca="1" si="23"/>
        <v>1.5329492083474561E-2</v>
      </c>
      <c r="Y183" s="12">
        <f t="shared" ca="1" si="23"/>
        <v>2.2803447450323588E-3</v>
      </c>
      <c r="Z183" s="12">
        <f t="shared" ca="1" si="23"/>
        <v>-6.0454724668156157E-2</v>
      </c>
    </row>
    <row r="184" spans="13:26">
      <c r="M184" s="13">
        <v>181</v>
      </c>
      <c r="N184" s="15">
        <f t="shared" ca="1" si="17"/>
        <v>101</v>
      </c>
      <c r="O184" s="13">
        <v>181</v>
      </c>
      <c r="P184" s="19">
        <f t="shared" ca="1" si="18"/>
        <v>44286</v>
      </c>
      <c r="Q184" s="12">
        <f t="shared" ref="Q184:Z193" ca="1" si="24">INDEX(histrets,$N184,Q$1)</f>
        <v>2.7500000000000001E-5</v>
      </c>
      <c r="R184" s="12">
        <f t="shared" ca="1" si="24"/>
        <v>1.8655477596030146E-4</v>
      </c>
      <c r="S184" s="12">
        <f t="shared" ca="1" si="24"/>
        <v>2.6226794750616733E-5</v>
      </c>
      <c r="T184" s="12">
        <f t="shared" ca="1" si="24"/>
        <v>-8.1406923077331772E-4</v>
      </c>
      <c r="U184" s="12">
        <f t="shared" ca="1" si="24"/>
        <v>-1.2653570914514911E-2</v>
      </c>
      <c r="V184" s="12">
        <f t="shared" ca="1" si="24"/>
        <v>-5.7461233487734464E-3</v>
      </c>
      <c r="W184" s="12">
        <f t="shared" ca="1" si="24"/>
        <v>-1.3870140935728026E-2</v>
      </c>
      <c r="X184" s="12">
        <f t="shared" ca="1" si="24"/>
        <v>4.2438634008107767E-2</v>
      </c>
      <c r="Y184" s="12">
        <f t="shared" ca="1" si="24"/>
        <v>3.109380214235169E-2</v>
      </c>
      <c r="Z184" s="12">
        <f t="shared" ca="1" si="24"/>
        <v>-1.5184194136236728E-2</v>
      </c>
    </row>
    <row r="185" spans="13:26">
      <c r="M185" s="13">
        <v>182</v>
      </c>
      <c r="N185" s="15">
        <f t="shared" ca="1" si="17"/>
        <v>17</v>
      </c>
      <c r="O185" s="13">
        <v>182</v>
      </c>
      <c r="P185" s="19">
        <f t="shared" ca="1" si="18"/>
        <v>41729</v>
      </c>
      <c r="Q185" s="12">
        <f t="shared" ca="1" si="24"/>
        <v>3.8000000000000002E-5</v>
      </c>
      <c r="R185" s="12">
        <f t="shared" ca="1" si="24"/>
        <v>-1.107151021881192E-3</v>
      </c>
      <c r="S185" s="12">
        <f t="shared" ca="1" si="24"/>
        <v>-8.6527596556373876E-4</v>
      </c>
      <c r="T185" s="12">
        <f t="shared" ca="1" si="24"/>
        <v>-2.8994238099677716E-4</v>
      </c>
      <c r="U185" s="12">
        <f t="shared" ca="1" si="24"/>
        <v>-2.817973742041735E-3</v>
      </c>
      <c r="V185" s="12">
        <f t="shared" ca="1" si="24"/>
        <v>-1.3003567426064233E-3</v>
      </c>
      <c r="W185" s="12">
        <f t="shared" ca="1" si="24"/>
        <v>7.1137327652026627E-4</v>
      </c>
      <c r="X185" s="12">
        <f t="shared" ca="1" si="24"/>
        <v>6.9321573583585039E-3</v>
      </c>
      <c r="Y185" s="12">
        <f t="shared" ca="1" si="24"/>
        <v>-9.1321475468553182E-4</v>
      </c>
      <c r="Z185" s="12">
        <f t="shared" ca="1" si="24"/>
        <v>-3.1951386847005825E-2</v>
      </c>
    </row>
    <row r="186" spans="13:26">
      <c r="M186" s="13">
        <v>183</v>
      </c>
      <c r="N186" s="15">
        <f t="shared" ca="1" si="17"/>
        <v>25</v>
      </c>
      <c r="O186" s="13">
        <v>183</v>
      </c>
      <c r="P186" s="19">
        <f t="shared" ca="1" si="18"/>
        <v>41971</v>
      </c>
      <c r="Q186" s="12">
        <f t="shared" ca="1" si="24"/>
        <v>4.25E-6</v>
      </c>
      <c r="R186" s="12">
        <f t="shared" ca="1" si="24"/>
        <v>1.443744948854242E-3</v>
      </c>
      <c r="S186" s="12">
        <f t="shared" ca="1" si="24"/>
        <v>1.9357027559991913E-3</v>
      </c>
      <c r="T186" s="12">
        <f t="shared" ca="1" si="24"/>
        <v>1.5162211447656837E-3</v>
      </c>
      <c r="U186" s="12">
        <f t="shared" ca="1" si="24"/>
        <v>9.2188180995642632E-3</v>
      </c>
      <c r="V186" s="12">
        <f t="shared" ca="1" si="24"/>
        <v>5.5442181625036113E-3</v>
      </c>
      <c r="W186" s="12">
        <f t="shared" ca="1" si="24"/>
        <v>6.3511658001995652E-3</v>
      </c>
      <c r="X186" s="12">
        <f t="shared" ca="1" si="24"/>
        <v>2.4533584400783015E-2</v>
      </c>
      <c r="Y186" s="12">
        <f t="shared" ca="1" si="24"/>
        <v>1.838896076904617E-2</v>
      </c>
      <c r="Z186" s="12">
        <f t="shared" ca="1" si="24"/>
        <v>-4.7402254164747859E-3</v>
      </c>
    </row>
    <row r="187" spans="13:26">
      <c r="M187" s="13">
        <v>184</v>
      </c>
      <c r="N187" s="15">
        <f t="shared" ca="1" si="17"/>
        <v>66</v>
      </c>
      <c r="O187" s="13">
        <v>184</v>
      </c>
      <c r="P187" s="19">
        <f t="shared" ca="1" si="18"/>
        <v>43220</v>
      </c>
      <c r="Q187" s="12">
        <f t="shared" ca="1" si="24"/>
        <v>1.41675E-3</v>
      </c>
      <c r="R187" s="12">
        <f t="shared" ca="1" si="24"/>
        <v>-1.5536089452187207E-3</v>
      </c>
      <c r="S187" s="12">
        <f t="shared" ca="1" si="24"/>
        <v>-1.430571212275189E-3</v>
      </c>
      <c r="T187" s="12">
        <f t="shared" ca="1" si="24"/>
        <v>9.3121018202180217E-4</v>
      </c>
      <c r="U187" s="12">
        <f t="shared" ca="1" si="24"/>
        <v>-8.2301211651442108E-3</v>
      </c>
      <c r="V187" s="12">
        <f t="shared" ca="1" si="24"/>
        <v>-5.9502690359257704E-3</v>
      </c>
      <c r="W187" s="12">
        <f t="shared" ca="1" si="24"/>
        <v>-8.5163131234153866E-3</v>
      </c>
      <c r="X187" s="12">
        <f t="shared" ca="1" si="24"/>
        <v>2.718801001185378E-3</v>
      </c>
      <c r="Y187" s="12">
        <f t="shared" ca="1" si="24"/>
        <v>9.5169437402025103E-3</v>
      </c>
      <c r="Z187" s="12">
        <f t="shared" ca="1" si="24"/>
        <v>-7.6123366629446965E-3</v>
      </c>
    </row>
    <row r="188" spans="13:26">
      <c r="M188" s="13">
        <v>185</v>
      </c>
      <c r="N188" s="15">
        <f t="shared" ca="1" si="17"/>
        <v>96</v>
      </c>
      <c r="O188" s="13">
        <v>185</v>
      </c>
      <c r="P188" s="19">
        <f t="shared" ca="1" si="18"/>
        <v>44134</v>
      </c>
      <c r="Q188" s="12">
        <f t="shared" ca="1" si="24"/>
        <v>7.6249999999999997E-5</v>
      </c>
      <c r="R188" s="12">
        <f t="shared" ca="1" si="24"/>
        <v>-4.2126561468813772E-4</v>
      </c>
      <c r="S188" s="12">
        <f t="shared" ca="1" si="24"/>
        <v>-6.7095641189895971E-5</v>
      </c>
      <c r="T188" s="12">
        <f t="shared" ca="1" si="24"/>
        <v>1.8149952186470308E-3</v>
      </c>
      <c r="U188" s="12">
        <f t="shared" ca="1" si="24"/>
        <v>-1.0096313199052798E-2</v>
      </c>
      <c r="V188" s="12">
        <f t="shared" ca="1" si="24"/>
        <v>-3.5705368143630345E-3</v>
      </c>
      <c r="W188" s="12">
        <f t="shared" ca="1" si="24"/>
        <v>-1.7153852038643835E-3</v>
      </c>
      <c r="X188" s="12">
        <f t="shared" ca="1" si="24"/>
        <v>-2.7665774606006499E-2</v>
      </c>
      <c r="Y188" s="12">
        <f t="shared" ca="1" si="24"/>
        <v>-3.1403261985324948E-2</v>
      </c>
      <c r="Z188" s="12">
        <f t="shared" ca="1" si="24"/>
        <v>-3.7172158530506261E-3</v>
      </c>
    </row>
    <row r="189" spans="13:26">
      <c r="M189" s="13">
        <v>186</v>
      </c>
      <c r="N189" s="15">
        <f t="shared" ca="1" si="17"/>
        <v>64</v>
      </c>
      <c r="O189" s="13">
        <v>186</v>
      </c>
      <c r="P189" s="19">
        <f t="shared" ca="1" si="18"/>
        <v>43159</v>
      </c>
      <c r="Q189" s="12">
        <f t="shared" ca="1" si="24"/>
        <v>1.2125833333333333E-3</v>
      </c>
      <c r="R189" s="12">
        <f t="shared" ca="1" si="24"/>
        <v>-3.7977924686849462E-4</v>
      </c>
      <c r="S189" s="12">
        <f t="shared" ca="1" si="24"/>
        <v>1.7365770487831611E-5</v>
      </c>
      <c r="T189" s="12">
        <f t="shared" ca="1" si="24"/>
        <v>-2.2637442459962909E-3</v>
      </c>
      <c r="U189" s="12">
        <f t="shared" ca="1" si="24"/>
        <v>-7.8760874663250657E-3</v>
      </c>
      <c r="V189" s="12">
        <f t="shared" ca="1" si="24"/>
        <v>-3.0430541002997025E-3</v>
      </c>
      <c r="W189" s="12">
        <f t="shared" ca="1" si="24"/>
        <v>-1.4964540778451663E-2</v>
      </c>
      <c r="X189" s="12">
        <f t="shared" ca="1" si="24"/>
        <v>-3.8947379604151844E-2</v>
      </c>
      <c r="Y189" s="12">
        <f t="shared" ca="1" si="24"/>
        <v>-4.3036453344418191E-2</v>
      </c>
      <c r="Z189" s="12">
        <f t="shared" ca="1" si="24"/>
        <v>-1.9945879239335773E-2</v>
      </c>
    </row>
    <row r="190" spans="13:26">
      <c r="M190" s="13">
        <v>187</v>
      </c>
      <c r="N190" s="15">
        <f t="shared" ca="1" si="17"/>
        <v>11</v>
      </c>
      <c r="O190" s="13">
        <v>187</v>
      </c>
      <c r="P190" s="19">
        <f t="shared" ca="1" si="18"/>
        <v>41547</v>
      </c>
      <c r="Q190" s="12">
        <f t="shared" ca="1" si="24"/>
        <v>1.6916666666666667E-5</v>
      </c>
      <c r="R190" s="12">
        <f t="shared" ca="1" si="24"/>
        <v>2.2604909853345401E-3</v>
      </c>
      <c r="S190" s="12">
        <f t="shared" ca="1" si="24"/>
        <v>2.0409077397314235E-3</v>
      </c>
      <c r="T190" s="12">
        <f t="shared" ca="1" si="24"/>
        <v>4.0480627945882475E-3</v>
      </c>
      <c r="U190" s="12">
        <f t="shared" ca="1" si="24"/>
        <v>7.6369728708005624E-3</v>
      </c>
      <c r="V190" s="12">
        <f t="shared" ca="1" si="24"/>
        <v>6.3216309372344792E-3</v>
      </c>
      <c r="W190" s="12">
        <f t="shared" ca="1" si="24"/>
        <v>8.2365093403367062E-3</v>
      </c>
      <c r="X190" s="12">
        <f t="shared" ca="1" si="24"/>
        <v>2.9749474883188354E-2</v>
      </c>
      <c r="Y190" s="12">
        <f t="shared" ca="1" si="24"/>
        <v>4.816192946480724E-2</v>
      </c>
      <c r="Z190" s="12">
        <f t="shared" ca="1" si="24"/>
        <v>-4.7474682319551098E-2</v>
      </c>
    </row>
    <row r="191" spans="13:26">
      <c r="M191" s="13">
        <v>188</v>
      </c>
      <c r="N191" s="15">
        <f t="shared" ca="1" si="17"/>
        <v>78</v>
      </c>
      <c r="O191" s="13">
        <v>188</v>
      </c>
      <c r="P191" s="19">
        <f t="shared" ca="1" si="18"/>
        <v>43585</v>
      </c>
      <c r="Q191" s="12">
        <f t="shared" ca="1" si="24"/>
        <v>1.9840833333333334E-3</v>
      </c>
      <c r="R191" s="12">
        <f t="shared" ca="1" si="24"/>
        <v>2.032029732946361E-3</v>
      </c>
      <c r="S191" s="12">
        <f t="shared" ca="1" si="24"/>
        <v>2.0692667898007944E-3</v>
      </c>
      <c r="T191" s="12">
        <f t="shared" ca="1" si="24"/>
        <v>3.2555151484721101E-3</v>
      </c>
      <c r="U191" s="12">
        <f t="shared" ca="1" si="24"/>
        <v>-3.235594213409243E-3</v>
      </c>
      <c r="V191" s="12">
        <f t="shared" ca="1" si="24"/>
        <v>2.1207871847783721E-5</v>
      </c>
      <c r="W191" s="12">
        <f t="shared" ca="1" si="24"/>
        <v>5.5683250661680006E-3</v>
      </c>
      <c r="X191" s="12">
        <f t="shared" ca="1" si="24"/>
        <v>3.9313434942139347E-2</v>
      </c>
      <c r="Y191" s="12">
        <f t="shared" ca="1" si="24"/>
        <v>3.3652158235835783E-2</v>
      </c>
      <c r="Z191" s="12">
        <f t="shared" ca="1" si="24"/>
        <v>-6.8478311332581532E-3</v>
      </c>
    </row>
    <row r="192" spans="13:26">
      <c r="M192" s="13">
        <v>189</v>
      </c>
      <c r="N192" s="15">
        <f t="shared" ca="1" si="17"/>
        <v>41</v>
      </c>
      <c r="O192" s="13">
        <v>189</v>
      </c>
      <c r="P192" s="19">
        <f t="shared" ca="1" si="18"/>
        <v>42460</v>
      </c>
      <c r="Q192" s="12">
        <f t="shared" ca="1" si="24"/>
        <v>2.6283333333333334E-4</v>
      </c>
      <c r="R192" s="12">
        <f t="shared" ca="1" si="24"/>
        <v>1.7450488010437581E-3</v>
      </c>
      <c r="S192" s="12">
        <f t="shared" ca="1" si="24"/>
        <v>2.0434531973680947E-3</v>
      </c>
      <c r="T192" s="12">
        <f t="shared" ca="1" si="24"/>
        <v>8.4586985427637096E-3</v>
      </c>
      <c r="U192" s="12">
        <f t="shared" ca="1" si="24"/>
        <v>1.3902308915594297E-3</v>
      </c>
      <c r="V192" s="12">
        <f t="shared" ca="1" si="24"/>
        <v>2.4232475161714007E-3</v>
      </c>
      <c r="W192" s="12">
        <f t="shared" ca="1" si="24"/>
        <v>2.7141723803574269E-2</v>
      </c>
      <c r="X192" s="12">
        <f t="shared" ca="1" si="24"/>
        <v>6.5991108718941094E-2</v>
      </c>
      <c r="Y192" s="12">
        <f t="shared" ca="1" si="24"/>
        <v>6.5248162774614205E-2</v>
      </c>
      <c r="Z192" s="12">
        <f t="shared" ca="1" si="24"/>
        <v>-4.7793197542526089E-3</v>
      </c>
    </row>
    <row r="193" spans="13:26">
      <c r="M193" s="13">
        <v>190</v>
      </c>
      <c r="N193" s="15">
        <f t="shared" ca="1" si="17"/>
        <v>23</v>
      </c>
      <c r="O193" s="13">
        <v>190</v>
      </c>
      <c r="P193" s="19">
        <f t="shared" ca="1" si="18"/>
        <v>41912</v>
      </c>
      <c r="Q193" s="12">
        <f t="shared" ca="1" si="24"/>
        <v>1.6916666666666667E-5</v>
      </c>
      <c r="R193" s="12">
        <f t="shared" ca="1" si="24"/>
        <v>-5.5918784954711587E-4</v>
      </c>
      <c r="S193" s="12">
        <f t="shared" ca="1" si="24"/>
        <v>-1.4454531212915178E-4</v>
      </c>
      <c r="T193" s="12">
        <f t="shared" ca="1" si="24"/>
        <v>-1.0665751749033836E-3</v>
      </c>
      <c r="U193" s="12">
        <f t="shared" ca="1" si="24"/>
        <v>-6.3298466173178358E-3</v>
      </c>
      <c r="V193" s="12">
        <f t="shared" ca="1" si="24"/>
        <v>-3.1157649714820268E-3</v>
      </c>
      <c r="W193" s="12">
        <f t="shared" ca="1" si="24"/>
        <v>-1.2431832190915149E-2</v>
      </c>
      <c r="X193" s="12">
        <f t="shared" ca="1" si="24"/>
        <v>-1.5513859147336717E-2</v>
      </c>
      <c r="Y193" s="12">
        <f t="shared" ca="1" si="24"/>
        <v>-2.8752952209940008E-2</v>
      </c>
      <c r="Z193" s="12">
        <f t="shared" ca="1" si="24"/>
        <v>-6.1499860174626275E-2</v>
      </c>
    </row>
    <row r="194" spans="13:26">
      <c r="M194" s="13">
        <v>191</v>
      </c>
      <c r="N194" s="15">
        <f t="shared" ca="1" si="17"/>
        <v>72</v>
      </c>
      <c r="O194" s="13">
        <v>191</v>
      </c>
      <c r="P194" s="19">
        <f t="shared" ca="1" si="18"/>
        <v>43404</v>
      </c>
      <c r="Q194" s="12">
        <f t="shared" ref="Q194:Z203" ca="1" si="25">INDEX(histrets,$N194,Q$1)</f>
        <v>1.8303333333333333E-3</v>
      </c>
      <c r="R194" s="12">
        <f t="shared" ca="1" si="25"/>
        <v>1.5164006202290636E-3</v>
      </c>
      <c r="S194" s="12">
        <f t="shared" ca="1" si="25"/>
        <v>1.2362527596325723E-3</v>
      </c>
      <c r="T194" s="12">
        <f t="shared" ca="1" si="25"/>
        <v>2.1380012441407636E-4</v>
      </c>
      <c r="U194" s="12">
        <f t="shared" ca="1" si="25"/>
        <v>-5.2709561006659689E-3</v>
      </c>
      <c r="V194" s="12">
        <f t="shared" ca="1" si="25"/>
        <v>-1.2742312416149648E-3</v>
      </c>
      <c r="W194" s="12">
        <f t="shared" ca="1" si="25"/>
        <v>-1.3513314082477024E-2</v>
      </c>
      <c r="X194" s="12">
        <f t="shared" ca="1" si="25"/>
        <v>-6.9403358979814644E-2</v>
      </c>
      <c r="Y194" s="12">
        <f t="shared" ca="1" si="25"/>
        <v>-7.4189220745326301E-2</v>
      </c>
      <c r="Z194" s="12">
        <f t="shared" ca="1" si="25"/>
        <v>2.0052398226521495E-2</v>
      </c>
    </row>
    <row r="195" spans="13:26">
      <c r="M195" s="13">
        <v>192</v>
      </c>
      <c r="N195" s="15">
        <f t="shared" ca="1" si="17"/>
        <v>86</v>
      </c>
      <c r="O195" s="13">
        <v>192</v>
      </c>
      <c r="P195" s="19">
        <f t="shared" ca="1" si="18"/>
        <v>43830</v>
      </c>
      <c r="Q195" s="12">
        <f t="shared" ca="1" si="25"/>
        <v>1.3059999999999999E-3</v>
      </c>
      <c r="R195" s="12">
        <f t="shared" ca="1" si="25"/>
        <v>2.1205151268308686E-3</v>
      </c>
      <c r="S195" s="12">
        <f t="shared" ca="1" si="25"/>
        <v>2.0915015047420216E-3</v>
      </c>
      <c r="T195" s="12">
        <f t="shared" ca="1" si="25"/>
        <v>3.4688001557421355E-3</v>
      </c>
      <c r="U195" s="12">
        <f t="shared" ca="1" si="25"/>
        <v>-6.162005891732214E-3</v>
      </c>
      <c r="V195" s="12">
        <f t="shared" ca="1" si="25"/>
        <v>-2.0535388229255824E-3</v>
      </c>
      <c r="W195" s="12">
        <f t="shared" ca="1" si="25"/>
        <v>3.1502213769212251E-3</v>
      </c>
      <c r="X195" s="12">
        <f t="shared" ca="1" si="25"/>
        <v>2.8589803182446305E-2</v>
      </c>
      <c r="Y195" s="12">
        <f t="shared" ca="1" si="25"/>
        <v>2.8884157992548731E-2</v>
      </c>
      <c r="Z195" s="12">
        <f t="shared" ca="1" si="25"/>
        <v>3.640077050232926E-2</v>
      </c>
    </row>
    <row r="196" spans="13:26">
      <c r="M196" s="13">
        <v>193</v>
      </c>
      <c r="N196" s="15">
        <f t="shared" ref="N196:N259" ca="1" si="26">RANDBETWEEN(1,numobs)</f>
        <v>125</v>
      </c>
      <c r="O196" s="13">
        <v>193</v>
      </c>
      <c r="P196" s="19">
        <f t="shared" ref="P196:P259" ca="1" si="27">INDEX(histdates,N196,1)</f>
        <v>45016</v>
      </c>
      <c r="Q196" s="12">
        <f t="shared" ca="1" si="25"/>
        <v>3.9739166666666664E-3</v>
      </c>
      <c r="R196" s="12">
        <f t="shared" ca="1" si="25"/>
        <v>1.5952721678990756E-2</v>
      </c>
      <c r="S196" s="12">
        <f t="shared" ca="1" si="25"/>
        <v>1.6285339772754925E-2</v>
      </c>
      <c r="T196" s="12">
        <f t="shared" ca="1" si="25"/>
        <v>8.7837685668412657E-3</v>
      </c>
      <c r="U196" s="12">
        <f t="shared" ca="1" si="25"/>
        <v>2.9576955176613406E-2</v>
      </c>
      <c r="V196" s="12">
        <f t="shared" ca="1" si="25"/>
        <v>2.1121753530337406E-2</v>
      </c>
      <c r="W196" s="12">
        <f t="shared" ca="1" si="25"/>
        <v>2.5627855244890752E-2</v>
      </c>
      <c r="X196" s="12">
        <f t="shared" ca="1" si="25"/>
        <v>3.5051572358727023E-2</v>
      </c>
      <c r="Y196" s="12">
        <f t="shared" ca="1" si="25"/>
        <v>2.8317560423934518E-2</v>
      </c>
      <c r="Z196" s="12">
        <f t="shared" ca="1" si="25"/>
        <v>7.7923499660631057E-2</v>
      </c>
    </row>
    <row r="197" spans="13:26">
      <c r="M197" s="13">
        <v>194</v>
      </c>
      <c r="N197" s="15">
        <f t="shared" ca="1" si="26"/>
        <v>48</v>
      </c>
      <c r="O197" s="13">
        <v>194</v>
      </c>
      <c r="P197" s="19">
        <f t="shared" ca="1" si="27"/>
        <v>42674</v>
      </c>
      <c r="Q197" s="12">
        <f t="shared" ca="1" si="25"/>
        <v>2.2824999999999999E-4</v>
      </c>
      <c r="R197" s="12">
        <f t="shared" ca="1" si="25"/>
        <v>-6.6904014583524241E-4</v>
      </c>
      <c r="S197" s="12">
        <f t="shared" ca="1" si="25"/>
        <v>-8.8476979395957223E-5</v>
      </c>
      <c r="T197" s="12">
        <f t="shared" ca="1" si="25"/>
        <v>4.7436962881475253E-4</v>
      </c>
      <c r="U197" s="12">
        <f t="shared" ca="1" si="25"/>
        <v>-1.151288919576221E-2</v>
      </c>
      <c r="V197" s="12">
        <f t="shared" ca="1" si="25"/>
        <v>-4.5227010929861367E-3</v>
      </c>
      <c r="W197" s="12">
        <f t="shared" ca="1" si="25"/>
        <v>-8.2772866137545975E-3</v>
      </c>
      <c r="X197" s="12">
        <f t="shared" ca="1" si="25"/>
        <v>-1.9425625037472249E-2</v>
      </c>
      <c r="Y197" s="12">
        <f t="shared" ca="1" si="25"/>
        <v>-2.0137106167459562E-2</v>
      </c>
      <c r="Z197" s="12">
        <f t="shared" ca="1" si="25"/>
        <v>-2.9379801956120222E-2</v>
      </c>
    </row>
    <row r="198" spans="13:26">
      <c r="M198" s="13">
        <v>195</v>
      </c>
      <c r="N198" s="15">
        <f t="shared" ca="1" si="26"/>
        <v>95</v>
      </c>
      <c r="O198" s="13">
        <v>195</v>
      </c>
      <c r="P198" s="19">
        <f t="shared" ca="1" si="27"/>
        <v>44104</v>
      </c>
      <c r="Q198" s="12">
        <f t="shared" ca="1" si="25"/>
        <v>7.8166666666666665E-5</v>
      </c>
      <c r="R198" s="12">
        <f t="shared" ca="1" si="25"/>
        <v>2.7037860119394352E-4</v>
      </c>
      <c r="S198" s="12">
        <f t="shared" ca="1" si="25"/>
        <v>3.0931903851394438E-4</v>
      </c>
      <c r="T198" s="12">
        <f t="shared" ca="1" si="25"/>
        <v>-1.1885340045969528E-4</v>
      </c>
      <c r="U198" s="12">
        <f t="shared" ca="1" si="25"/>
        <v>1.8500889599100123E-3</v>
      </c>
      <c r="V198" s="12">
        <f t="shared" ca="1" si="25"/>
        <v>1.6540901537707153E-3</v>
      </c>
      <c r="W198" s="12">
        <f t="shared" ca="1" si="25"/>
        <v>-2.6417169576633537E-3</v>
      </c>
      <c r="X198" s="12">
        <f t="shared" ca="1" si="25"/>
        <v>-3.9227954095494399E-2</v>
      </c>
      <c r="Y198" s="12">
        <f t="shared" ca="1" si="25"/>
        <v>-3.5935508305810271E-2</v>
      </c>
      <c r="Z198" s="12">
        <f t="shared" ca="1" si="25"/>
        <v>-4.1660737879865906E-2</v>
      </c>
    </row>
    <row r="199" spans="13:26">
      <c r="M199" s="13">
        <v>196</v>
      </c>
      <c r="N199" s="15">
        <f t="shared" ca="1" si="26"/>
        <v>43</v>
      </c>
      <c r="O199" s="13">
        <v>196</v>
      </c>
      <c r="P199" s="19">
        <f t="shared" ca="1" si="27"/>
        <v>42521</v>
      </c>
      <c r="Q199" s="12">
        <f t="shared" ca="1" si="25"/>
        <v>1.7374999999999999E-4</v>
      </c>
      <c r="R199" s="12">
        <f t="shared" ca="1" si="25"/>
        <v>-1.0628856830331435E-3</v>
      </c>
      <c r="S199" s="12">
        <f t="shared" ca="1" si="25"/>
        <v>-5.5927657376853013E-4</v>
      </c>
      <c r="T199" s="12">
        <f t="shared" ca="1" si="25"/>
        <v>1.5459070746159931E-4</v>
      </c>
      <c r="U199" s="12">
        <f t="shared" ca="1" si="25"/>
        <v>3.748514902548461E-4</v>
      </c>
      <c r="V199" s="12">
        <f t="shared" ca="1" si="25"/>
        <v>3.9650403269497758E-4</v>
      </c>
      <c r="W199" s="12">
        <f t="shared" ca="1" si="25"/>
        <v>-6.4936379649593867E-4</v>
      </c>
      <c r="X199" s="12">
        <f t="shared" ca="1" si="25"/>
        <v>1.5329492083474561E-2</v>
      </c>
      <c r="Y199" s="12">
        <f t="shared" ca="1" si="25"/>
        <v>2.2803447450323588E-3</v>
      </c>
      <c r="Z199" s="12">
        <f t="shared" ca="1" si="25"/>
        <v>-6.0454724668156157E-2</v>
      </c>
    </row>
    <row r="200" spans="13:26">
      <c r="M200" s="13">
        <v>197</v>
      </c>
      <c r="N200" s="15">
        <f t="shared" ca="1" si="26"/>
        <v>103</v>
      </c>
      <c r="O200" s="13">
        <v>197</v>
      </c>
      <c r="P200" s="19">
        <f t="shared" ca="1" si="27"/>
        <v>44347</v>
      </c>
      <c r="Q200" s="12">
        <f t="shared" ca="1" si="25"/>
        <v>2.0833333333333334E-6</v>
      </c>
      <c r="R200" s="12">
        <f t="shared" ca="1" si="25"/>
        <v>7.5601374570455349E-4</v>
      </c>
      <c r="S200" s="12">
        <f t="shared" ca="1" si="25"/>
        <v>7.7117116067437763E-4</v>
      </c>
      <c r="T200" s="12">
        <f t="shared" ca="1" si="25"/>
        <v>2.1318730865014235E-3</v>
      </c>
      <c r="U200" s="12">
        <f t="shared" ca="1" si="25"/>
        <v>2.9767087748440169E-3</v>
      </c>
      <c r="V200" s="12">
        <f t="shared" ca="1" si="25"/>
        <v>2.9418212628797846E-3</v>
      </c>
      <c r="W200" s="12">
        <f t="shared" ca="1" si="25"/>
        <v>7.0206864587414319E-3</v>
      </c>
      <c r="X200" s="12">
        <f t="shared" ca="1" si="25"/>
        <v>5.4865025818131574E-3</v>
      </c>
      <c r="Y200" s="12">
        <f t="shared" ca="1" si="25"/>
        <v>1.2569927452394714E-2</v>
      </c>
      <c r="Z200" s="12">
        <f t="shared" ca="1" si="25"/>
        <v>7.7857477969397237E-2</v>
      </c>
    </row>
    <row r="201" spans="13:26">
      <c r="M201" s="13">
        <v>198</v>
      </c>
      <c r="N201" s="15">
        <f t="shared" ca="1" si="26"/>
        <v>61</v>
      </c>
      <c r="O201" s="13">
        <v>198</v>
      </c>
      <c r="P201" s="19">
        <f t="shared" ca="1" si="27"/>
        <v>43069</v>
      </c>
      <c r="Q201" s="12">
        <f t="shared" ca="1" si="25"/>
        <v>9.4266666666666663E-4</v>
      </c>
      <c r="R201" s="12">
        <f t="shared" ca="1" si="25"/>
        <v>-2.0146997832231062E-3</v>
      </c>
      <c r="S201" s="12">
        <f t="shared" ca="1" si="25"/>
        <v>-1.8728800366084597E-3</v>
      </c>
      <c r="T201" s="12">
        <f t="shared" ca="1" si="25"/>
        <v>-2.1559110006906801E-3</v>
      </c>
      <c r="U201" s="12">
        <f t="shared" ca="1" si="25"/>
        <v>-1.2127873382741239E-3</v>
      </c>
      <c r="V201" s="12">
        <f t="shared" ca="1" si="25"/>
        <v>-1.6044082426390771E-3</v>
      </c>
      <c r="W201" s="12">
        <f t="shared" ca="1" si="25"/>
        <v>-1.4039017808715748E-3</v>
      </c>
      <c r="X201" s="12">
        <f t="shared" ca="1" si="25"/>
        <v>2.8082601368405458E-2</v>
      </c>
      <c r="Y201" s="12">
        <f t="shared" ca="1" si="25"/>
        <v>1.99135899450118E-2</v>
      </c>
      <c r="Z201" s="12">
        <f t="shared" ca="1" si="25"/>
        <v>2.792065814103406E-3</v>
      </c>
    </row>
    <row r="202" spans="13:26">
      <c r="M202" s="13">
        <v>199</v>
      </c>
      <c r="N202" s="15">
        <f t="shared" ca="1" si="26"/>
        <v>88</v>
      </c>
      <c r="O202" s="13">
        <v>199</v>
      </c>
      <c r="P202" s="19">
        <f t="shared" ca="1" si="27"/>
        <v>43889</v>
      </c>
      <c r="Q202" s="12">
        <f t="shared" ca="1" si="25"/>
        <v>1.2818333333333334E-3</v>
      </c>
      <c r="R202" s="12">
        <f t="shared" ca="1" si="25"/>
        <v>8.7077755112952016E-3</v>
      </c>
      <c r="S202" s="12">
        <f t="shared" ca="1" si="25"/>
        <v>6.9867636458949001E-3</v>
      </c>
      <c r="T202" s="12">
        <f t="shared" ca="1" si="25"/>
        <v>5.7640709532034151E-3</v>
      </c>
      <c r="U202" s="12">
        <f t="shared" ca="1" si="25"/>
        <v>2.7281550152716161E-2</v>
      </c>
      <c r="V202" s="12">
        <f t="shared" ca="1" si="25"/>
        <v>1.6583845828477273E-2</v>
      </c>
      <c r="W202" s="12">
        <f t="shared" ca="1" si="25"/>
        <v>1.2903863943770189E-2</v>
      </c>
      <c r="X202" s="12">
        <f t="shared" ca="1" si="25"/>
        <v>-8.4110469009648137E-2</v>
      </c>
      <c r="Y202" s="12">
        <f t="shared" ca="1" si="25"/>
        <v>-8.5932864016120103E-2</v>
      </c>
      <c r="Z202" s="12">
        <f t="shared" ca="1" si="25"/>
        <v>-2.1835435072616871E-3</v>
      </c>
    </row>
    <row r="203" spans="13:26">
      <c r="M203" s="13">
        <v>200</v>
      </c>
      <c r="N203" s="15">
        <f t="shared" ca="1" si="26"/>
        <v>109</v>
      </c>
      <c r="O203" s="13">
        <v>200</v>
      </c>
      <c r="P203" s="19">
        <f t="shared" ca="1" si="27"/>
        <v>44530</v>
      </c>
      <c r="Q203" s="12">
        <f t="shared" ca="1" si="25"/>
        <v>4.0166666666666669E-5</v>
      </c>
      <c r="R203" s="12">
        <f t="shared" ca="1" si="25"/>
        <v>1.9179953936432348E-4</v>
      </c>
      <c r="S203" s="12">
        <f t="shared" ca="1" si="25"/>
        <v>-4.641756393909402E-4</v>
      </c>
      <c r="T203" s="12">
        <f t="shared" ca="1" si="25"/>
        <v>-1.5428627549128882E-3</v>
      </c>
      <c r="U203" s="12">
        <f t="shared" ca="1" si="25"/>
        <v>8.9050093712257361E-3</v>
      </c>
      <c r="V203" s="12">
        <f t="shared" ca="1" si="25"/>
        <v>1.7489296007073829E-3</v>
      </c>
      <c r="W203" s="12">
        <f t="shared" ca="1" si="25"/>
        <v>9.181251245917732E-4</v>
      </c>
      <c r="X203" s="12">
        <f t="shared" ca="1" si="25"/>
        <v>-8.3337314184714906E-3</v>
      </c>
      <c r="Y203" s="12">
        <f t="shared" ca="1" si="25"/>
        <v>-2.2972032267310816E-2</v>
      </c>
      <c r="Z203" s="12">
        <f t="shared" ca="1" si="25"/>
        <v>-4.9680942928597149E-3</v>
      </c>
    </row>
    <row r="204" spans="13:26">
      <c r="M204" s="13">
        <v>201</v>
      </c>
      <c r="N204" s="15">
        <f t="shared" ca="1" si="26"/>
        <v>76</v>
      </c>
      <c r="O204" s="13">
        <v>201</v>
      </c>
      <c r="P204" s="19">
        <f t="shared" ca="1" si="27"/>
        <v>43524</v>
      </c>
      <c r="Q204" s="12">
        <f t="shared" ref="Q204:Z213" ca="1" si="28">INDEX(histrets,$N204,Q$1)</f>
        <v>1.9865833333333333E-3</v>
      </c>
      <c r="R204" s="12">
        <f t="shared" ca="1" si="28"/>
        <v>1.0051696844186608E-3</v>
      </c>
      <c r="S204" s="12">
        <f t="shared" ca="1" si="28"/>
        <v>1.2578004850634095E-3</v>
      </c>
      <c r="T204" s="12">
        <f t="shared" ca="1" si="28"/>
        <v>3.5059253369462695E-3</v>
      </c>
      <c r="U204" s="12">
        <f t="shared" ca="1" si="28"/>
        <v>-2.7752785488605047E-3</v>
      </c>
      <c r="V204" s="12">
        <f t="shared" ca="1" si="28"/>
        <v>3.5532293312900975E-4</v>
      </c>
      <c r="W204" s="12">
        <f t="shared" ca="1" si="28"/>
        <v>3.595733609209395E-3</v>
      </c>
      <c r="X204" s="12">
        <f t="shared" ca="1" si="28"/>
        <v>2.9728930143116061E-2</v>
      </c>
      <c r="Y204" s="12">
        <f t="shared" ca="1" si="28"/>
        <v>2.8272261633037532E-2</v>
      </c>
      <c r="Z204" s="12">
        <f t="shared" ca="1" si="28"/>
        <v>-6.0018921475875064E-3</v>
      </c>
    </row>
    <row r="205" spans="13:26">
      <c r="M205" s="13">
        <v>202</v>
      </c>
      <c r="N205" s="15">
        <f t="shared" ca="1" si="26"/>
        <v>83</v>
      </c>
      <c r="O205" s="13">
        <v>202</v>
      </c>
      <c r="P205" s="19">
        <f t="shared" ca="1" si="27"/>
        <v>43738</v>
      </c>
      <c r="Q205" s="12">
        <f t="shared" ca="1" si="28"/>
        <v>1.6470833333333333E-3</v>
      </c>
      <c r="R205" s="12">
        <f t="shared" ca="1" si="28"/>
        <v>-1.1088414569325744E-3</v>
      </c>
      <c r="S205" s="12">
        <f t="shared" ca="1" si="28"/>
        <v>-5.3130370807907834E-4</v>
      </c>
      <c r="T205" s="12">
        <f t="shared" ca="1" si="28"/>
        <v>1.1734338582427561E-3</v>
      </c>
      <c r="U205" s="12">
        <f t="shared" ca="1" si="28"/>
        <v>-9.0342588454982442E-3</v>
      </c>
      <c r="V205" s="12">
        <f t="shared" ca="1" si="28"/>
        <v>-4.7823813727966291E-3</v>
      </c>
      <c r="W205" s="12">
        <f t="shared" ca="1" si="28"/>
        <v>-6.1853316184858897E-3</v>
      </c>
      <c r="X205" s="12">
        <f t="shared" ca="1" si="28"/>
        <v>1.7181167690656807E-2</v>
      </c>
      <c r="Y205" s="12">
        <f t="shared" ca="1" si="28"/>
        <v>1.9405944297925748E-2</v>
      </c>
      <c r="Z205" s="12">
        <f t="shared" ca="1" si="28"/>
        <v>-3.1498704271300637E-2</v>
      </c>
    </row>
    <row r="206" spans="13:26">
      <c r="M206" s="13">
        <v>203</v>
      </c>
      <c r="N206" s="15">
        <f t="shared" ca="1" si="26"/>
        <v>51</v>
      </c>
      <c r="O206" s="13">
        <v>203</v>
      </c>
      <c r="P206" s="19">
        <f t="shared" ca="1" si="27"/>
        <v>42766</v>
      </c>
      <c r="Q206" s="12">
        <f t="shared" ca="1" si="28"/>
        <v>4.1449999999999999E-4</v>
      </c>
      <c r="R206" s="12">
        <f t="shared" ca="1" si="28"/>
        <v>1.2595942970663465E-3</v>
      </c>
      <c r="S206" s="12">
        <f t="shared" ca="1" si="28"/>
        <v>1.4926153982737222E-3</v>
      </c>
      <c r="T206" s="12">
        <f t="shared" ca="1" si="28"/>
        <v>2.8715504687633064E-3</v>
      </c>
      <c r="U206" s="12">
        <f t="shared" ca="1" si="28"/>
        <v>2.2582492213598648E-3</v>
      </c>
      <c r="V206" s="12">
        <f t="shared" ca="1" si="28"/>
        <v>2.7233480850845648E-3</v>
      </c>
      <c r="W206" s="12">
        <f t="shared" ca="1" si="28"/>
        <v>4.1011262270076454E-3</v>
      </c>
      <c r="X206" s="12">
        <f t="shared" ca="1" si="28"/>
        <v>1.7884341374735824E-2</v>
      </c>
      <c r="Y206" s="12">
        <f t="shared" ca="1" si="28"/>
        <v>2.3515035232580805E-2</v>
      </c>
      <c r="Z206" s="12">
        <f t="shared" ca="1" si="28"/>
        <v>5.5093681917211423E-2</v>
      </c>
    </row>
    <row r="207" spans="13:26">
      <c r="M207" s="13">
        <v>204</v>
      </c>
      <c r="N207" s="15">
        <f t="shared" ca="1" si="26"/>
        <v>11</v>
      </c>
      <c r="O207" s="13">
        <v>204</v>
      </c>
      <c r="P207" s="19">
        <f t="shared" ca="1" si="27"/>
        <v>41547</v>
      </c>
      <c r="Q207" s="12">
        <f t="shared" ca="1" si="28"/>
        <v>1.6916666666666667E-5</v>
      </c>
      <c r="R207" s="12">
        <f t="shared" ca="1" si="28"/>
        <v>2.2604909853345401E-3</v>
      </c>
      <c r="S207" s="12">
        <f t="shared" ca="1" si="28"/>
        <v>2.0409077397314235E-3</v>
      </c>
      <c r="T207" s="12">
        <f t="shared" ca="1" si="28"/>
        <v>4.0480627945882475E-3</v>
      </c>
      <c r="U207" s="12">
        <f t="shared" ca="1" si="28"/>
        <v>7.6369728708005624E-3</v>
      </c>
      <c r="V207" s="12">
        <f t="shared" ca="1" si="28"/>
        <v>6.3216309372344792E-3</v>
      </c>
      <c r="W207" s="12">
        <f t="shared" ca="1" si="28"/>
        <v>8.2365093403367062E-3</v>
      </c>
      <c r="X207" s="12">
        <f t="shared" ca="1" si="28"/>
        <v>2.9749474883188354E-2</v>
      </c>
      <c r="Y207" s="12">
        <f t="shared" ca="1" si="28"/>
        <v>4.816192946480724E-2</v>
      </c>
      <c r="Z207" s="12">
        <f t="shared" ca="1" si="28"/>
        <v>-4.7474682319551098E-2</v>
      </c>
    </row>
    <row r="208" spans="13:26">
      <c r="M208" s="13">
        <v>205</v>
      </c>
      <c r="N208" s="15">
        <f t="shared" ca="1" si="26"/>
        <v>80</v>
      </c>
      <c r="O208" s="13">
        <v>205</v>
      </c>
      <c r="P208" s="19">
        <f t="shared" ca="1" si="27"/>
        <v>43644</v>
      </c>
      <c r="Q208" s="12">
        <f t="shared" ca="1" si="28"/>
        <v>1.9499166666666666E-3</v>
      </c>
      <c r="R208" s="12">
        <f t="shared" ca="1" si="28"/>
        <v>5.1917075031886473E-3</v>
      </c>
      <c r="S208" s="12">
        <f t="shared" ca="1" si="28"/>
        <v>4.2090899628399736E-3</v>
      </c>
      <c r="T208" s="12">
        <f t="shared" ca="1" si="28"/>
        <v>7.0753769980971271E-3</v>
      </c>
      <c r="U208" s="12">
        <f t="shared" ca="1" si="28"/>
        <v>9.2802295657687939E-3</v>
      </c>
      <c r="V208" s="12">
        <f t="shared" ca="1" si="28"/>
        <v>7.1252807034192234E-3</v>
      </c>
      <c r="W208" s="12">
        <f t="shared" ca="1" si="28"/>
        <v>2.2998364645352432E-2</v>
      </c>
      <c r="X208" s="12">
        <f t="shared" ca="1" si="28"/>
        <v>6.8930183208214979E-2</v>
      </c>
      <c r="Y208" s="12">
        <f t="shared" ca="1" si="28"/>
        <v>6.4557116676847937E-2</v>
      </c>
      <c r="Z208" s="12">
        <f t="shared" ca="1" si="28"/>
        <v>7.9635104704422588E-2</v>
      </c>
    </row>
    <row r="209" spans="13:26">
      <c r="M209" s="13">
        <v>206</v>
      </c>
      <c r="N209" s="15">
        <f t="shared" ca="1" si="26"/>
        <v>12</v>
      </c>
      <c r="O209" s="13">
        <v>206</v>
      </c>
      <c r="P209" s="19">
        <f t="shared" ca="1" si="27"/>
        <v>41578</v>
      </c>
      <c r="Q209" s="12">
        <f t="shared" ca="1" si="28"/>
        <v>4.25E-6</v>
      </c>
      <c r="R209" s="12">
        <f t="shared" ca="1" si="28"/>
        <v>1.0262168533272664E-3</v>
      </c>
      <c r="S209" s="12">
        <f t="shared" ca="1" si="28"/>
        <v>1.6937705168518224E-3</v>
      </c>
      <c r="T209" s="12">
        <f t="shared" ca="1" si="28"/>
        <v>3.8961680711877555E-3</v>
      </c>
      <c r="U209" s="12">
        <f t="shared" ca="1" si="28"/>
        <v>5.4804354642623565E-3</v>
      </c>
      <c r="V209" s="12">
        <f t="shared" ca="1" si="28"/>
        <v>4.7594010612186377E-3</v>
      </c>
      <c r="W209" s="12">
        <f t="shared" ca="1" si="28"/>
        <v>1.4968260558051671E-2</v>
      </c>
      <c r="X209" s="12">
        <f t="shared" ca="1" si="28"/>
        <v>4.4595759864410889E-2</v>
      </c>
      <c r="Y209" s="12">
        <f t="shared" ca="1" si="28"/>
        <v>3.8343687446150909E-2</v>
      </c>
      <c r="Z209" s="12">
        <f t="shared" ca="1" si="28"/>
        <v>-4.4919979232974638E-3</v>
      </c>
    </row>
    <row r="210" spans="13:26">
      <c r="M210" s="13">
        <v>207</v>
      </c>
      <c r="N210" s="15">
        <f t="shared" ca="1" si="26"/>
        <v>93</v>
      </c>
      <c r="O210" s="13">
        <v>207</v>
      </c>
      <c r="P210" s="19">
        <f t="shared" ca="1" si="27"/>
        <v>44043</v>
      </c>
      <c r="Q210" s="12">
        <f t="shared" ca="1" si="28"/>
        <v>1.0775E-4</v>
      </c>
      <c r="R210" s="12">
        <f t="shared" ca="1" si="28"/>
        <v>1.0103463581248029E-3</v>
      </c>
      <c r="S210" s="12">
        <f t="shared" ca="1" si="28"/>
        <v>1.4125780096754248E-3</v>
      </c>
      <c r="T210" s="12">
        <f t="shared" ca="1" si="28"/>
        <v>4.9928822698981357E-3</v>
      </c>
      <c r="U210" s="12">
        <f t="shared" ca="1" si="28"/>
        <v>1.2115901614529578E-2</v>
      </c>
      <c r="V210" s="12">
        <f t="shared" ca="1" si="28"/>
        <v>4.0932956725081571E-3</v>
      </c>
      <c r="W210" s="12">
        <f t="shared" ca="1" si="28"/>
        <v>3.1507368893236354E-2</v>
      </c>
      <c r="X210" s="12">
        <f t="shared" ca="1" si="28"/>
        <v>5.5101296975444303E-2</v>
      </c>
      <c r="Y210" s="12">
        <f t="shared" ca="1" si="28"/>
        <v>4.6866413236503091E-2</v>
      </c>
      <c r="Z210" s="12">
        <f t="shared" ca="1" si="28"/>
        <v>0.10943536070433924</v>
      </c>
    </row>
    <row r="211" spans="13:26">
      <c r="M211" s="13">
        <v>208</v>
      </c>
      <c r="N211" s="15">
        <f t="shared" ca="1" si="26"/>
        <v>28</v>
      </c>
      <c r="O211" s="13">
        <v>208</v>
      </c>
      <c r="P211" s="19">
        <f t="shared" ca="1" si="27"/>
        <v>42062</v>
      </c>
      <c r="Q211" s="12">
        <f t="shared" ca="1" si="28"/>
        <v>0</v>
      </c>
      <c r="R211" s="12">
        <f t="shared" ca="1" si="28"/>
        <v>-2.1577567665429509E-3</v>
      </c>
      <c r="S211" s="12">
        <f t="shared" ca="1" si="28"/>
        <v>-1.442941258093966E-3</v>
      </c>
      <c r="T211" s="12">
        <f t="shared" ca="1" si="28"/>
        <v>9.4403804380460699E-4</v>
      </c>
      <c r="U211" s="12">
        <f t="shared" ca="1" si="28"/>
        <v>-1.7481816683666107E-2</v>
      </c>
      <c r="V211" s="12">
        <f t="shared" ca="1" si="28"/>
        <v>-8.9278151648537474E-3</v>
      </c>
      <c r="W211" s="12">
        <f t="shared" ca="1" si="28"/>
        <v>-8.3607142066883799E-3</v>
      </c>
      <c r="X211" s="12">
        <f t="shared" ca="1" si="28"/>
        <v>5.4892505726845675E-2</v>
      </c>
      <c r="Y211" s="12">
        <f t="shared" ca="1" si="28"/>
        <v>5.6821297852808206E-2</v>
      </c>
      <c r="Z211" s="12">
        <f t="shared" ca="1" si="28"/>
        <v>-5.5001207362574744E-2</v>
      </c>
    </row>
    <row r="212" spans="13:26">
      <c r="M212" s="13">
        <v>209</v>
      </c>
      <c r="N212" s="15">
        <f t="shared" ca="1" si="26"/>
        <v>46</v>
      </c>
      <c r="O212" s="13">
        <v>209</v>
      </c>
      <c r="P212" s="19">
        <f t="shared" ca="1" si="27"/>
        <v>42613</v>
      </c>
      <c r="Q212" s="12">
        <f t="shared" ca="1" si="28"/>
        <v>2.1133333333333334E-4</v>
      </c>
      <c r="R212" s="12">
        <f t="shared" ca="1" si="28"/>
        <v>-1.6602050811351798E-3</v>
      </c>
      <c r="S212" s="12">
        <f t="shared" ca="1" si="28"/>
        <v>-8.8058716350547517E-4</v>
      </c>
      <c r="T212" s="12">
        <f t="shared" ca="1" si="28"/>
        <v>3.1979744558774392E-4</v>
      </c>
      <c r="U212" s="12">
        <f t="shared" ca="1" si="28"/>
        <v>-5.7267215803793459E-3</v>
      </c>
      <c r="V212" s="12">
        <f t="shared" ca="1" si="28"/>
        <v>-1.9741681522077448E-3</v>
      </c>
      <c r="W212" s="12">
        <f t="shared" ca="1" si="28"/>
        <v>2.7415164014816806E-3</v>
      </c>
      <c r="X212" s="12">
        <f t="shared" ca="1" si="28"/>
        <v>-1.2191755612808164E-3</v>
      </c>
      <c r="Y212" s="12">
        <f t="shared" ca="1" si="28"/>
        <v>-1.3183953908432189E-3</v>
      </c>
      <c r="Z212" s="12">
        <f t="shared" ca="1" si="28"/>
        <v>-3.1311053223610164E-2</v>
      </c>
    </row>
    <row r="213" spans="13:26">
      <c r="M213" s="13">
        <v>210</v>
      </c>
      <c r="N213" s="15">
        <f t="shared" ca="1" si="26"/>
        <v>38</v>
      </c>
      <c r="O213" s="13">
        <v>210</v>
      </c>
      <c r="P213" s="19">
        <f t="shared" ca="1" si="27"/>
        <v>42369</v>
      </c>
      <c r="Q213" s="12">
        <f t="shared" ca="1" si="28"/>
        <v>1.3983333333333334E-4</v>
      </c>
      <c r="R213" s="12">
        <f t="shared" ca="1" si="28"/>
        <v>-9.365642487412229E-4</v>
      </c>
      <c r="S213" s="12">
        <f t="shared" ca="1" si="28"/>
        <v>-1.2589213561818857E-3</v>
      </c>
      <c r="T213" s="12">
        <f t="shared" ca="1" si="28"/>
        <v>-2.4958607185572301E-3</v>
      </c>
      <c r="U213" s="12">
        <f t="shared" ca="1" si="28"/>
        <v>-1.5686691398054675E-3</v>
      </c>
      <c r="V213" s="12">
        <f t="shared" ca="1" si="28"/>
        <v>-2.4794726558212687E-3</v>
      </c>
      <c r="W213" s="12">
        <f t="shared" ca="1" si="28"/>
        <v>-8.6713379184790718E-3</v>
      </c>
      <c r="X213" s="12">
        <f t="shared" ca="1" si="28"/>
        <v>-1.7530198374358763E-2</v>
      </c>
      <c r="Y213" s="12">
        <f t="shared" ca="1" si="28"/>
        <v>-1.8655571293673345E-2</v>
      </c>
      <c r="Z213" s="12">
        <f t="shared" ca="1" si="28"/>
        <v>-3.4467537590278097E-3</v>
      </c>
    </row>
    <row r="214" spans="13:26">
      <c r="M214" s="13">
        <v>211</v>
      </c>
      <c r="N214" s="15">
        <f t="shared" ca="1" si="26"/>
        <v>72</v>
      </c>
      <c r="O214" s="13">
        <v>211</v>
      </c>
      <c r="P214" s="19">
        <f t="shared" ca="1" si="27"/>
        <v>43404</v>
      </c>
      <c r="Q214" s="12">
        <f t="shared" ref="Q214:Z223" ca="1" si="29">INDEX(histrets,$N214,Q$1)</f>
        <v>1.8303333333333333E-3</v>
      </c>
      <c r="R214" s="12">
        <f t="shared" ca="1" si="29"/>
        <v>1.5164006202290636E-3</v>
      </c>
      <c r="S214" s="12">
        <f t="shared" ca="1" si="29"/>
        <v>1.2362527596325723E-3</v>
      </c>
      <c r="T214" s="12">
        <f t="shared" ca="1" si="29"/>
        <v>2.1380012441407636E-4</v>
      </c>
      <c r="U214" s="12">
        <f t="shared" ca="1" si="29"/>
        <v>-5.2709561006659689E-3</v>
      </c>
      <c r="V214" s="12">
        <f t="shared" ca="1" si="29"/>
        <v>-1.2742312416149648E-3</v>
      </c>
      <c r="W214" s="12">
        <f t="shared" ca="1" si="29"/>
        <v>-1.3513314082477024E-2</v>
      </c>
      <c r="X214" s="12">
        <f t="shared" ca="1" si="29"/>
        <v>-6.9403358979814644E-2</v>
      </c>
      <c r="Y214" s="12">
        <f t="shared" ca="1" si="29"/>
        <v>-7.4189220745326301E-2</v>
      </c>
      <c r="Z214" s="12">
        <f t="shared" ca="1" si="29"/>
        <v>2.0052398226521495E-2</v>
      </c>
    </row>
    <row r="215" spans="13:26">
      <c r="M215" s="13">
        <v>212</v>
      </c>
      <c r="N215" s="15">
        <f t="shared" ca="1" si="26"/>
        <v>96</v>
      </c>
      <c r="O215" s="13">
        <v>212</v>
      </c>
      <c r="P215" s="19">
        <f t="shared" ca="1" si="27"/>
        <v>44134</v>
      </c>
      <c r="Q215" s="12">
        <f t="shared" ca="1" si="29"/>
        <v>7.6249999999999997E-5</v>
      </c>
      <c r="R215" s="12">
        <f t="shared" ca="1" si="29"/>
        <v>-4.2126561468813772E-4</v>
      </c>
      <c r="S215" s="12">
        <f t="shared" ca="1" si="29"/>
        <v>-6.7095641189895971E-5</v>
      </c>
      <c r="T215" s="12">
        <f t="shared" ca="1" si="29"/>
        <v>1.8149952186470308E-3</v>
      </c>
      <c r="U215" s="12">
        <f t="shared" ca="1" si="29"/>
        <v>-1.0096313199052798E-2</v>
      </c>
      <c r="V215" s="12">
        <f t="shared" ca="1" si="29"/>
        <v>-3.5705368143630345E-3</v>
      </c>
      <c r="W215" s="12">
        <f t="shared" ca="1" si="29"/>
        <v>-1.7153852038643835E-3</v>
      </c>
      <c r="X215" s="12">
        <f t="shared" ca="1" si="29"/>
        <v>-2.7665774606006499E-2</v>
      </c>
      <c r="Y215" s="12">
        <f t="shared" ca="1" si="29"/>
        <v>-3.1403261985324948E-2</v>
      </c>
      <c r="Z215" s="12">
        <f t="shared" ca="1" si="29"/>
        <v>-3.7172158530506261E-3</v>
      </c>
    </row>
    <row r="216" spans="13:26">
      <c r="M216" s="13">
        <v>213</v>
      </c>
      <c r="N216" s="15">
        <f t="shared" ca="1" si="26"/>
        <v>84</v>
      </c>
      <c r="O216" s="13">
        <v>213</v>
      </c>
      <c r="P216" s="19">
        <f t="shared" ca="1" si="27"/>
        <v>43769</v>
      </c>
      <c r="Q216" s="12">
        <f t="shared" ca="1" si="29"/>
        <v>1.5059166666666667E-3</v>
      </c>
      <c r="R216" s="12">
        <f t="shared" ca="1" si="29"/>
        <v>3.2941970067341675E-3</v>
      </c>
      <c r="S216" s="12">
        <f t="shared" ca="1" si="29"/>
        <v>2.9962811526773603E-3</v>
      </c>
      <c r="T216" s="12">
        <f t="shared" ca="1" si="29"/>
        <v>4.4146796438231384E-3</v>
      </c>
      <c r="U216" s="12">
        <f t="shared" ca="1" si="29"/>
        <v>3.0695886693599128E-4</v>
      </c>
      <c r="V216" s="12">
        <f t="shared" ca="1" si="29"/>
        <v>1.9779523748084671E-3</v>
      </c>
      <c r="W216" s="12">
        <f t="shared" ca="1" si="29"/>
        <v>6.1161127474222976E-3</v>
      </c>
      <c r="X216" s="12">
        <f t="shared" ca="1" si="29"/>
        <v>2.0431747482144935E-2</v>
      </c>
      <c r="Y216" s="12">
        <f t="shared" ca="1" si="29"/>
        <v>2.4545646370216945E-2</v>
      </c>
      <c r="Z216" s="12">
        <f t="shared" ca="1" si="29"/>
        <v>2.7504431269482321E-2</v>
      </c>
    </row>
    <row r="217" spans="13:26">
      <c r="M217" s="13">
        <v>214</v>
      </c>
      <c r="N217" s="15">
        <f t="shared" ca="1" si="26"/>
        <v>19</v>
      </c>
      <c r="O217" s="13">
        <v>214</v>
      </c>
      <c r="P217" s="19">
        <f t="shared" ca="1" si="27"/>
        <v>41789</v>
      </c>
      <c r="Q217" s="12">
        <f t="shared" ca="1" si="29"/>
        <v>2.1083333333333332E-5</v>
      </c>
      <c r="R217" s="12">
        <f t="shared" ca="1" si="29"/>
        <v>1.8372645950004429E-3</v>
      </c>
      <c r="S217" s="12">
        <f t="shared" ca="1" si="29"/>
        <v>1.5690397719230198E-3</v>
      </c>
      <c r="T217" s="12">
        <f t="shared" ca="1" si="29"/>
        <v>3.6311918820273181E-3</v>
      </c>
      <c r="U217" s="12">
        <f t="shared" ca="1" si="29"/>
        <v>1.0908523280633409E-2</v>
      </c>
      <c r="V217" s="12">
        <f t="shared" ca="1" si="29"/>
        <v>7.2947422212128465E-3</v>
      </c>
      <c r="W217" s="12">
        <f t="shared" ca="1" si="29"/>
        <v>1.529301775138503E-2</v>
      </c>
      <c r="X217" s="12">
        <f t="shared" ca="1" si="29"/>
        <v>2.1030282120013677E-2</v>
      </c>
      <c r="Y217" s="12">
        <f t="shared" ca="1" si="29"/>
        <v>1.6258428430919514E-2</v>
      </c>
      <c r="Z217" s="12">
        <f t="shared" ca="1" si="29"/>
        <v>-3.246335968287628E-2</v>
      </c>
    </row>
    <row r="218" spans="13:26">
      <c r="M218" s="13">
        <v>215</v>
      </c>
      <c r="N218" s="15">
        <f t="shared" ca="1" si="26"/>
        <v>60</v>
      </c>
      <c r="O218" s="13">
        <v>215</v>
      </c>
      <c r="P218" s="19">
        <f t="shared" ca="1" si="27"/>
        <v>43039</v>
      </c>
      <c r="Q218" s="12">
        <f t="shared" ca="1" si="29"/>
        <v>8.6708333333333331E-4</v>
      </c>
      <c r="R218" s="12">
        <f t="shared" ca="1" si="29"/>
        <v>-6.0763206382963286E-4</v>
      </c>
      <c r="S218" s="12">
        <f t="shared" ca="1" si="29"/>
        <v>-2.4603997481442708E-4</v>
      </c>
      <c r="T218" s="12">
        <f t="shared" ca="1" si="29"/>
        <v>8.7847160110299249E-4</v>
      </c>
      <c r="U218" s="12">
        <f t="shared" ca="1" si="29"/>
        <v>-1.0979014398193598E-3</v>
      </c>
      <c r="V218" s="12">
        <f t="shared" ca="1" si="29"/>
        <v>1.9835188819050664E-4</v>
      </c>
      <c r="W218" s="12">
        <f t="shared" ca="1" si="29"/>
        <v>4.0358258169133077E-3</v>
      </c>
      <c r="X218" s="12">
        <f t="shared" ca="1" si="29"/>
        <v>2.2188174774546043E-2</v>
      </c>
      <c r="Y218" s="12">
        <f t="shared" ca="1" si="29"/>
        <v>1.8120016995326393E-2</v>
      </c>
      <c r="Z218" s="12">
        <f t="shared" ca="1" si="29"/>
        <v>-6.4778277007228047E-3</v>
      </c>
    </row>
    <row r="219" spans="13:26">
      <c r="M219" s="13">
        <v>216</v>
      </c>
      <c r="N219" s="15">
        <f t="shared" ca="1" si="26"/>
        <v>29</v>
      </c>
      <c r="O219" s="13">
        <v>216</v>
      </c>
      <c r="P219" s="19">
        <f t="shared" ca="1" si="27"/>
        <v>42094</v>
      </c>
      <c r="Q219" s="12">
        <f t="shared" ca="1" si="29"/>
        <v>8.4166666666666668E-6</v>
      </c>
      <c r="R219" s="12">
        <f t="shared" ca="1" si="29"/>
        <v>2.3251483239266069E-3</v>
      </c>
      <c r="S219" s="12">
        <f t="shared" ca="1" si="29"/>
        <v>2.0836010795528548E-3</v>
      </c>
      <c r="T219" s="12">
        <f t="shared" ca="1" si="29"/>
        <v>1.9926700417953747E-3</v>
      </c>
      <c r="U219" s="12">
        <f t="shared" ca="1" si="29"/>
        <v>6.5880564035545319E-3</v>
      </c>
      <c r="V219" s="12">
        <f t="shared" ca="1" si="29"/>
        <v>4.8404638795114252E-3</v>
      </c>
      <c r="W219" s="12">
        <f t="shared" ca="1" si="29"/>
        <v>3.7165680952275792E-3</v>
      </c>
      <c r="X219" s="12">
        <f t="shared" ca="1" si="29"/>
        <v>-1.7396056070325572E-2</v>
      </c>
      <c r="Y219" s="12">
        <f t="shared" ca="1" si="29"/>
        <v>-1.807813363717381E-2</v>
      </c>
      <c r="Z219" s="12">
        <f t="shared" ca="1" si="29"/>
        <v>-2.4406930546168049E-2</v>
      </c>
    </row>
    <row r="220" spans="13:26">
      <c r="M220" s="13">
        <v>217</v>
      </c>
      <c r="N220" s="15">
        <f t="shared" ca="1" si="26"/>
        <v>17</v>
      </c>
      <c r="O220" s="13">
        <v>217</v>
      </c>
      <c r="P220" s="19">
        <f t="shared" ca="1" si="27"/>
        <v>41729</v>
      </c>
      <c r="Q220" s="12">
        <f t="shared" ca="1" si="29"/>
        <v>3.8000000000000002E-5</v>
      </c>
      <c r="R220" s="12">
        <f t="shared" ca="1" si="29"/>
        <v>-1.107151021881192E-3</v>
      </c>
      <c r="S220" s="12">
        <f t="shared" ca="1" si="29"/>
        <v>-8.6527596556373876E-4</v>
      </c>
      <c r="T220" s="12">
        <f t="shared" ca="1" si="29"/>
        <v>-2.8994238099677716E-4</v>
      </c>
      <c r="U220" s="12">
        <f t="shared" ca="1" si="29"/>
        <v>-2.817973742041735E-3</v>
      </c>
      <c r="V220" s="12">
        <f t="shared" ca="1" si="29"/>
        <v>-1.3003567426064233E-3</v>
      </c>
      <c r="W220" s="12">
        <f t="shared" ca="1" si="29"/>
        <v>7.1137327652026627E-4</v>
      </c>
      <c r="X220" s="12">
        <f t="shared" ca="1" si="29"/>
        <v>6.9321573583585039E-3</v>
      </c>
      <c r="Y220" s="12">
        <f t="shared" ca="1" si="29"/>
        <v>-9.1321475468553182E-4</v>
      </c>
      <c r="Z220" s="12">
        <f t="shared" ca="1" si="29"/>
        <v>-3.1951386847005825E-2</v>
      </c>
    </row>
    <row r="221" spans="13:26">
      <c r="M221" s="13">
        <v>218</v>
      </c>
      <c r="N221" s="15">
        <f t="shared" ca="1" si="26"/>
        <v>72</v>
      </c>
      <c r="O221" s="13">
        <v>218</v>
      </c>
      <c r="P221" s="19">
        <f t="shared" ca="1" si="27"/>
        <v>43404</v>
      </c>
      <c r="Q221" s="12">
        <f t="shared" ca="1" si="29"/>
        <v>1.8303333333333333E-3</v>
      </c>
      <c r="R221" s="12">
        <f t="shared" ca="1" si="29"/>
        <v>1.5164006202290636E-3</v>
      </c>
      <c r="S221" s="12">
        <f t="shared" ca="1" si="29"/>
        <v>1.2362527596325723E-3</v>
      </c>
      <c r="T221" s="12">
        <f t="shared" ca="1" si="29"/>
        <v>2.1380012441407636E-4</v>
      </c>
      <c r="U221" s="12">
        <f t="shared" ca="1" si="29"/>
        <v>-5.2709561006659689E-3</v>
      </c>
      <c r="V221" s="12">
        <f t="shared" ca="1" si="29"/>
        <v>-1.2742312416149648E-3</v>
      </c>
      <c r="W221" s="12">
        <f t="shared" ca="1" si="29"/>
        <v>-1.3513314082477024E-2</v>
      </c>
      <c r="X221" s="12">
        <f t="shared" ca="1" si="29"/>
        <v>-6.9403358979814644E-2</v>
      </c>
      <c r="Y221" s="12">
        <f t="shared" ca="1" si="29"/>
        <v>-7.4189220745326301E-2</v>
      </c>
      <c r="Z221" s="12">
        <f t="shared" ca="1" si="29"/>
        <v>2.0052398226521495E-2</v>
      </c>
    </row>
    <row r="222" spans="13:26">
      <c r="M222" s="13">
        <v>219</v>
      </c>
      <c r="N222" s="15">
        <f t="shared" ca="1" si="26"/>
        <v>60</v>
      </c>
      <c r="O222" s="13">
        <v>219</v>
      </c>
      <c r="P222" s="19">
        <f t="shared" ca="1" si="27"/>
        <v>43039</v>
      </c>
      <c r="Q222" s="12">
        <f t="shared" ca="1" si="29"/>
        <v>8.6708333333333331E-4</v>
      </c>
      <c r="R222" s="12">
        <f t="shared" ca="1" si="29"/>
        <v>-6.0763206382963286E-4</v>
      </c>
      <c r="S222" s="12">
        <f t="shared" ca="1" si="29"/>
        <v>-2.4603997481442708E-4</v>
      </c>
      <c r="T222" s="12">
        <f t="shared" ca="1" si="29"/>
        <v>8.7847160110299249E-4</v>
      </c>
      <c r="U222" s="12">
        <f t="shared" ca="1" si="29"/>
        <v>-1.0979014398193598E-3</v>
      </c>
      <c r="V222" s="12">
        <f t="shared" ca="1" si="29"/>
        <v>1.9835188819050664E-4</v>
      </c>
      <c r="W222" s="12">
        <f t="shared" ca="1" si="29"/>
        <v>4.0358258169133077E-3</v>
      </c>
      <c r="X222" s="12">
        <f t="shared" ca="1" si="29"/>
        <v>2.2188174774546043E-2</v>
      </c>
      <c r="Y222" s="12">
        <f t="shared" ca="1" si="29"/>
        <v>1.8120016995326393E-2</v>
      </c>
      <c r="Z222" s="12">
        <f t="shared" ca="1" si="29"/>
        <v>-6.4778277007228047E-3</v>
      </c>
    </row>
    <row r="223" spans="13:26">
      <c r="M223" s="13">
        <v>220</v>
      </c>
      <c r="N223" s="15">
        <f t="shared" ca="1" si="26"/>
        <v>19</v>
      </c>
      <c r="O223" s="13">
        <v>220</v>
      </c>
      <c r="P223" s="19">
        <f t="shared" ca="1" si="27"/>
        <v>41789</v>
      </c>
      <c r="Q223" s="12">
        <f t="shared" ca="1" si="29"/>
        <v>2.1083333333333332E-5</v>
      </c>
      <c r="R223" s="12">
        <f t="shared" ca="1" si="29"/>
        <v>1.8372645950004429E-3</v>
      </c>
      <c r="S223" s="12">
        <f t="shared" ca="1" si="29"/>
        <v>1.5690397719230198E-3</v>
      </c>
      <c r="T223" s="12">
        <f t="shared" ca="1" si="29"/>
        <v>3.6311918820273181E-3</v>
      </c>
      <c r="U223" s="12">
        <f t="shared" ca="1" si="29"/>
        <v>1.0908523280633409E-2</v>
      </c>
      <c r="V223" s="12">
        <f t="shared" ca="1" si="29"/>
        <v>7.2947422212128465E-3</v>
      </c>
      <c r="W223" s="12">
        <f t="shared" ca="1" si="29"/>
        <v>1.529301775138503E-2</v>
      </c>
      <c r="X223" s="12">
        <f t="shared" ca="1" si="29"/>
        <v>2.1030282120013677E-2</v>
      </c>
      <c r="Y223" s="12">
        <f t="shared" ca="1" si="29"/>
        <v>1.6258428430919514E-2</v>
      </c>
      <c r="Z223" s="12">
        <f t="shared" ca="1" si="29"/>
        <v>-3.246335968287628E-2</v>
      </c>
    </row>
    <row r="224" spans="13:26">
      <c r="M224" s="13">
        <v>221</v>
      </c>
      <c r="N224" s="15">
        <f t="shared" ca="1" si="26"/>
        <v>89</v>
      </c>
      <c r="O224" s="13">
        <v>221</v>
      </c>
      <c r="P224" s="19">
        <f t="shared" ca="1" si="27"/>
        <v>43921</v>
      </c>
      <c r="Q224" s="12">
        <f t="shared" ref="Q224:Z233" ca="1" si="30">INDEX(histrets,$N224,Q$1)</f>
        <v>1.0558333333333333E-3</v>
      </c>
      <c r="R224" s="12">
        <f t="shared" ca="1" si="30"/>
        <v>1.3718685826674903E-2</v>
      </c>
      <c r="S224" s="12">
        <f t="shared" ca="1" si="30"/>
        <v>8.1095810185372041E-3</v>
      </c>
      <c r="T224" s="12">
        <f t="shared" ca="1" si="30"/>
        <v>-2.7939758182719765E-2</v>
      </c>
      <c r="U224" s="12">
        <f t="shared" ca="1" si="30"/>
        <v>3.2641882382009157E-2</v>
      </c>
      <c r="V224" s="12">
        <f t="shared" ca="1" si="30"/>
        <v>9.480625065106052E-3</v>
      </c>
      <c r="W224" s="12">
        <f t="shared" ca="1" si="30"/>
        <v>-7.4740274503774518E-2</v>
      </c>
      <c r="X224" s="12">
        <f t="shared" ca="1" si="30"/>
        <v>-0.12511932083595656</v>
      </c>
      <c r="Y224" s="12">
        <f t="shared" ca="1" si="30"/>
        <v>-0.13469118965774918</v>
      </c>
      <c r="Z224" s="12">
        <f t="shared" ca="1" si="30"/>
        <v>-5.366748860117676E-3</v>
      </c>
    </row>
    <row r="225" spans="13:26">
      <c r="M225" s="13">
        <v>222</v>
      </c>
      <c r="N225" s="15">
        <f t="shared" ca="1" si="26"/>
        <v>42</v>
      </c>
      <c r="O225" s="13">
        <v>222</v>
      </c>
      <c r="P225" s="19">
        <f t="shared" ca="1" si="27"/>
        <v>42489</v>
      </c>
      <c r="Q225" s="12">
        <f t="shared" ca="1" si="30"/>
        <v>1.6525000000000001E-4</v>
      </c>
      <c r="R225" s="12">
        <f t="shared" ca="1" si="30"/>
        <v>3.6216580311787538E-4</v>
      </c>
      <c r="S225" s="12">
        <f t="shared" ca="1" si="30"/>
        <v>2.4757090883142929E-4</v>
      </c>
      <c r="T225" s="12">
        <f t="shared" ca="1" si="30"/>
        <v>4.1174784036310808E-3</v>
      </c>
      <c r="U225" s="12">
        <f t="shared" ca="1" si="30"/>
        <v>-1.2004718966450723E-3</v>
      </c>
      <c r="V225" s="12">
        <f t="shared" ca="1" si="30"/>
        <v>2.7608070445017674E-4</v>
      </c>
      <c r="W225" s="12">
        <f t="shared" ca="1" si="30"/>
        <v>1.3602736367879897E-2</v>
      </c>
      <c r="X225" s="12">
        <f t="shared" ca="1" si="30"/>
        <v>2.69936982337593E-3</v>
      </c>
      <c r="Y225" s="12">
        <f t="shared" ca="1" si="30"/>
        <v>1.3761133898017253E-2</v>
      </c>
      <c r="Z225" s="12">
        <f t="shared" ca="1" si="30"/>
        <v>4.9304400730074915E-2</v>
      </c>
    </row>
    <row r="226" spans="13:26">
      <c r="M226" s="13">
        <v>223</v>
      </c>
      <c r="N226" s="15">
        <f t="shared" ca="1" si="26"/>
        <v>19</v>
      </c>
      <c r="O226" s="13">
        <v>223</v>
      </c>
      <c r="P226" s="19">
        <f t="shared" ca="1" si="27"/>
        <v>41789</v>
      </c>
      <c r="Q226" s="12">
        <f t="shared" ca="1" si="30"/>
        <v>2.1083333333333332E-5</v>
      </c>
      <c r="R226" s="12">
        <f t="shared" ca="1" si="30"/>
        <v>1.8372645950004429E-3</v>
      </c>
      <c r="S226" s="12">
        <f t="shared" ca="1" si="30"/>
        <v>1.5690397719230198E-3</v>
      </c>
      <c r="T226" s="12">
        <f t="shared" ca="1" si="30"/>
        <v>3.6311918820273181E-3</v>
      </c>
      <c r="U226" s="12">
        <f t="shared" ca="1" si="30"/>
        <v>1.0908523280633409E-2</v>
      </c>
      <c r="V226" s="12">
        <f t="shared" ca="1" si="30"/>
        <v>7.2947422212128465E-3</v>
      </c>
      <c r="W226" s="12">
        <f t="shared" ca="1" si="30"/>
        <v>1.529301775138503E-2</v>
      </c>
      <c r="X226" s="12">
        <f t="shared" ca="1" si="30"/>
        <v>2.1030282120013677E-2</v>
      </c>
      <c r="Y226" s="12">
        <f t="shared" ca="1" si="30"/>
        <v>1.6258428430919514E-2</v>
      </c>
      <c r="Z226" s="12">
        <f t="shared" ca="1" si="30"/>
        <v>-3.246335968287628E-2</v>
      </c>
    </row>
    <row r="227" spans="13:26">
      <c r="M227" s="13">
        <v>224</v>
      </c>
      <c r="N227" s="15">
        <f t="shared" ca="1" si="26"/>
        <v>128</v>
      </c>
      <c r="O227" s="13">
        <v>224</v>
      </c>
      <c r="P227" s="19">
        <f t="shared" ca="1" si="27"/>
        <v>45107</v>
      </c>
      <c r="Q227" s="12">
        <f t="shared" ca="1" si="30"/>
        <v>4.4903333333333332E-3</v>
      </c>
      <c r="R227" s="12">
        <f t="shared" ca="1" si="30"/>
        <v>-4.8445195255588658E-3</v>
      </c>
      <c r="S227" s="12">
        <f t="shared" ca="1" si="30"/>
        <v>-1.3030179964843569E-3</v>
      </c>
      <c r="T227" s="12">
        <f t="shared" ca="1" si="30"/>
        <v>-1.368606954410323E-3</v>
      </c>
      <c r="U227" s="12">
        <f t="shared" ca="1" si="30"/>
        <v>-7.2523719399045783E-3</v>
      </c>
      <c r="V227" s="12">
        <f t="shared" ca="1" si="30"/>
        <v>-2.996004695004828E-3</v>
      </c>
      <c r="W227" s="12">
        <f t="shared" ca="1" si="30"/>
        <v>2.8447957469166507E-3</v>
      </c>
      <c r="X227" s="12">
        <f t="shared" ca="1" si="30"/>
        <v>6.4727512841431301E-2</v>
      </c>
      <c r="Y227" s="12">
        <f t="shared" ca="1" si="30"/>
        <v>5.9330990944668205E-2</v>
      </c>
      <c r="Z227" s="12">
        <f t="shared" ca="1" si="30"/>
        <v>-2.2101868316069972E-2</v>
      </c>
    </row>
    <row r="228" spans="13:26">
      <c r="M228" s="13">
        <v>225</v>
      </c>
      <c r="N228" s="15">
        <f t="shared" ca="1" si="26"/>
        <v>110</v>
      </c>
      <c r="O228" s="13">
        <v>225</v>
      </c>
      <c r="P228" s="19">
        <f t="shared" ca="1" si="27"/>
        <v>44561</v>
      </c>
      <c r="Q228" s="12">
        <f t="shared" ca="1" si="30"/>
        <v>3.8000000000000002E-5</v>
      </c>
      <c r="R228" s="12">
        <f t="shared" ca="1" si="30"/>
        <v>-2.4802373420731438E-3</v>
      </c>
      <c r="S228" s="12">
        <f t="shared" ca="1" si="30"/>
        <v>-1.7502290923563368E-3</v>
      </c>
      <c r="T228" s="12">
        <f t="shared" ca="1" si="30"/>
        <v>-6.6421288657614319E-4</v>
      </c>
      <c r="U228" s="12">
        <f t="shared" ca="1" si="30"/>
        <v>-5.7005265768458324E-3</v>
      </c>
      <c r="V228" s="12">
        <f t="shared" ca="1" si="30"/>
        <v>-2.2361847737648599E-3</v>
      </c>
      <c r="W228" s="12">
        <f t="shared" ca="1" si="30"/>
        <v>-1.7142201738967744E-3</v>
      </c>
      <c r="X228" s="12">
        <f t="shared" ca="1" si="30"/>
        <v>4.3612874972629889E-2</v>
      </c>
      <c r="Y228" s="12">
        <f t="shared" ca="1" si="30"/>
        <v>4.188858082403768E-2</v>
      </c>
      <c r="Z228" s="12">
        <f t="shared" ca="1" si="30"/>
        <v>3.0813966593783215E-2</v>
      </c>
    </row>
    <row r="229" spans="13:26">
      <c r="M229" s="13">
        <v>226</v>
      </c>
      <c r="N229" s="15">
        <f t="shared" ca="1" si="26"/>
        <v>80</v>
      </c>
      <c r="O229" s="13">
        <v>226</v>
      </c>
      <c r="P229" s="19">
        <f t="shared" ca="1" si="27"/>
        <v>43644</v>
      </c>
      <c r="Q229" s="12">
        <f t="shared" ca="1" si="30"/>
        <v>1.9499166666666666E-3</v>
      </c>
      <c r="R229" s="12">
        <f t="shared" ca="1" si="30"/>
        <v>5.1917075031886473E-3</v>
      </c>
      <c r="S229" s="12">
        <f t="shared" ca="1" si="30"/>
        <v>4.2090899628399736E-3</v>
      </c>
      <c r="T229" s="12">
        <f t="shared" ca="1" si="30"/>
        <v>7.0753769980971271E-3</v>
      </c>
      <c r="U229" s="12">
        <f t="shared" ca="1" si="30"/>
        <v>9.2802295657687939E-3</v>
      </c>
      <c r="V229" s="12">
        <f t="shared" ca="1" si="30"/>
        <v>7.1252807034192234E-3</v>
      </c>
      <c r="W229" s="12">
        <f t="shared" ca="1" si="30"/>
        <v>2.2998364645352432E-2</v>
      </c>
      <c r="X229" s="12">
        <f t="shared" ca="1" si="30"/>
        <v>6.8930183208214979E-2</v>
      </c>
      <c r="Y229" s="12">
        <f t="shared" ca="1" si="30"/>
        <v>6.4557116676847937E-2</v>
      </c>
      <c r="Z229" s="12">
        <f t="shared" ca="1" si="30"/>
        <v>7.9635104704422588E-2</v>
      </c>
    </row>
    <row r="230" spans="13:26">
      <c r="M230" s="13">
        <v>227</v>
      </c>
      <c r="N230" s="15">
        <f t="shared" ca="1" si="26"/>
        <v>94</v>
      </c>
      <c r="O230" s="13">
        <v>227</v>
      </c>
      <c r="P230" s="19">
        <f t="shared" ca="1" si="27"/>
        <v>44074</v>
      </c>
      <c r="Q230" s="12">
        <f t="shared" ca="1" si="30"/>
        <v>6.9750000000000001E-5</v>
      </c>
      <c r="R230" s="12">
        <f t="shared" ca="1" si="30"/>
        <v>-2.4264938349671805E-4</v>
      </c>
      <c r="S230" s="12">
        <f t="shared" ca="1" si="30"/>
        <v>2.9189559186559855E-4</v>
      </c>
      <c r="T230" s="12">
        <f t="shared" ca="1" si="30"/>
        <v>2.5177005785046447E-3</v>
      </c>
      <c r="U230" s="12">
        <f t="shared" ca="1" si="30"/>
        <v>-1.2016152135081337E-2</v>
      </c>
      <c r="V230" s="12">
        <f t="shared" ca="1" si="30"/>
        <v>-1.7319156027352234E-3</v>
      </c>
      <c r="W230" s="12">
        <f t="shared" ca="1" si="30"/>
        <v>-1.1540921161941387E-2</v>
      </c>
      <c r="X230" s="12">
        <f t="shared" ca="1" si="30"/>
        <v>7.0064687324219221E-2</v>
      </c>
      <c r="Y230" s="12">
        <f t="shared" ca="1" si="30"/>
        <v>6.5306423483067144E-2</v>
      </c>
      <c r="Z230" s="12">
        <f t="shared" ca="1" si="30"/>
        <v>-4.0792363831445577E-3</v>
      </c>
    </row>
    <row r="231" spans="13:26">
      <c r="M231" s="13">
        <v>228</v>
      </c>
      <c r="N231" s="15">
        <f t="shared" ca="1" si="26"/>
        <v>128</v>
      </c>
      <c r="O231" s="13">
        <v>228</v>
      </c>
      <c r="P231" s="19">
        <f t="shared" ca="1" si="27"/>
        <v>45107</v>
      </c>
      <c r="Q231" s="12">
        <f t="shared" ca="1" si="30"/>
        <v>4.4903333333333332E-3</v>
      </c>
      <c r="R231" s="12">
        <f t="shared" ca="1" si="30"/>
        <v>-4.8445195255588658E-3</v>
      </c>
      <c r="S231" s="12">
        <f t="shared" ca="1" si="30"/>
        <v>-1.3030179964843569E-3</v>
      </c>
      <c r="T231" s="12">
        <f t="shared" ca="1" si="30"/>
        <v>-1.368606954410323E-3</v>
      </c>
      <c r="U231" s="12">
        <f t="shared" ca="1" si="30"/>
        <v>-7.2523719399045783E-3</v>
      </c>
      <c r="V231" s="12">
        <f t="shared" ca="1" si="30"/>
        <v>-2.996004695004828E-3</v>
      </c>
      <c r="W231" s="12">
        <f t="shared" ca="1" si="30"/>
        <v>2.8447957469166507E-3</v>
      </c>
      <c r="X231" s="12">
        <f t="shared" ca="1" si="30"/>
        <v>6.4727512841431301E-2</v>
      </c>
      <c r="Y231" s="12">
        <f t="shared" ca="1" si="30"/>
        <v>5.9330990944668205E-2</v>
      </c>
      <c r="Z231" s="12">
        <f t="shared" ca="1" si="30"/>
        <v>-2.2101868316069972E-2</v>
      </c>
    </row>
    <row r="232" spans="13:26">
      <c r="M232" s="13">
        <v>229</v>
      </c>
      <c r="N232" s="15">
        <f t="shared" ca="1" si="26"/>
        <v>39</v>
      </c>
      <c r="O232" s="13">
        <v>229</v>
      </c>
      <c r="P232" s="19">
        <f t="shared" ca="1" si="27"/>
        <v>42398</v>
      </c>
      <c r="Q232" s="12">
        <f t="shared" ca="1" si="30"/>
        <v>1.3558333333333334E-4</v>
      </c>
      <c r="R232" s="12">
        <f t="shared" ca="1" si="30"/>
        <v>6.0925064514252281E-3</v>
      </c>
      <c r="S232" s="12">
        <f t="shared" ca="1" si="30"/>
        <v>5.905581130311699E-3</v>
      </c>
      <c r="T232" s="12">
        <f t="shared" ca="1" si="30"/>
        <v>2.6974189680679661E-3</v>
      </c>
      <c r="U232" s="12">
        <f t="shared" ca="1" si="30"/>
        <v>2.1998469118457598E-2</v>
      </c>
      <c r="V232" s="12">
        <f t="shared" ca="1" si="30"/>
        <v>1.4334016069284194E-2</v>
      </c>
      <c r="W232" s="12">
        <f t="shared" ca="1" si="30"/>
        <v>4.3871656211247334E-3</v>
      </c>
      <c r="X232" s="12">
        <f t="shared" ca="1" si="30"/>
        <v>-5.0735344481736222E-2</v>
      </c>
      <c r="Y232" s="12">
        <f t="shared" ca="1" si="30"/>
        <v>-6.0506738674156013E-2</v>
      </c>
      <c r="Z232" s="12">
        <f t="shared" ca="1" si="30"/>
        <v>5.3821505984356088E-2</v>
      </c>
    </row>
    <row r="233" spans="13:26">
      <c r="M233" s="13">
        <v>230</v>
      </c>
      <c r="N233" s="15">
        <f t="shared" ca="1" si="26"/>
        <v>30</v>
      </c>
      <c r="O233" s="13">
        <v>230</v>
      </c>
      <c r="P233" s="19">
        <f t="shared" ca="1" si="27"/>
        <v>42124</v>
      </c>
      <c r="Q233" s="12">
        <f t="shared" ca="1" si="30"/>
        <v>1.6916666666666667E-5</v>
      </c>
      <c r="R233" s="12">
        <f t="shared" ca="1" si="30"/>
        <v>4.5665826855323388E-4</v>
      </c>
      <c r="S233" s="12">
        <f t="shared" ca="1" si="30"/>
        <v>6.0678736150876489E-4</v>
      </c>
      <c r="T233" s="12">
        <f t="shared" ca="1" si="30"/>
        <v>1.6621938242677992E-3</v>
      </c>
      <c r="U233" s="12">
        <f t="shared" ca="1" si="30"/>
        <v>-6.1820809081205574E-3</v>
      </c>
      <c r="V233" s="12">
        <f t="shared" ca="1" si="30"/>
        <v>-2.1386677019336053E-3</v>
      </c>
      <c r="W233" s="12">
        <f t="shared" ca="1" si="30"/>
        <v>-5.341883159823646E-3</v>
      </c>
      <c r="X233" s="12">
        <f t="shared" ca="1" si="30"/>
        <v>8.5207627098153882E-3</v>
      </c>
      <c r="Y233" s="12">
        <f t="shared" ca="1" si="30"/>
        <v>2.1593396177641555E-2</v>
      </c>
      <c r="Z233" s="12">
        <f t="shared" ca="1" si="30"/>
        <v>6.75921153797443E-4</v>
      </c>
    </row>
    <row r="234" spans="13:26">
      <c r="M234" s="13">
        <v>231</v>
      </c>
      <c r="N234" s="15">
        <f t="shared" ca="1" si="26"/>
        <v>13</v>
      </c>
      <c r="O234" s="13">
        <v>231</v>
      </c>
      <c r="P234" s="19">
        <f t="shared" ca="1" si="27"/>
        <v>41607</v>
      </c>
      <c r="Q234" s="12">
        <f t="shared" ref="Q234:Z243" ca="1" si="31">INDEX(histrets,$N234,Q$1)</f>
        <v>2.9583333333333332E-5</v>
      </c>
      <c r="R234" s="12">
        <f t="shared" ca="1" si="31"/>
        <v>9.3212759439986748E-4</v>
      </c>
      <c r="S234" s="12">
        <f t="shared" ca="1" si="31"/>
        <v>8.90078906265801E-4</v>
      </c>
      <c r="T234" s="12">
        <f t="shared" ca="1" si="31"/>
        <v>2.3709094397157404E-3</v>
      </c>
      <c r="U234" s="12">
        <f t="shared" ca="1" si="31"/>
        <v>-4.2729139111795655E-3</v>
      </c>
      <c r="V234" s="12">
        <f t="shared" ca="1" si="31"/>
        <v>-3.2086298504496735E-4</v>
      </c>
      <c r="W234" s="12">
        <f t="shared" ca="1" si="31"/>
        <v>-2.8776747035942352E-3</v>
      </c>
      <c r="X234" s="12">
        <f t="shared" ca="1" si="31"/>
        <v>2.804946087194149E-2</v>
      </c>
      <c r="Y234" s="12">
        <f t="shared" ca="1" si="31"/>
        <v>1.5946495639045377E-2</v>
      </c>
      <c r="Z234" s="12">
        <f t="shared" ca="1" si="31"/>
        <v>-5.2688464619896291E-2</v>
      </c>
    </row>
    <row r="235" spans="13:26">
      <c r="M235" s="13">
        <v>232</v>
      </c>
      <c r="N235" s="15">
        <f t="shared" ca="1" si="26"/>
        <v>17</v>
      </c>
      <c r="O235" s="13">
        <v>232</v>
      </c>
      <c r="P235" s="19">
        <f t="shared" ca="1" si="27"/>
        <v>41729</v>
      </c>
      <c r="Q235" s="12">
        <f t="shared" ca="1" si="31"/>
        <v>3.8000000000000002E-5</v>
      </c>
      <c r="R235" s="12">
        <f t="shared" ca="1" si="31"/>
        <v>-1.107151021881192E-3</v>
      </c>
      <c r="S235" s="12">
        <f t="shared" ca="1" si="31"/>
        <v>-8.6527596556373876E-4</v>
      </c>
      <c r="T235" s="12">
        <f t="shared" ca="1" si="31"/>
        <v>-2.8994238099677716E-4</v>
      </c>
      <c r="U235" s="12">
        <f t="shared" ca="1" si="31"/>
        <v>-2.817973742041735E-3</v>
      </c>
      <c r="V235" s="12">
        <f t="shared" ca="1" si="31"/>
        <v>-1.3003567426064233E-3</v>
      </c>
      <c r="W235" s="12">
        <f t="shared" ca="1" si="31"/>
        <v>7.1137327652026627E-4</v>
      </c>
      <c r="X235" s="12">
        <f t="shared" ca="1" si="31"/>
        <v>6.9321573583585039E-3</v>
      </c>
      <c r="Y235" s="12">
        <f t="shared" ca="1" si="31"/>
        <v>-9.1321475468553182E-4</v>
      </c>
      <c r="Z235" s="12">
        <f t="shared" ca="1" si="31"/>
        <v>-3.1951386847005825E-2</v>
      </c>
    </row>
    <row r="236" spans="13:26">
      <c r="M236" s="13">
        <v>233</v>
      </c>
      <c r="N236" s="15">
        <f t="shared" ca="1" si="26"/>
        <v>10</v>
      </c>
      <c r="O236" s="13">
        <v>233</v>
      </c>
      <c r="P236" s="19">
        <f t="shared" ca="1" si="27"/>
        <v>41516</v>
      </c>
      <c r="Q236" s="12">
        <f t="shared" ca="1" si="31"/>
        <v>2.9583333333333332E-5</v>
      </c>
      <c r="R236" s="12">
        <f t="shared" ca="1" si="31"/>
        <v>-9.1058735963966964E-4</v>
      </c>
      <c r="S236" s="12">
        <f t="shared" ca="1" si="31"/>
        <v>-6.2995509738672517E-4</v>
      </c>
      <c r="T236" s="12">
        <f t="shared" ca="1" si="31"/>
        <v>1.6922798954599472E-4</v>
      </c>
      <c r="U236" s="12">
        <f t="shared" ca="1" si="31"/>
        <v>-5.3898417918450958E-3</v>
      </c>
      <c r="V236" s="12">
        <f t="shared" ca="1" si="31"/>
        <v>-4.2185645750429934E-3</v>
      </c>
      <c r="W236" s="12">
        <f t="shared" ca="1" si="31"/>
        <v>-6.6851475720129949E-3</v>
      </c>
      <c r="X236" s="12">
        <f t="shared" ca="1" si="31"/>
        <v>-3.1298013323604601E-2</v>
      </c>
      <c r="Y236" s="12">
        <f t="shared" ca="1" si="31"/>
        <v>-2.33236731635178E-2</v>
      </c>
      <c r="Z236" s="12">
        <f t="shared" ca="1" si="31"/>
        <v>5.2978333220131901E-2</v>
      </c>
    </row>
    <row r="237" spans="13:26">
      <c r="M237" s="13">
        <v>234</v>
      </c>
      <c r="N237" s="15">
        <f t="shared" ca="1" si="26"/>
        <v>68</v>
      </c>
      <c r="O237" s="13">
        <v>234</v>
      </c>
      <c r="P237" s="19">
        <f t="shared" ca="1" si="27"/>
        <v>43280</v>
      </c>
      <c r="Q237" s="12">
        <f t="shared" ca="1" si="31"/>
        <v>1.5788333333333333E-3</v>
      </c>
      <c r="R237" s="12">
        <f t="shared" ca="1" si="31"/>
        <v>1.5495540537546759E-4</v>
      </c>
      <c r="S237" s="12">
        <f t="shared" ca="1" si="31"/>
        <v>1.7922851557128361E-4</v>
      </c>
      <c r="T237" s="12">
        <f t="shared" ca="1" si="31"/>
        <v>-1.5929184744356562E-5</v>
      </c>
      <c r="U237" s="12">
        <f t="shared" ca="1" si="31"/>
        <v>2.8901898968847206E-4</v>
      </c>
      <c r="V237" s="12">
        <f t="shared" ca="1" si="31"/>
        <v>-4.5804946934258073E-4</v>
      </c>
      <c r="W237" s="12">
        <f t="shared" ca="1" si="31"/>
        <v>-5.3952132169493572E-3</v>
      </c>
      <c r="X237" s="12">
        <f t="shared" ca="1" si="31"/>
        <v>4.8424002040461378E-3</v>
      </c>
      <c r="Y237" s="12">
        <f t="shared" ca="1" si="31"/>
        <v>-1.7296408845057787E-3</v>
      </c>
      <c r="Z237" s="12">
        <f t="shared" ca="1" si="31"/>
        <v>-3.5355907925237462E-2</v>
      </c>
    </row>
    <row r="238" spans="13:26">
      <c r="M238" s="13">
        <v>235</v>
      </c>
      <c r="N238" s="15">
        <f t="shared" ca="1" si="26"/>
        <v>102</v>
      </c>
      <c r="O238" s="13">
        <v>235</v>
      </c>
      <c r="P238" s="19">
        <f t="shared" ca="1" si="27"/>
        <v>44316</v>
      </c>
      <c r="Q238" s="12">
        <f t="shared" ca="1" si="31"/>
        <v>1.2666666666666667E-5</v>
      </c>
      <c r="R238" s="12">
        <f t="shared" ca="1" si="31"/>
        <v>4.5049317147194401E-4</v>
      </c>
      <c r="S238" s="12">
        <f t="shared" ca="1" si="31"/>
        <v>4.0650465731939533E-4</v>
      </c>
      <c r="T238" s="12">
        <f t="shared" ca="1" si="31"/>
        <v>2.0728063989299272E-3</v>
      </c>
      <c r="U238" s="12">
        <f t="shared" ca="1" si="31"/>
        <v>8.4046100400529955E-3</v>
      </c>
      <c r="V238" s="12">
        <f t="shared" ca="1" si="31"/>
        <v>4.3196222963681752E-3</v>
      </c>
      <c r="W238" s="12">
        <f t="shared" ca="1" si="31"/>
        <v>1.1898975953755331E-2</v>
      </c>
      <c r="X238" s="12">
        <f t="shared" ca="1" si="31"/>
        <v>5.242531255584737E-2</v>
      </c>
      <c r="Y238" s="12">
        <f t="shared" ca="1" si="31"/>
        <v>4.5189742860191506E-2</v>
      </c>
      <c r="Z238" s="12">
        <f t="shared" ca="1" si="31"/>
        <v>3.5966294042899527E-2</v>
      </c>
    </row>
    <row r="239" spans="13:26">
      <c r="M239" s="13">
        <v>236</v>
      </c>
      <c r="N239" s="15">
        <f t="shared" ca="1" si="26"/>
        <v>93</v>
      </c>
      <c r="O239" s="13">
        <v>236</v>
      </c>
      <c r="P239" s="19">
        <f t="shared" ca="1" si="27"/>
        <v>44043</v>
      </c>
      <c r="Q239" s="12">
        <f t="shared" ca="1" si="31"/>
        <v>1.0775E-4</v>
      </c>
      <c r="R239" s="12">
        <f t="shared" ca="1" si="31"/>
        <v>1.0103463581248029E-3</v>
      </c>
      <c r="S239" s="12">
        <f t="shared" ca="1" si="31"/>
        <v>1.4125780096754248E-3</v>
      </c>
      <c r="T239" s="12">
        <f t="shared" ca="1" si="31"/>
        <v>4.9928822698981357E-3</v>
      </c>
      <c r="U239" s="12">
        <f t="shared" ca="1" si="31"/>
        <v>1.2115901614529578E-2</v>
      </c>
      <c r="V239" s="12">
        <f t="shared" ca="1" si="31"/>
        <v>4.0932956725081571E-3</v>
      </c>
      <c r="W239" s="12">
        <f t="shared" ca="1" si="31"/>
        <v>3.1507368893236354E-2</v>
      </c>
      <c r="X239" s="12">
        <f t="shared" ca="1" si="31"/>
        <v>5.5101296975444303E-2</v>
      </c>
      <c r="Y239" s="12">
        <f t="shared" ca="1" si="31"/>
        <v>4.6866413236503091E-2</v>
      </c>
      <c r="Z239" s="12">
        <f t="shared" ca="1" si="31"/>
        <v>0.10943536070433924</v>
      </c>
    </row>
    <row r="240" spans="13:26">
      <c r="M240" s="13">
        <v>237</v>
      </c>
      <c r="N240" s="15">
        <f t="shared" ca="1" si="26"/>
        <v>37</v>
      </c>
      <c r="O240" s="13">
        <v>237</v>
      </c>
      <c r="P240" s="19">
        <f t="shared" ca="1" si="27"/>
        <v>42338</v>
      </c>
      <c r="Q240" s="12">
        <f t="shared" ca="1" si="31"/>
        <v>5.933333333333333E-5</v>
      </c>
      <c r="R240" s="12">
        <f t="shared" ca="1" si="31"/>
        <v>-2.4550406621516307E-3</v>
      </c>
      <c r="S240" s="12">
        <f t="shared" ca="1" si="31"/>
        <v>-1.9393666703364509E-3</v>
      </c>
      <c r="T240" s="12">
        <f t="shared" ca="1" si="31"/>
        <v>-7.1057840590915688E-4</v>
      </c>
      <c r="U240" s="12">
        <f t="shared" ca="1" si="31"/>
        <v>-4.225256655618348E-3</v>
      </c>
      <c r="V240" s="12">
        <f t="shared" ca="1" si="31"/>
        <v>-2.6917513626392164E-3</v>
      </c>
      <c r="W240" s="12">
        <f t="shared" ca="1" si="31"/>
        <v>-2.2383480101869635E-3</v>
      </c>
      <c r="X240" s="12">
        <f t="shared" ca="1" si="31"/>
        <v>5.0496306555847248E-4</v>
      </c>
      <c r="Y240" s="12">
        <f t="shared" ca="1" si="31"/>
        <v>-6.6830812521982974E-3</v>
      </c>
      <c r="Z240" s="12">
        <f t="shared" ca="1" si="31"/>
        <v>-6.7716769838281676E-2</v>
      </c>
    </row>
    <row r="241" spans="13:26">
      <c r="M241" s="13">
        <v>238</v>
      </c>
      <c r="N241" s="15">
        <f t="shared" ca="1" si="26"/>
        <v>3</v>
      </c>
      <c r="O241" s="13">
        <v>238</v>
      </c>
      <c r="P241" s="19">
        <f t="shared" ca="1" si="27"/>
        <v>41305</v>
      </c>
      <c r="Q241" s="12">
        <f t="shared" ca="1" si="31"/>
        <v>3.3833333333333334E-5</v>
      </c>
      <c r="R241" s="12">
        <f t="shared" ca="1" si="31"/>
        <v>1.1015399528546688E-4</v>
      </c>
      <c r="S241" s="12">
        <f t="shared" ca="1" si="31"/>
        <v>2.6974540434498984E-4</v>
      </c>
      <c r="T241" s="12">
        <f t="shared" ca="1" si="31"/>
        <v>2.0272989942340391E-3</v>
      </c>
      <c r="U241" s="12">
        <f t="shared" ca="1" si="31"/>
        <v>-9.5016863564771903E-3</v>
      </c>
      <c r="V241" s="12">
        <f t="shared" ca="1" si="31"/>
        <v>-4.3280887137527868E-3</v>
      </c>
      <c r="W241" s="12">
        <f t="shared" ca="1" si="31"/>
        <v>-7.1759738369659987E-3</v>
      </c>
      <c r="X241" s="12">
        <f t="shared" ca="1" si="31"/>
        <v>5.0428063581991145E-2</v>
      </c>
      <c r="Y241" s="12">
        <f t="shared" ca="1" si="31"/>
        <v>5.0033619723571121E-2</v>
      </c>
      <c r="Z241" s="12">
        <f t="shared" ca="1" si="31"/>
        <v>-6.9537708538514043E-3</v>
      </c>
    </row>
    <row r="242" spans="13:26">
      <c r="M242" s="13">
        <v>239</v>
      </c>
      <c r="N242" s="15">
        <f t="shared" ca="1" si="26"/>
        <v>82</v>
      </c>
      <c r="O242" s="13">
        <v>239</v>
      </c>
      <c r="P242" s="19">
        <f t="shared" ca="1" si="27"/>
        <v>43707</v>
      </c>
      <c r="Q242" s="12">
        <f t="shared" ca="1" si="31"/>
        <v>1.7179999999999999E-3</v>
      </c>
      <c r="R242" s="12">
        <f t="shared" ca="1" si="31"/>
        <v>8.0651942026881418E-3</v>
      </c>
      <c r="S242" s="12">
        <f t="shared" ca="1" si="31"/>
        <v>7.2430967663801304E-3</v>
      </c>
      <c r="T242" s="12">
        <f t="shared" ca="1" si="31"/>
        <v>7.590990648397522E-3</v>
      </c>
      <c r="U242" s="12">
        <f t="shared" ca="1" si="31"/>
        <v>3.5535343864688151E-2</v>
      </c>
      <c r="V242" s="12">
        <f t="shared" ca="1" si="31"/>
        <v>2.2414536061881041E-2</v>
      </c>
      <c r="W242" s="12">
        <f t="shared" ca="1" si="31"/>
        <v>3.0361290462434187E-2</v>
      </c>
      <c r="X242" s="12">
        <f t="shared" ca="1" si="31"/>
        <v>-1.8091652742267761E-2</v>
      </c>
      <c r="Y242" s="12">
        <f t="shared" ca="1" si="31"/>
        <v>-2.2417670829600111E-2</v>
      </c>
      <c r="Z242" s="12">
        <f t="shared" ca="1" si="31"/>
        <v>7.5400698835745406E-2</v>
      </c>
    </row>
    <row r="243" spans="13:26">
      <c r="M243" s="13">
        <v>240</v>
      </c>
      <c r="N243" s="15">
        <f t="shared" ca="1" si="26"/>
        <v>28</v>
      </c>
      <c r="O243" s="13">
        <v>240</v>
      </c>
      <c r="P243" s="19">
        <f t="shared" ca="1" si="27"/>
        <v>42062</v>
      </c>
      <c r="Q243" s="12">
        <f t="shared" ca="1" si="31"/>
        <v>0</v>
      </c>
      <c r="R243" s="12">
        <f t="shared" ca="1" si="31"/>
        <v>-2.1577567665429509E-3</v>
      </c>
      <c r="S243" s="12">
        <f t="shared" ca="1" si="31"/>
        <v>-1.442941258093966E-3</v>
      </c>
      <c r="T243" s="12">
        <f t="shared" ca="1" si="31"/>
        <v>9.4403804380460699E-4</v>
      </c>
      <c r="U243" s="12">
        <f t="shared" ca="1" si="31"/>
        <v>-1.7481816683666107E-2</v>
      </c>
      <c r="V243" s="12">
        <f t="shared" ca="1" si="31"/>
        <v>-8.9278151648537474E-3</v>
      </c>
      <c r="W243" s="12">
        <f t="shared" ca="1" si="31"/>
        <v>-8.3607142066883799E-3</v>
      </c>
      <c r="X243" s="12">
        <f t="shared" ca="1" si="31"/>
        <v>5.4892505726845675E-2</v>
      </c>
      <c r="Y243" s="12">
        <f t="shared" ca="1" si="31"/>
        <v>5.6821297852808206E-2</v>
      </c>
      <c r="Z243" s="12">
        <f t="shared" ca="1" si="31"/>
        <v>-5.5001207362574744E-2</v>
      </c>
    </row>
    <row r="244" spans="13:26">
      <c r="M244" s="13">
        <v>241</v>
      </c>
      <c r="N244" s="15">
        <f t="shared" ca="1" si="26"/>
        <v>103</v>
      </c>
      <c r="O244" s="13">
        <v>241</v>
      </c>
      <c r="P244" s="19">
        <f t="shared" ca="1" si="27"/>
        <v>44347</v>
      </c>
      <c r="Q244" s="12">
        <f t="shared" ref="Q244:Z253" ca="1" si="32">INDEX(histrets,$N244,Q$1)</f>
        <v>2.0833333333333334E-6</v>
      </c>
      <c r="R244" s="12">
        <f t="shared" ca="1" si="32"/>
        <v>7.5601374570455349E-4</v>
      </c>
      <c r="S244" s="12">
        <f t="shared" ca="1" si="32"/>
        <v>7.7117116067437763E-4</v>
      </c>
      <c r="T244" s="12">
        <f t="shared" ca="1" si="32"/>
        <v>2.1318730865014235E-3</v>
      </c>
      <c r="U244" s="12">
        <f t="shared" ca="1" si="32"/>
        <v>2.9767087748440169E-3</v>
      </c>
      <c r="V244" s="12">
        <f t="shared" ca="1" si="32"/>
        <v>2.9418212628797846E-3</v>
      </c>
      <c r="W244" s="12">
        <f t="shared" ca="1" si="32"/>
        <v>7.0206864587414319E-3</v>
      </c>
      <c r="X244" s="12">
        <f t="shared" ca="1" si="32"/>
        <v>5.4865025818131574E-3</v>
      </c>
      <c r="Y244" s="12">
        <f t="shared" ca="1" si="32"/>
        <v>1.2569927452394714E-2</v>
      </c>
      <c r="Z244" s="12">
        <f t="shared" ca="1" si="32"/>
        <v>7.7857477969397237E-2</v>
      </c>
    </row>
    <row r="245" spans="13:26">
      <c r="M245" s="13">
        <v>242</v>
      </c>
      <c r="N245" s="15">
        <f t="shared" ca="1" si="26"/>
        <v>64</v>
      </c>
      <c r="O245" s="13">
        <v>242</v>
      </c>
      <c r="P245" s="19">
        <f t="shared" ca="1" si="27"/>
        <v>43159</v>
      </c>
      <c r="Q245" s="12">
        <f t="shared" ca="1" si="32"/>
        <v>1.2125833333333333E-3</v>
      </c>
      <c r="R245" s="12">
        <f t="shared" ca="1" si="32"/>
        <v>-3.7977924686849462E-4</v>
      </c>
      <c r="S245" s="12">
        <f t="shared" ca="1" si="32"/>
        <v>1.7365770487831611E-5</v>
      </c>
      <c r="T245" s="12">
        <f t="shared" ca="1" si="32"/>
        <v>-2.2637442459962909E-3</v>
      </c>
      <c r="U245" s="12">
        <f t="shared" ca="1" si="32"/>
        <v>-7.8760874663250657E-3</v>
      </c>
      <c r="V245" s="12">
        <f t="shared" ca="1" si="32"/>
        <v>-3.0430541002997025E-3</v>
      </c>
      <c r="W245" s="12">
        <f t="shared" ca="1" si="32"/>
        <v>-1.4964540778451663E-2</v>
      </c>
      <c r="X245" s="12">
        <f t="shared" ca="1" si="32"/>
        <v>-3.8947379604151844E-2</v>
      </c>
      <c r="Y245" s="12">
        <f t="shared" ca="1" si="32"/>
        <v>-4.3036453344418191E-2</v>
      </c>
      <c r="Z245" s="12">
        <f t="shared" ca="1" si="32"/>
        <v>-1.9945879239335773E-2</v>
      </c>
    </row>
    <row r="246" spans="13:26">
      <c r="M246" s="13">
        <v>243</v>
      </c>
      <c r="N246" s="15">
        <f t="shared" ca="1" si="26"/>
        <v>96</v>
      </c>
      <c r="O246" s="13">
        <v>243</v>
      </c>
      <c r="P246" s="19">
        <f t="shared" ca="1" si="27"/>
        <v>44134</v>
      </c>
      <c r="Q246" s="12">
        <f t="shared" ca="1" si="32"/>
        <v>7.6249999999999997E-5</v>
      </c>
      <c r="R246" s="12">
        <f t="shared" ca="1" si="32"/>
        <v>-4.2126561468813772E-4</v>
      </c>
      <c r="S246" s="12">
        <f t="shared" ca="1" si="32"/>
        <v>-6.7095641189895971E-5</v>
      </c>
      <c r="T246" s="12">
        <f t="shared" ca="1" si="32"/>
        <v>1.8149952186470308E-3</v>
      </c>
      <c r="U246" s="12">
        <f t="shared" ca="1" si="32"/>
        <v>-1.0096313199052798E-2</v>
      </c>
      <c r="V246" s="12">
        <f t="shared" ca="1" si="32"/>
        <v>-3.5705368143630345E-3</v>
      </c>
      <c r="W246" s="12">
        <f t="shared" ca="1" si="32"/>
        <v>-1.7153852038643835E-3</v>
      </c>
      <c r="X246" s="12">
        <f t="shared" ca="1" si="32"/>
        <v>-2.7665774606006499E-2</v>
      </c>
      <c r="Y246" s="12">
        <f t="shared" ca="1" si="32"/>
        <v>-3.1403261985324948E-2</v>
      </c>
      <c r="Z246" s="12">
        <f t="shared" ca="1" si="32"/>
        <v>-3.7172158530506261E-3</v>
      </c>
    </row>
    <row r="247" spans="13:26">
      <c r="M247" s="13">
        <v>244</v>
      </c>
      <c r="N247" s="15">
        <f t="shared" ca="1" si="26"/>
        <v>86</v>
      </c>
      <c r="O247" s="13">
        <v>244</v>
      </c>
      <c r="P247" s="19">
        <f t="shared" ca="1" si="27"/>
        <v>43830</v>
      </c>
      <c r="Q247" s="12">
        <f t="shared" ca="1" si="32"/>
        <v>1.3059999999999999E-3</v>
      </c>
      <c r="R247" s="12">
        <f t="shared" ca="1" si="32"/>
        <v>2.1205151268308686E-3</v>
      </c>
      <c r="S247" s="12">
        <f t="shared" ca="1" si="32"/>
        <v>2.0915015047420216E-3</v>
      </c>
      <c r="T247" s="12">
        <f t="shared" ca="1" si="32"/>
        <v>3.4688001557421355E-3</v>
      </c>
      <c r="U247" s="12">
        <f t="shared" ca="1" si="32"/>
        <v>-6.162005891732214E-3</v>
      </c>
      <c r="V247" s="12">
        <f t="shared" ca="1" si="32"/>
        <v>-2.0535388229255824E-3</v>
      </c>
      <c r="W247" s="12">
        <f t="shared" ca="1" si="32"/>
        <v>3.1502213769212251E-3</v>
      </c>
      <c r="X247" s="12">
        <f t="shared" ca="1" si="32"/>
        <v>2.8589803182446305E-2</v>
      </c>
      <c r="Y247" s="12">
        <f t="shared" ca="1" si="32"/>
        <v>2.8884157992548731E-2</v>
      </c>
      <c r="Z247" s="12">
        <f t="shared" ca="1" si="32"/>
        <v>3.640077050232926E-2</v>
      </c>
    </row>
    <row r="248" spans="13:26">
      <c r="M248" s="13">
        <v>245</v>
      </c>
      <c r="N248" s="15">
        <f t="shared" ca="1" si="26"/>
        <v>33</v>
      </c>
      <c r="O248" s="13">
        <v>245</v>
      </c>
      <c r="P248" s="19">
        <f t="shared" ca="1" si="27"/>
        <v>42216</v>
      </c>
      <c r="Q248" s="12">
        <f t="shared" ca="1" si="32"/>
        <v>4.25E-6</v>
      </c>
      <c r="R248" s="12">
        <f t="shared" ca="1" si="32"/>
        <v>5.2014702822655856E-4</v>
      </c>
      <c r="S248" s="12">
        <f t="shared" ca="1" si="32"/>
        <v>7.2024084853961057E-4</v>
      </c>
      <c r="T248" s="12">
        <f t="shared" ca="1" si="32"/>
        <v>6.1151748804388895E-4</v>
      </c>
      <c r="U248" s="12">
        <f t="shared" ca="1" si="32"/>
        <v>9.3933699796231451E-3</v>
      </c>
      <c r="V248" s="12">
        <f t="shared" ca="1" si="32"/>
        <v>4.2111615459292651E-3</v>
      </c>
      <c r="W248" s="12">
        <f t="shared" ca="1" si="32"/>
        <v>5.3891014886802147E-3</v>
      </c>
      <c r="X248" s="12">
        <f t="shared" ca="1" si="32"/>
        <v>1.9742039930008559E-2</v>
      </c>
      <c r="Y248" s="12">
        <f t="shared" ca="1" si="32"/>
        <v>1.7279227476218795E-2</v>
      </c>
      <c r="Z248" s="12">
        <f t="shared" ca="1" si="32"/>
        <v>-6.5296199940290789E-2</v>
      </c>
    </row>
    <row r="249" spans="13:26">
      <c r="M249" s="13">
        <v>246</v>
      </c>
      <c r="N249" s="15">
        <f t="shared" ca="1" si="26"/>
        <v>21</v>
      </c>
      <c r="O249" s="13">
        <v>246</v>
      </c>
      <c r="P249" s="19">
        <f t="shared" ca="1" si="27"/>
        <v>41851</v>
      </c>
      <c r="Q249" s="12">
        <f t="shared" ca="1" si="32"/>
        <v>1.6916666666666667E-5</v>
      </c>
      <c r="R249" s="12">
        <f t="shared" ca="1" si="32"/>
        <v>-7.8093230899733967E-4</v>
      </c>
      <c r="S249" s="12">
        <f t="shared" ca="1" si="32"/>
        <v>-7.1441213336875808E-4</v>
      </c>
      <c r="T249" s="12">
        <f t="shared" ca="1" si="32"/>
        <v>-8.9675605808192671E-4</v>
      </c>
      <c r="U249" s="12">
        <f t="shared" ca="1" si="32"/>
        <v>-1.4961171557231756E-3</v>
      </c>
      <c r="V249" s="12">
        <f t="shared" ca="1" si="32"/>
        <v>-9.0742118232678415E-4</v>
      </c>
      <c r="W249" s="12">
        <f t="shared" ca="1" si="32"/>
        <v>-1.1757998723708196E-3</v>
      </c>
      <c r="X249" s="12">
        <f t="shared" ca="1" si="32"/>
        <v>-1.5079863077291922E-2</v>
      </c>
      <c r="Y249" s="12">
        <f t="shared" ca="1" si="32"/>
        <v>-1.6674123274942443E-2</v>
      </c>
      <c r="Z249" s="12">
        <f t="shared" ca="1" si="32"/>
        <v>-3.3706764708098191E-2</v>
      </c>
    </row>
    <row r="250" spans="13:26">
      <c r="M250" s="13">
        <v>247</v>
      </c>
      <c r="N250" s="15">
        <f t="shared" ca="1" si="26"/>
        <v>7</v>
      </c>
      <c r="O250" s="13">
        <v>247</v>
      </c>
      <c r="P250" s="19">
        <f t="shared" ca="1" si="27"/>
        <v>41425</v>
      </c>
      <c r="Q250" s="12">
        <f t="shared" ca="1" si="32"/>
        <v>3.8000000000000002E-5</v>
      </c>
      <c r="R250" s="12">
        <f t="shared" ca="1" si="32"/>
        <v>-1.4332694370678967E-3</v>
      </c>
      <c r="S250" s="12">
        <f t="shared" ca="1" si="32"/>
        <v>-1.2679342756223289E-3</v>
      </c>
      <c r="T250" s="12">
        <f t="shared" ca="1" si="32"/>
        <v>-1.2016687372311541E-3</v>
      </c>
      <c r="U250" s="12">
        <f t="shared" ca="1" si="32"/>
        <v>-2.0148458119876533E-2</v>
      </c>
      <c r="V250" s="12">
        <f t="shared" ca="1" si="32"/>
        <v>-1.1394651714774939E-2</v>
      </c>
      <c r="W250" s="12">
        <f t="shared" ca="1" si="32"/>
        <v>-2.2811171118688689E-2</v>
      </c>
      <c r="X250" s="12">
        <f t="shared" ca="1" si="32"/>
        <v>2.0762783477406455E-2</v>
      </c>
      <c r="Y250" s="12">
        <f t="shared" ca="1" si="32"/>
        <v>-2.8520330049995879E-3</v>
      </c>
      <c r="Z250" s="12">
        <f t="shared" ca="1" si="32"/>
        <v>-6.0208165448869533E-2</v>
      </c>
    </row>
    <row r="251" spans="13:26">
      <c r="M251" s="13">
        <v>248</v>
      </c>
      <c r="N251" s="15">
        <f t="shared" ca="1" si="26"/>
        <v>71</v>
      </c>
      <c r="O251" s="13">
        <v>248</v>
      </c>
      <c r="P251" s="19">
        <f t="shared" ca="1" si="27"/>
        <v>43371</v>
      </c>
      <c r="Q251" s="12">
        <f t="shared" ca="1" si="32"/>
        <v>1.7448333333333333E-3</v>
      </c>
      <c r="R251" s="12">
        <f t="shared" ca="1" si="32"/>
        <v>-1.1835258660558567E-3</v>
      </c>
      <c r="S251" s="12">
        <f t="shared" ca="1" si="32"/>
        <v>-4.2991823722560163E-4</v>
      </c>
      <c r="T251" s="12">
        <f t="shared" ca="1" si="32"/>
        <v>7.3272870514529131E-4</v>
      </c>
      <c r="U251" s="12">
        <f t="shared" ca="1" si="32"/>
        <v>-9.780070004711594E-3</v>
      </c>
      <c r="V251" s="12">
        <f t="shared" ca="1" si="32"/>
        <v>-4.0927431544552917E-3</v>
      </c>
      <c r="W251" s="12">
        <f t="shared" ca="1" si="32"/>
        <v>-3.2512414993325356E-3</v>
      </c>
      <c r="X251" s="12">
        <f t="shared" ca="1" si="32"/>
        <v>4.2943009181395375E-3</v>
      </c>
      <c r="Y251" s="12">
        <f t="shared" ca="1" si="32"/>
        <v>3.9117444265686085E-3</v>
      </c>
      <c r="Z251" s="12">
        <f t="shared" ca="1" si="32"/>
        <v>-8.5501394496940719E-3</v>
      </c>
    </row>
    <row r="252" spans="13:26">
      <c r="M252" s="13">
        <v>249</v>
      </c>
      <c r="N252" s="15">
        <f t="shared" ca="1" si="26"/>
        <v>101</v>
      </c>
      <c r="O252" s="13">
        <v>249</v>
      </c>
      <c r="P252" s="19">
        <f t="shared" ca="1" si="27"/>
        <v>44286</v>
      </c>
      <c r="Q252" s="12">
        <f t="shared" ca="1" si="32"/>
        <v>2.7500000000000001E-5</v>
      </c>
      <c r="R252" s="12">
        <f t="shared" ca="1" si="32"/>
        <v>1.8655477596030146E-4</v>
      </c>
      <c r="S252" s="12">
        <f t="shared" ca="1" si="32"/>
        <v>2.6226794750616733E-5</v>
      </c>
      <c r="T252" s="12">
        <f t="shared" ca="1" si="32"/>
        <v>-8.1406923077331772E-4</v>
      </c>
      <c r="U252" s="12">
        <f t="shared" ca="1" si="32"/>
        <v>-1.2653570914514911E-2</v>
      </c>
      <c r="V252" s="12">
        <f t="shared" ca="1" si="32"/>
        <v>-5.7461233487734464E-3</v>
      </c>
      <c r="W252" s="12">
        <f t="shared" ca="1" si="32"/>
        <v>-1.3870140935728026E-2</v>
      </c>
      <c r="X252" s="12">
        <f t="shared" ca="1" si="32"/>
        <v>4.2438634008107767E-2</v>
      </c>
      <c r="Y252" s="12">
        <f t="shared" ca="1" si="32"/>
        <v>3.109380214235169E-2</v>
      </c>
      <c r="Z252" s="12">
        <f t="shared" ca="1" si="32"/>
        <v>-1.5184194136236728E-2</v>
      </c>
    </row>
    <row r="253" spans="13:26">
      <c r="M253" s="13">
        <v>250</v>
      </c>
      <c r="N253" s="15">
        <f t="shared" ca="1" si="26"/>
        <v>101</v>
      </c>
      <c r="O253" s="13">
        <v>250</v>
      </c>
      <c r="P253" s="19">
        <f t="shared" ca="1" si="27"/>
        <v>44286</v>
      </c>
      <c r="Q253" s="12">
        <f t="shared" ca="1" si="32"/>
        <v>2.7500000000000001E-5</v>
      </c>
      <c r="R253" s="12">
        <f t="shared" ca="1" si="32"/>
        <v>1.8655477596030146E-4</v>
      </c>
      <c r="S253" s="12">
        <f t="shared" ca="1" si="32"/>
        <v>2.6226794750616733E-5</v>
      </c>
      <c r="T253" s="12">
        <f t="shared" ca="1" si="32"/>
        <v>-8.1406923077331772E-4</v>
      </c>
      <c r="U253" s="12">
        <f t="shared" ca="1" si="32"/>
        <v>-1.2653570914514911E-2</v>
      </c>
      <c r="V253" s="12">
        <f t="shared" ca="1" si="32"/>
        <v>-5.7461233487734464E-3</v>
      </c>
      <c r="W253" s="12">
        <f t="shared" ca="1" si="32"/>
        <v>-1.3870140935728026E-2</v>
      </c>
      <c r="X253" s="12">
        <f t="shared" ca="1" si="32"/>
        <v>4.2438634008107767E-2</v>
      </c>
      <c r="Y253" s="12">
        <f t="shared" ca="1" si="32"/>
        <v>3.109380214235169E-2</v>
      </c>
      <c r="Z253" s="12">
        <f t="shared" ca="1" si="32"/>
        <v>-1.5184194136236728E-2</v>
      </c>
    </row>
    <row r="254" spans="13:26">
      <c r="M254" s="13">
        <v>251</v>
      </c>
      <c r="N254" s="15">
        <f t="shared" ca="1" si="26"/>
        <v>101</v>
      </c>
      <c r="O254" s="13">
        <v>251</v>
      </c>
      <c r="P254" s="19">
        <f t="shared" ca="1" si="27"/>
        <v>44286</v>
      </c>
      <c r="Q254" s="12">
        <f t="shared" ref="Q254:Z263" ca="1" si="33">INDEX(histrets,$N254,Q$1)</f>
        <v>2.7500000000000001E-5</v>
      </c>
      <c r="R254" s="12">
        <f t="shared" ca="1" si="33"/>
        <v>1.8655477596030146E-4</v>
      </c>
      <c r="S254" s="12">
        <f t="shared" ca="1" si="33"/>
        <v>2.6226794750616733E-5</v>
      </c>
      <c r="T254" s="12">
        <f t="shared" ca="1" si="33"/>
        <v>-8.1406923077331772E-4</v>
      </c>
      <c r="U254" s="12">
        <f t="shared" ca="1" si="33"/>
        <v>-1.2653570914514911E-2</v>
      </c>
      <c r="V254" s="12">
        <f t="shared" ca="1" si="33"/>
        <v>-5.7461233487734464E-3</v>
      </c>
      <c r="W254" s="12">
        <f t="shared" ca="1" si="33"/>
        <v>-1.3870140935728026E-2</v>
      </c>
      <c r="X254" s="12">
        <f t="shared" ca="1" si="33"/>
        <v>4.2438634008107767E-2</v>
      </c>
      <c r="Y254" s="12">
        <f t="shared" ca="1" si="33"/>
        <v>3.109380214235169E-2</v>
      </c>
      <c r="Z254" s="12">
        <f t="shared" ca="1" si="33"/>
        <v>-1.5184194136236728E-2</v>
      </c>
    </row>
    <row r="255" spans="13:26">
      <c r="M255" s="13">
        <v>252</v>
      </c>
      <c r="N255" s="15">
        <f t="shared" ca="1" si="26"/>
        <v>3</v>
      </c>
      <c r="O255" s="13">
        <v>252</v>
      </c>
      <c r="P255" s="19">
        <f t="shared" ca="1" si="27"/>
        <v>41305</v>
      </c>
      <c r="Q255" s="12">
        <f t="shared" ca="1" si="33"/>
        <v>3.3833333333333334E-5</v>
      </c>
      <c r="R255" s="12">
        <f t="shared" ca="1" si="33"/>
        <v>1.1015399528546688E-4</v>
      </c>
      <c r="S255" s="12">
        <f t="shared" ca="1" si="33"/>
        <v>2.6974540434498984E-4</v>
      </c>
      <c r="T255" s="12">
        <f t="shared" ca="1" si="33"/>
        <v>2.0272989942340391E-3</v>
      </c>
      <c r="U255" s="12">
        <f t="shared" ca="1" si="33"/>
        <v>-9.5016863564771903E-3</v>
      </c>
      <c r="V255" s="12">
        <f t="shared" ca="1" si="33"/>
        <v>-4.3280887137527868E-3</v>
      </c>
      <c r="W255" s="12">
        <f t="shared" ca="1" si="33"/>
        <v>-7.1759738369659987E-3</v>
      </c>
      <c r="X255" s="12">
        <f t="shared" ca="1" si="33"/>
        <v>5.0428063581991145E-2</v>
      </c>
      <c r="Y255" s="12">
        <f t="shared" ca="1" si="33"/>
        <v>5.0033619723571121E-2</v>
      </c>
      <c r="Z255" s="12">
        <f t="shared" ca="1" si="33"/>
        <v>-6.9537708538514043E-3</v>
      </c>
    </row>
    <row r="256" spans="13:26">
      <c r="M256" s="13">
        <v>253</v>
      </c>
      <c r="N256" s="15">
        <f t="shared" ca="1" si="26"/>
        <v>19</v>
      </c>
      <c r="O256" s="13">
        <v>253</v>
      </c>
      <c r="P256" s="19">
        <f t="shared" ca="1" si="27"/>
        <v>41789</v>
      </c>
      <c r="Q256" s="12">
        <f t="shared" ca="1" si="33"/>
        <v>2.1083333333333332E-5</v>
      </c>
      <c r="R256" s="12">
        <f t="shared" ca="1" si="33"/>
        <v>1.8372645950004429E-3</v>
      </c>
      <c r="S256" s="12">
        <f t="shared" ca="1" si="33"/>
        <v>1.5690397719230198E-3</v>
      </c>
      <c r="T256" s="12">
        <f t="shared" ca="1" si="33"/>
        <v>3.6311918820273181E-3</v>
      </c>
      <c r="U256" s="12">
        <f t="shared" ca="1" si="33"/>
        <v>1.0908523280633409E-2</v>
      </c>
      <c r="V256" s="12">
        <f t="shared" ca="1" si="33"/>
        <v>7.2947422212128465E-3</v>
      </c>
      <c r="W256" s="12">
        <f t="shared" ca="1" si="33"/>
        <v>1.529301775138503E-2</v>
      </c>
      <c r="X256" s="12">
        <f t="shared" ca="1" si="33"/>
        <v>2.1030282120013677E-2</v>
      </c>
      <c r="Y256" s="12">
        <f t="shared" ca="1" si="33"/>
        <v>1.6258428430919514E-2</v>
      </c>
      <c r="Z256" s="12">
        <f t="shared" ca="1" si="33"/>
        <v>-3.246335968287628E-2</v>
      </c>
    </row>
    <row r="257" spans="13:26">
      <c r="M257" s="13">
        <v>254</v>
      </c>
      <c r="N257" s="15">
        <f t="shared" ca="1" si="26"/>
        <v>32</v>
      </c>
      <c r="O257" s="13">
        <v>254</v>
      </c>
      <c r="P257" s="19">
        <f t="shared" ca="1" si="27"/>
        <v>42185</v>
      </c>
      <c r="Q257" s="12">
        <f t="shared" ca="1" si="33"/>
        <v>0</v>
      </c>
      <c r="R257" s="12">
        <f t="shared" ca="1" si="33"/>
        <v>2.5320231558723094E-4</v>
      </c>
      <c r="S257" s="12">
        <f t="shared" ca="1" si="33"/>
        <v>3.5784763056034841E-4</v>
      </c>
      <c r="T257" s="12">
        <f t="shared" ca="1" si="33"/>
        <v>-1.5031059264967173E-3</v>
      </c>
      <c r="U257" s="12">
        <f t="shared" ca="1" si="33"/>
        <v>-9.962299900720839E-3</v>
      </c>
      <c r="V257" s="12">
        <f t="shared" ca="1" si="33"/>
        <v>-4.4419820231021978E-3</v>
      </c>
      <c r="W257" s="12">
        <f t="shared" ca="1" si="33"/>
        <v>-1.639343013945227E-2</v>
      </c>
      <c r="X257" s="12">
        <f t="shared" ca="1" si="33"/>
        <v>-2.10117728564716E-2</v>
      </c>
      <c r="Y257" s="12">
        <f t="shared" ca="1" si="33"/>
        <v>-2.4560082279085793E-2</v>
      </c>
      <c r="Z257" s="12">
        <f t="shared" ca="1" si="33"/>
        <v>-1.5311864805389042E-2</v>
      </c>
    </row>
    <row r="258" spans="13:26">
      <c r="M258" s="13">
        <v>255</v>
      </c>
      <c r="N258" s="15">
        <f t="shared" ca="1" si="26"/>
        <v>85</v>
      </c>
      <c r="O258" s="13">
        <v>255</v>
      </c>
      <c r="P258" s="19">
        <f t="shared" ca="1" si="27"/>
        <v>43798</v>
      </c>
      <c r="Q258" s="12">
        <f t="shared" ca="1" si="33"/>
        <v>1.2700000000000001E-3</v>
      </c>
      <c r="R258" s="12">
        <f t="shared" ca="1" si="33"/>
        <v>-3.1985221522146112E-4</v>
      </c>
      <c r="S258" s="12">
        <f t="shared" ca="1" si="33"/>
        <v>3.6057863500360554E-4</v>
      </c>
      <c r="T258" s="12">
        <f t="shared" ca="1" si="33"/>
        <v>9.0396543563886489E-4</v>
      </c>
      <c r="U258" s="12">
        <f t="shared" ca="1" si="33"/>
        <v>-3.0761312252364226E-3</v>
      </c>
      <c r="V258" s="12">
        <f t="shared" ca="1" si="33"/>
        <v>-1.2057464260430972E-3</v>
      </c>
      <c r="W258" s="12">
        <f t="shared" ca="1" si="33"/>
        <v>2.1668924942224166E-3</v>
      </c>
      <c r="X258" s="12">
        <f t="shared" ca="1" si="33"/>
        <v>3.404706409091518E-2</v>
      </c>
      <c r="Y258" s="12">
        <f t="shared" ca="1" si="33"/>
        <v>2.6294699421991252E-2</v>
      </c>
      <c r="Z258" s="12">
        <f t="shared" ca="1" si="33"/>
        <v>-3.2392811585007175E-2</v>
      </c>
    </row>
    <row r="259" spans="13:26">
      <c r="M259" s="13">
        <v>256</v>
      </c>
      <c r="N259" s="15">
        <f t="shared" ca="1" si="26"/>
        <v>80</v>
      </c>
      <c r="O259" s="13">
        <v>256</v>
      </c>
      <c r="P259" s="19">
        <f t="shared" ca="1" si="27"/>
        <v>43644</v>
      </c>
      <c r="Q259" s="12">
        <f t="shared" ca="1" si="33"/>
        <v>1.9499166666666666E-3</v>
      </c>
      <c r="R259" s="12">
        <f t="shared" ca="1" si="33"/>
        <v>5.1917075031886473E-3</v>
      </c>
      <c r="S259" s="12">
        <f t="shared" ca="1" si="33"/>
        <v>4.2090899628399736E-3</v>
      </c>
      <c r="T259" s="12">
        <f t="shared" ca="1" si="33"/>
        <v>7.0753769980971271E-3</v>
      </c>
      <c r="U259" s="12">
        <f t="shared" ca="1" si="33"/>
        <v>9.2802295657687939E-3</v>
      </c>
      <c r="V259" s="12">
        <f t="shared" ca="1" si="33"/>
        <v>7.1252807034192234E-3</v>
      </c>
      <c r="W259" s="12">
        <f t="shared" ca="1" si="33"/>
        <v>2.2998364645352432E-2</v>
      </c>
      <c r="X259" s="12">
        <f t="shared" ca="1" si="33"/>
        <v>6.8930183208214979E-2</v>
      </c>
      <c r="Y259" s="12">
        <f t="shared" ca="1" si="33"/>
        <v>6.4557116676847937E-2</v>
      </c>
      <c r="Z259" s="12">
        <f t="shared" ca="1" si="33"/>
        <v>7.9635104704422588E-2</v>
      </c>
    </row>
    <row r="260" spans="13:26">
      <c r="M260" s="13">
        <v>257</v>
      </c>
      <c r="N260" s="15">
        <f t="shared" ref="N260:N323" ca="1" si="34">RANDBETWEEN(1,numobs)</f>
        <v>57</v>
      </c>
      <c r="O260" s="13">
        <v>257</v>
      </c>
      <c r="P260" s="19">
        <f t="shared" ref="P260:P323" ca="1" si="35">INDEX(histdates,N260,1)</f>
        <v>42947</v>
      </c>
      <c r="Q260" s="12">
        <f t="shared" ca="1" si="33"/>
        <v>8.4275000000000007E-4</v>
      </c>
      <c r="R260" s="12">
        <f t="shared" ca="1" si="33"/>
        <v>2.1296426380839062E-3</v>
      </c>
      <c r="S260" s="12">
        <f t="shared" ca="1" si="33"/>
        <v>2.1188695263520962E-3</v>
      </c>
      <c r="T260" s="12">
        <f t="shared" ca="1" si="33"/>
        <v>3.9737789984888305E-3</v>
      </c>
      <c r="U260" s="12">
        <f t="shared" ca="1" si="33"/>
        <v>1.5204383699691792E-3</v>
      </c>
      <c r="V260" s="12">
        <f t="shared" ca="1" si="33"/>
        <v>2.7943614040748521E-3</v>
      </c>
      <c r="W260" s="12">
        <f t="shared" ca="1" si="33"/>
        <v>7.4729816467542509E-3</v>
      </c>
      <c r="X260" s="12">
        <f t="shared" ca="1" si="33"/>
        <v>1.9348768883515444E-2</v>
      </c>
      <c r="Y260" s="12">
        <f t="shared" ca="1" si="33"/>
        <v>2.330896510699576E-2</v>
      </c>
      <c r="Z260" s="12">
        <f t="shared" ca="1" si="33"/>
        <v>2.2414445759940893E-2</v>
      </c>
    </row>
    <row r="261" spans="13:26">
      <c r="M261" s="13">
        <v>258</v>
      </c>
      <c r="N261" s="15">
        <f t="shared" ca="1" si="34"/>
        <v>14</v>
      </c>
      <c r="O261" s="13">
        <v>258</v>
      </c>
      <c r="P261" s="19">
        <f t="shared" ca="1" si="35"/>
        <v>41639</v>
      </c>
      <c r="Q261" s="12">
        <f t="shared" ca="1" si="33"/>
        <v>4.6499999999999999E-5</v>
      </c>
      <c r="R261" s="12">
        <f t="shared" ca="1" si="33"/>
        <v>-1.3626905157968494E-3</v>
      </c>
      <c r="S261" s="12">
        <f t="shared" ca="1" si="33"/>
        <v>-1.0449329264931029E-3</v>
      </c>
      <c r="T261" s="12">
        <f t="shared" ca="1" si="33"/>
        <v>-2.9149177684706373E-4</v>
      </c>
      <c r="U261" s="12">
        <f t="shared" ca="1" si="33"/>
        <v>-1.0392957075136766E-2</v>
      </c>
      <c r="V261" s="12">
        <f t="shared" ca="1" si="33"/>
        <v>-6.3905976357661043E-3</v>
      </c>
      <c r="W261" s="12">
        <f t="shared" ca="1" si="33"/>
        <v>-1.7959320051789129E-3</v>
      </c>
      <c r="X261" s="12">
        <f t="shared" ca="1" si="33"/>
        <v>2.3562833299184183E-2</v>
      </c>
      <c r="Y261" s="12">
        <f t="shared" ca="1" si="33"/>
        <v>2.0050109922501447E-2</v>
      </c>
      <c r="Z261" s="12">
        <f t="shared" ca="1" si="33"/>
        <v>-4.125743008736571E-2</v>
      </c>
    </row>
    <row r="262" spans="13:26">
      <c r="M262" s="13">
        <v>259</v>
      </c>
      <c r="N262" s="15">
        <f t="shared" ca="1" si="34"/>
        <v>49</v>
      </c>
      <c r="O262" s="13">
        <v>259</v>
      </c>
      <c r="P262" s="19">
        <f t="shared" ca="1" si="35"/>
        <v>42704</v>
      </c>
      <c r="Q262" s="12">
        <f t="shared" ca="1" si="33"/>
        <v>2.4941666666666667E-4</v>
      </c>
      <c r="R262" s="12">
        <f t="shared" ca="1" si="33"/>
        <v>-3.9680668767997362E-3</v>
      </c>
      <c r="S262" s="12">
        <f t="shared" ca="1" si="33"/>
        <v>-3.9652254703520518E-3</v>
      </c>
      <c r="T262" s="12">
        <f t="shared" ca="1" si="33"/>
        <v>-4.234892489187625E-3</v>
      </c>
      <c r="U262" s="12">
        <f t="shared" ca="1" si="33"/>
        <v>-2.7309126741589806E-2</v>
      </c>
      <c r="V262" s="12">
        <f t="shared" ca="1" si="33"/>
        <v>-1.4909534956887072E-2</v>
      </c>
      <c r="W262" s="12">
        <f t="shared" ca="1" si="33"/>
        <v>-2.6791531353187459E-2</v>
      </c>
      <c r="X262" s="12">
        <f t="shared" ca="1" si="33"/>
        <v>3.4174446769983158E-2</v>
      </c>
      <c r="Y262" s="12">
        <f t="shared" ca="1" si="33"/>
        <v>1.2519811700139494E-2</v>
      </c>
      <c r="Z262" s="12">
        <f t="shared" ca="1" si="33"/>
        <v>-8.143531604043186E-2</v>
      </c>
    </row>
    <row r="263" spans="13:26">
      <c r="M263" s="13">
        <v>260</v>
      </c>
      <c r="N263" s="15">
        <f t="shared" ca="1" si="34"/>
        <v>76</v>
      </c>
      <c r="O263" s="13">
        <v>260</v>
      </c>
      <c r="P263" s="19">
        <f t="shared" ca="1" si="35"/>
        <v>43524</v>
      </c>
      <c r="Q263" s="12">
        <f t="shared" ca="1" si="33"/>
        <v>1.9865833333333333E-3</v>
      </c>
      <c r="R263" s="12">
        <f t="shared" ca="1" si="33"/>
        <v>1.0051696844186608E-3</v>
      </c>
      <c r="S263" s="12">
        <f t="shared" ca="1" si="33"/>
        <v>1.2578004850634095E-3</v>
      </c>
      <c r="T263" s="12">
        <f t="shared" ca="1" si="33"/>
        <v>3.5059253369462695E-3</v>
      </c>
      <c r="U263" s="12">
        <f t="shared" ca="1" si="33"/>
        <v>-2.7752785488605047E-3</v>
      </c>
      <c r="V263" s="12">
        <f t="shared" ca="1" si="33"/>
        <v>3.5532293312900975E-4</v>
      </c>
      <c r="W263" s="12">
        <f t="shared" ca="1" si="33"/>
        <v>3.595733609209395E-3</v>
      </c>
      <c r="X263" s="12">
        <f t="shared" ca="1" si="33"/>
        <v>2.9728930143116061E-2</v>
      </c>
      <c r="Y263" s="12">
        <f t="shared" ca="1" si="33"/>
        <v>2.8272261633037532E-2</v>
      </c>
      <c r="Z263" s="12">
        <f t="shared" ca="1" si="33"/>
        <v>-6.0018921475875064E-3</v>
      </c>
    </row>
    <row r="264" spans="13:26">
      <c r="M264" s="13">
        <v>261</v>
      </c>
      <c r="N264" s="15">
        <f t="shared" ca="1" si="34"/>
        <v>63</v>
      </c>
      <c r="O264" s="13">
        <v>261</v>
      </c>
      <c r="P264" s="19">
        <f t="shared" ca="1" si="35"/>
        <v>43131</v>
      </c>
      <c r="Q264" s="12">
        <f t="shared" ref="Q264:Z273" ca="1" si="36">INDEX(histrets,$N264,Q$1)</f>
        <v>1.1464166666666667E-3</v>
      </c>
      <c r="R264" s="12">
        <f t="shared" ca="1" si="36"/>
        <v>-2.8744273635203932E-3</v>
      </c>
      <c r="S264" s="12">
        <f t="shared" ca="1" si="36"/>
        <v>-2.2571798955052236E-3</v>
      </c>
      <c r="T264" s="12">
        <f t="shared" ca="1" si="36"/>
        <v>-1.7389948786749043E-3</v>
      </c>
      <c r="U264" s="12">
        <f t="shared" ca="1" si="36"/>
        <v>-1.3959378934221722E-2</v>
      </c>
      <c r="V264" s="12">
        <f t="shared" ca="1" si="36"/>
        <v>-7.9297322504744416E-3</v>
      </c>
      <c r="W264" s="12">
        <f t="shared" ca="1" si="36"/>
        <v>-9.2413589736451973E-3</v>
      </c>
      <c r="X264" s="12">
        <f t="shared" ca="1" si="36"/>
        <v>5.6178724645703726E-2</v>
      </c>
      <c r="Y264" s="12">
        <f t="shared" ca="1" si="36"/>
        <v>5.2195203118685862E-2</v>
      </c>
      <c r="Z264" s="12">
        <f t="shared" ca="1" si="36"/>
        <v>3.2499232422474877E-2</v>
      </c>
    </row>
    <row r="265" spans="13:26">
      <c r="M265" s="13">
        <v>262</v>
      </c>
      <c r="N265" s="15">
        <f t="shared" ca="1" si="34"/>
        <v>127</v>
      </c>
      <c r="O265" s="13">
        <v>262</v>
      </c>
      <c r="P265" s="19">
        <f t="shared" ca="1" si="35"/>
        <v>45077</v>
      </c>
      <c r="Q265" s="12">
        <f t="shared" ca="1" si="36"/>
        <v>4.191833333333333E-3</v>
      </c>
      <c r="R265" s="12">
        <f t="shared" ca="1" si="36"/>
        <v>-3.4479770869045856E-3</v>
      </c>
      <c r="S265" s="12">
        <f t="shared" ca="1" si="36"/>
        <v>-3.2227731683034389E-3</v>
      </c>
      <c r="T265" s="12">
        <f t="shared" ca="1" si="36"/>
        <v>-1.7737598295631818E-3</v>
      </c>
      <c r="U265" s="12">
        <f t="shared" ca="1" si="36"/>
        <v>-1.2280652613657628E-2</v>
      </c>
      <c r="V265" s="12">
        <f t="shared" ca="1" si="36"/>
        <v>-5.1693738650140375E-3</v>
      </c>
      <c r="W265" s="12">
        <f t="shared" ca="1" si="36"/>
        <v>-1.3282449996727785E-2</v>
      </c>
      <c r="X265" s="12">
        <f t="shared" ca="1" si="36"/>
        <v>2.4823239348792381E-3</v>
      </c>
      <c r="Y265" s="12">
        <f t="shared" ca="1" si="36"/>
        <v>-1.247209909976621E-2</v>
      </c>
      <c r="Z265" s="12">
        <f t="shared" ca="1" si="36"/>
        <v>-1.370351758793964E-2</v>
      </c>
    </row>
    <row r="266" spans="13:26">
      <c r="M266" s="13">
        <v>263</v>
      </c>
      <c r="N266" s="15">
        <f t="shared" ca="1" si="34"/>
        <v>91</v>
      </c>
      <c r="O266" s="13">
        <v>263</v>
      </c>
      <c r="P266" s="19">
        <f t="shared" ca="1" si="35"/>
        <v>43980</v>
      </c>
      <c r="Q266" s="12">
        <f t="shared" ca="1" si="36"/>
        <v>6.5666666666666659E-5</v>
      </c>
      <c r="R266" s="12">
        <f t="shared" ca="1" si="36"/>
        <v>6.5332407328955178E-4</v>
      </c>
      <c r="S266" s="12">
        <f t="shared" ca="1" si="36"/>
        <v>1.1219188398201574E-3</v>
      </c>
      <c r="T266" s="12">
        <f t="shared" ca="1" si="36"/>
        <v>1.1510566044761195E-2</v>
      </c>
      <c r="U266" s="12">
        <f t="shared" ca="1" si="36"/>
        <v>-3.0809051435478629E-3</v>
      </c>
      <c r="V266" s="12">
        <f t="shared" ca="1" si="36"/>
        <v>1.2924211926443885E-3</v>
      </c>
      <c r="W266" s="12">
        <f t="shared" ca="1" si="36"/>
        <v>1.7481872879328675E-2</v>
      </c>
      <c r="X266" s="12">
        <f t="shared" ca="1" si="36"/>
        <v>4.528177501261843E-2</v>
      </c>
      <c r="Y266" s="12">
        <f t="shared" ca="1" si="36"/>
        <v>4.6291740750663779E-2</v>
      </c>
      <c r="Z266" s="12">
        <f t="shared" ca="1" si="36"/>
        <v>2.5953157426623186E-2</v>
      </c>
    </row>
    <row r="267" spans="13:26">
      <c r="M267" s="13">
        <v>264</v>
      </c>
      <c r="N267" s="15">
        <f t="shared" ca="1" si="34"/>
        <v>97</v>
      </c>
      <c r="O267" s="13">
        <v>264</v>
      </c>
      <c r="P267" s="19">
        <f t="shared" ca="1" si="35"/>
        <v>44165</v>
      </c>
      <c r="Q267" s="12">
        <f t="shared" ca="1" si="36"/>
        <v>7.2000000000000002E-5</v>
      </c>
      <c r="R267" s="12">
        <f t="shared" ca="1" si="36"/>
        <v>4.6018745918008364E-4</v>
      </c>
      <c r="S267" s="12">
        <f t="shared" ca="1" si="36"/>
        <v>5.1200326748523928E-4</v>
      </c>
      <c r="T267" s="12">
        <f t="shared" ca="1" si="36"/>
        <v>3.404200074170971E-3</v>
      </c>
      <c r="U267" s="12">
        <f t="shared" ca="1" si="36"/>
        <v>3.8089454052951943E-3</v>
      </c>
      <c r="V267" s="12">
        <f t="shared" ca="1" si="36"/>
        <v>2.67018622641646E-3</v>
      </c>
      <c r="W267" s="12">
        <f t="shared" ca="1" si="36"/>
        <v>2.6657871609712336E-2</v>
      </c>
      <c r="X267" s="12">
        <f t="shared" ca="1" si="36"/>
        <v>0.10754565805086314</v>
      </c>
      <c r="Y267" s="12">
        <f t="shared" ca="1" si="36"/>
        <v>0.1265673177986244</v>
      </c>
      <c r="Z267" s="12">
        <f t="shared" ca="1" si="36"/>
        <v>-5.4215168111730216E-2</v>
      </c>
    </row>
    <row r="268" spans="13:26">
      <c r="M268" s="13">
        <v>265</v>
      </c>
      <c r="N268" s="15">
        <f t="shared" ca="1" si="34"/>
        <v>21</v>
      </c>
      <c r="O268" s="13">
        <v>265</v>
      </c>
      <c r="P268" s="19">
        <f t="shared" ca="1" si="35"/>
        <v>41851</v>
      </c>
      <c r="Q268" s="12">
        <f t="shared" ca="1" si="36"/>
        <v>1.6916666666666667E-5</v>
      </c>
      <c r="R268" s="12">
        <f t="shared" ca="1" si="36"/>
        <v>-7.8093230899733967E-4</v>
      </c>
      <c r="S268" s="12">
        <f t="shared" ca="1" si="36"/>
        <v>-7.1441213336875808E-4</v>
      </c>
      <c r="T268" s="12">
        <f t="shared" ca="1" si="36"/>
        <v>-8.9675605808192671E-4</v>
      </c>
      <c r="U268" s="12">
        <f t="shared" ca="1" si="36"/>
        <v>-1.4961171557231756E-3</v>
      </c>
      <c r="V268" s="12">
        <f t="shared" ca="1" si="36"/>
        <v>-9.0742118232678415E-4</v>
      </c>
      <c r="W268" s="12">
        <f t="shared" ca="1" si="36"/>
        <v>-1.1757998723708196E-3</v>
      </c>
      <c r="X268" s="12">
        <f t="shared" ca="1" si="36"/>
        <v>-1.5079863077291922E-2</v>
      </c>
      <c r="Y268" s="12">
        <f t="shared" ca="1" si="36"/>
        <v>-1.6674123274942443E-2</v>
      </c>
      <c r="Z268" s="12">
        <f t="shared" ca="1" si="36"/>
        <v>-3.3706764708098191E-2</v>
      </c>
    </row>
    <row r="269" spans="13:26">
      <c r="M269" s="13">
        <v>266</v>
      </c>
      <c r="N269" s="15">
        <f t="shared" ca="1" si="34"/>
        <v>103</v>
      </c>
      <c r="O269" s="13">
        <v>266</v>
      </c>
      <c r="P269" s="19">
        <f t="shared" ca="1" si="35"/>
        <v>44347</v>
      </c>
      <c r="Q269" s="12">
        <f t="shared" ca="1" si="36"/>
        <v>2.0833333333333334E-6</v>
      </c>
      <c r="R269" s="12">
        <f t="shared" ca="1" si="36"/>
        <v>7.5601374570455349E-4</v>
      </c>
      <c r="S269" s="12">
        <f t="shared" ca="1" si="36"/>
        <v>7.7117116067437763E-4</v>
      </c>
      <c r="T269" s="12">
        <f t="shared" ca="1" si="36"/>
        <v>2.1318730865014235E-3</v>
      </c>
      <c r="U269" s="12">
        <f t="shared" ca="1" si="36"/>
        <v>2.9767087748440169E-3</v>
      </c>
      <c r="V269" s="12">
        <f t="shared" ca="1" si="36"/>
        <v>2.9418212628797846E-3</v>
      </c>
      <c r="W269" s="12">
        <f t="shared" ca="1" si="36"/>
        <v>7.0206864587414319E-3</v>
      </c>
      <c r="X269" s="12">
        <f t="shared" ca="1" si="36"/>
        <v>5.4865025818131574E-3</v>
      </c>
      <c r="Y269" s="12">
        <f t="shared" ca="1" si="36"/>
        <v>1.2569927452394714E-2</v>
      </c>
      <c r="Z269" s="12">
        <f t="shared" ca="1" si="36"/>
        <v>7.7857477969397237E-2</v>
      </c>
    </row>
    <row r="270" spans="13:26">
      <c r="M270" s="13">
        <v>267</v>
      </c>
      <c r="N270" s="15">
        <f t="shared" ca="1" si="34"/>
        <v>41</v>
      </c>
      <c r="O270" s="13">
        <v>267</v>
      </c>
      <c r="P270" s="19">
        <f t="shared" ca="1" si="35"/>
        <v>42460</v>
      </c>
      <c r="Q270" s="12">
        <f t="shared" ca="1" si="36"/>
        <v>2.6283333333333334E-4</v>
      </c>
      <c r="R270" s="12">
        <f t="shared" ca="1" si="36"/>
        <v>1.7450488010437581E-3</v>
      </c>
      <c r="S270" s="12">
        <f t="shared" ca="1" si="36"/>
        <v>2.0434531973680947E-3</v>
      </c>
      <c r="T270" s="12">
        <f t="shared" ca="1" si="36"/>
        <v>8.4586985427637096E-3</v>
      </c>
      <c r="U270" s="12">
        <f t="shared" ca="1" si="36"/>
        <v>1.3902308915594297E-3</v>
      </c>
      <c r="V270" s="12">
        <f t="shared" ca="1" si="36"/>
        <v>2.4232475161714007E-3</v>
      </c>
      <c r="W270" s="12">
        <f t="shared" ca="1" si="36"/>
        <v>2.7141723803574269E-2</v>
      </c>
      <c r="X270" s="12">
        <f t="shared" ca="1" si="36"/>
        <v>6.5991108718941094E-2</v>
      </c>
      <c r="Y270" s="12">
        <f t="shared" ca="1" si="36"/>
        <v>6.5248162774614205E-2</v>
      </c>
      <c r="Z270" s="12">
        <f t="shared" ca="1" si="36"/>
        <v>-4.7793197542526089E-3</v>
      </c>
    </row>
    <row r="271" spans="13:26">
      <c r="M271" s="13">
        <v>268</v>
      </c>
      <c r="N271" s="15">
        <f t="shared" ca="1" si="34"/>
        <v>107</v>
      </c>
      <c r="O271" s="13">
        <v>268</v>
      </c>
      <c r="P271" s="19">
        <f t="shared" ca="1" si="35"/>
        <v>44469</v>
      </c>
      <c r="Q271" s="12">
        <f t="shared" ca="1" si="36"/>
        <v>2.9583333333333332E-5</v>
      </c>
      <c r="R271" s="12">
        <f t="shared" ca="1" si="36"/>
        <v>-1.0048513877685128E-3</v>
      </c>
      <c r="S271" s="12">
        <f t="shared" ca="1" si="36"/>
        <v>-7.6437253088035284E-4</v>
      </c>
      <c r="T271" s="12">
        <f t="shared" ca="1" si="36"/>
        <v>-2.8779840011450286E-4</v>
      </c>
      <c r="U271" s="12">
        <f t="shared" ca="1" si="36"/>
        <v>-1.2014615583012089E-2</v>
      </c>
      <c r="V271" s="12">
        <f t="shared" ca="1" si="36"/>
        <v>-6.0025556246581235E-3</v>
      </c>
      <c r="W271" s="12">
        <f t="shared" ca="1" si="36"/>
        <v>-1.0569251398916846E-2</v>
      </c>
      <c r="X271" s="12">
        <f t="shared" ca="1" si="36"/>
        <v>-4.7569140421166334E-2</v>
      </c>
      <c r="Y271" s="12">
        <f t="shared" ca="1" si="36"/>
        <v>-4.2895570375793834E-2</v>
      </c>
      <c r="Z271" s="12">
        <f t="shared" ca="1" si="36"/>
        <v>-3.124689846825679E-2</v>
      </c>
    </row>
    <row r="272" spans="13:26">
      <c r="M272" s="13">
        <v>269</v>
      </c>
      <c r="N272" s="15">
        <f t="shared" ca="1" si="34"/>
        <v>43</v>
      </c>
      <c r="O272" s="13">
        <v>269</v>
      </c>
      <c r="P272" s="19">
        <f t="shared" ca="1" si="35"/>
        <v>42521</v>
      </c>
      <c r="Q272" s="12">
        <f t="shared" ca="1" si="36"/>
        <v>1.7374999999999999E-4</v>
      </c>
      <c r="R272" s="12">
        <f t="shared" ca="1" si="36"/>
        <v>-1.0628856830331435E-3</v>
      </c>
      <c r="S272" s="12">
        <f t="shared" ca="1" si="36"/>
        <v>-5.5927657376853013E-4</v>
      </c>
      <c r="T272" s="12">
        <f t="shared" ca="1" si="36"/>
        <v>1.5459070746159931E-4</v>
      </c>
      <c r="U272" s="12">
        <f t="shared" ca="1" si="36"/>
        <v>3.748514902548461E-4</v>
      </c>
      <c r="V272" s="12">
        <f t="shared" ca="1" si="36"/>
        <v>3.9650403269497758E-4</v>
      </c>
      <c r="W272" s="12">
        <f t="shared" ca="1" si="36"/>
        <v>-6.4936379649593867E-4</v>
      </c>
      <c r="X272" s="12">
        <f t="shared" ca="1" si="36"/>
        <v>1.5329492083474561E-2</v>
      </c>
      <c r="Y272" s="12">
        <f t="shared" ca="1" si="36"/>
        <v>2.2803447450323588E-3</v>
      </c>
      <c r="Z272" s="12">
        <f t="shared" ca="1" si="36"/>
        <v>-6.0454724668156157E-2</v>
      </c>
    </row>
    <row r="273" spans="13:26">
      <c r="M273" s="13">
        <v>270</v>
      </c>
      <c r="N273" s="15">
        <f t="shared" ca="1" si="34"/>
        <v>8</v>
      </c>
      <c r="O273" s="13">
        <v>270</v>
      </c>
      <c r="P273" s="19">
        <f t="shared" ca="1" si="35"/>
        <v>41453</v>
      </c>
      <c r="Q273" s="12">
        <f t="shared" ca="1" si="36"/>
        <v>2.1083333333333332E-5</v>
      </c>
      <c r="R273" s="12">
        <f t="shared" ca="1" si="36"/>
        <v>-7.0885763849148908E-4</v>
      </c>
      <c r="S273" s="12">
        <f t="shared" ca="1" si="36"/>
        <v>-1.0936482084691335E-3</v>
      </c>
      <c r="T273" s="12">
        <f t="shared" ca="1" si="36"/>
        <v>-4.1132390946674313E-3</v>
      </c>
      <c r="U273" s="12">
        <f t="shared" ca="1" si="36"/>
        <v>-1.2550513797482843E-2</v>
      </c>
      <c r="V273" s="12">
        <f t="shared" ca="1" si="36"/>
        <v>-1.3296303543348209E-2</v>
      </c>
      <c r="W273" s="12">
        <f t="shared" ca="1" si="36"/>
        <v>-2.759722730309111E-2</v>
      </c>
      <c r="X273" s="12">
        <f t="shared" ca="1" si="36"/>
        <v>-1.499932545960736E-2</v>
      </c>
      <c r="Y273" s="12">
        <f t="shared" ca="1" si="36"/>
        <v>-2.6074609526268278E-2</v>
      </c>
      <c r="Z273" s="12">
        <f t="shared" ca="1" si="36"/>
        <v>-0.11044098573281447</v>
      </c>
    </row>
    <row r="274" spans="13:26">
      <c r="M274" s="13">
        <v>271</v>
      </c>
      <c r="N274" s="15">
        <f t="shared" ca="1" si="34"/>
        <v>37</v>
      </c>
      <c r="O274" s="13">
        <v>271</v>
      </c>
      <c r="P274" s="19">
        <f t="shared" ca="1" si="35"/>
        <v>42338</v>
      </c>
      <c r="Q274" s="12">
        <f t="shared" ref="Q274:Z283" ca="1" si="37">INDEX(histrets,$N274,Q$1)</f>
        <v>5.933333333333333E-5</v>
      </c>
      <c r="R274" s="12">
        <f t="shared" ca="1" si="37"/>
        <v>-2.4550406621516307E-3</v>
      </c>
      <c r="S274" s="12">
        <f t="shared" ca="1" si="37"/>
        <v>-1.9393666703364509E-3</v>
      </c>
      <c r="T274" s="12">
        <f t="shared" ca="1" si="37"/>
        <v>-7.1057840590915688E-4</v>
      </c>
      <c r="U274" s="12">
        <f t="shared" ca="1" si="37"/>
        <v>-4.225256655618348E-3</v>
      </c>
      <c r="V274" s="12">
        <f t="shared" ca="1" si="37"/>
        <v>-2.6917513626392164E-3</v>
      </c>
      <c r="W274" s="12">
        <f t="shared" ca="1" si="37"/>
        <v>-2.2383480101869635E-3</v>
      </c>
      <c r="X274" s="12">
        <f t="shared" ca="1" si="37"/>
        <v>5.0496306555847248E-4</v>
      </c>
      <c r="Y274" s="12">
        <f t="shared" ca="1" si="37"/>
        <v>-6.6830812521982974E-3</v>
      </c>
      <c r="Z274" s="12">
        <f t="shared" ca="1" si="37"/>
        <v>-6.7716769838281676E-2</v>
      </c>
    </row>
    <row r="275" spans="13:26">
      <c r="M275" s="13">
        <v>272</v>
      </c>
      <c r="N275" s="15">
        <f t="shared" ca="1" si="34"/>
        <v>125</v>
      </c>
      <c r="O275" s="13">
        <v>272</v>
      </c>
      <c r="P275" s="19">
        <f t="shared" ca="1" si="35"/>
        <v>45016</v>
      </c>
      <c r="Q275" s="12">
        <f t="shared" ca="1" si="37"/>
        <v>3.9739166666666664E-3</v>
      </c>
      <c r="R275" s="12">
        <f t="shared" ca="1" si="37"/>
        <v>1.5952721678990756E-2</v>
      </c>
      <c r="S275" s="12">
        <f t="shared" ca="1" si="37"/>
        <v>1.6285339772754925E-2</v>
      </c>
      <c r="T275" s="12">
        <f t="shared" ca="1" si="37"/>
        <v>8.7837685668412657E-3</v>
      </c>
      <c r="U275" s="12">
        <f t="shared" ca="1" si="37"/>
        <v>2.9576955176613406E-2</v>
      </c>
      <c r="V275" s="12">
        <f t="shared" ca="1" si="37"/>
        <v>2.1121753530337406E-2</v>
      </c>
      <c r="W275" s="12">
        <f t="shared" ca="1" si="37"/>
        <v>2.5627855244890752E-2</v>
      </c>
      <c r="X275" s="12">
        <f t="shared" ca="1" si="37"/>
        <v>3.5051572358727023E-2</v>
      </c>
      <c r="Y275" s="12">
        <f t="shared" ca="1" si="37"/>
        <v>2.8317560423934518E-2</v>
      </c>
      <c r="Z275" s="12">
        <f t="shared" ca="1" si="37"/>
        <v>7.7923499660631057E-2</v>
      </c>
    </row>
    <row r="276" spans="13:26">
      <c r="M276" s="13">
        <v>273</v>
      </c>
      <c r="N276" s="15">
        <f t="shared" ca="1" si="34"/>
        <v>9</v>
      </c>
      <c r="O276" s="13">
        <v>273</v>
      </c>
      <c r="P276" s="19">
        <f t="shared" ca="1" si="35"/>
        <v>41486</v>
      </c>
      <c r="Q276" s="12">
        <f t="shared" ca="1" si="37"/>
        <v>2.5333333333333334E-5</v>
      </c>
      <c r="R276" s="12">
        <f t="shared" ca="1" si="37"/>
        <v>1.5896724164516929E-3</v>
      </c>
      <c r="S276" s="12">
        <f t="shared" ca="1" si="37"/>
        <v>1.6320780788763312E-3</v>
      </c>
      <c r="T276" s="12">
        <f t="shared" ca="1" si="37"/>
        <v>4.1877250782442754E-3</v>
      </c>
      <c r="U276" s="12">
        <f t="shared" ca="1" si="37"/>
        <v>-1.9451251847627526E-3</v>
      </c>
      <c r="V276" s="12">
        <f t="shared" ca="1" si="37"/>
        <v>1.4120337701157837E-3</v>
      </c>
      <c r="W276" s="12">
        <f t="shared" ca="1" si="37"/>
        <v>7.3868715089695502E-3</v>
      </c>
      <c r="X276" s="12">
        <f t="shared" ca="1" si="37"/>
        <v>4.9462111213487203E-2</v>
      </c>
      <c r="Y276" s="12">
        <f t="shared" ca="1" si="37"/>
        <v>5.1871228767744526E-2</v>
      </c>
      <c r="Z276" s="12">
        <f t="shared" ca="1" si="37"/>
        <v>7.333965152730193E-2</v>
      </c>
    </row>
    <row r="277" spans="13:26">
      <c r="M277" s="13">
        <v>274</v>
      </c>
      <c r="N277" s="15">
        <f t="shared" ca="1" si="34"/>
        <v>118</v>
      </c>
      <c r="O277" s="13">
        <v>274</v>
      </c>
      <c r="P277" s="19">
        <f t="shared" ca="1" si="35"/>
        <v>44804</v>
      </c>
      <c r="Q277" s="12">
        <f t="shared" ca="1" si="37"/>
        <v>1.9306666666666669E-3</v>
      </c>
      <c r="R277" s="12">
        <f t="shared" ca="1" si="37"/>
        <v>-7.2039287934703156E-3</v>
      </c>
      <c r="S277" s="12">
        <f t="shared" ca="1" si="37"/>
        <v>-7.9638102833402558E-3</v>
      </c>
      <c r="T277" s="12">
        <f t="shared" ca="1" si="37"/>
        <v>-5.7503855963663142E-3</v>
      </c>
      <c r="U277" s="12">
        <f t="shared" ca="1" si="37"/>
        <v>-2.6175212402140158E-2</v>
      </c>
      <c r="V277" s="12">
        <f t="shared" ca="1" si="37"/>
        <v>-1.7493418533857663E-2</v>
      </c>
      <c r="W277" s="12">
        <f t="shared" ca="1" si="37"/>
        <v>-2.6611677035771941E-2</v>
      </c>
      <c r="X277" s="12">
        <f t="shared" ca="1" si="37"/>
        <v>-4.2440119216810457E-2</v>
      </c>
      <c r="Y277" s="12">
        <f t="shared" ca="1" si="37"/>
        <v>-4.3348128620688264E-2</v>
      </c>
      <c r="Z277" s="12">
        <f t="shared" ca="1" si="37"/>
        <v>-3.1088258944245051E-2</v>
      </c>
    </row>
    <row r="278" spans="13:26">
      <c r="M278" s="13">
        <v>275</v>
      </c>
      <c r="N278" s="15">
        <f t="shared" ca="1" si="34"/>
        <v>4</v>
      </c>
      <c r="O278" s="13">
        <v>275</v>
      </c>
      <c r="P278" s="19">
        <f t="shared" ca="1" si="35"/>
        <v>41333</v>
      </c>
      <c r="Q278" s="12">
        <f t="shared" ca="1" si="37"/>
        <v>5.9166666666666664E-5</v>
      </c>
      <c r="R278" s="12">
        <f t="shared" ca="1" si="37"/>
        <v>8.3091021235359719E-4</v>
      </c>
      <c r="S278" s="12">
        <f t="shared" ca="1" si="37"/>
        <v>2.998173395447612E-4</v>
      </c>
      <c r="T278" s="12">
        <f t="shared" ca="1" si="37"/>
        <v>2.2266045016940961E-3</v>
      </c>
      <c r="U278" s="12">
        <f t="shared" ca="1" si="37"/>
        <v>5.9378731064057E-3</v>
      </c>
      <c r="V278" s="12">
        <f t="shared" ca="1" si="37"/>
        <v>4.0838642808365133E-3</v>
      </c>
      <c r="W278" s="12">
        <f t="shared" ca="1" si="37"/>
        <v>7.0715896685218382E-3</v>
      </c>
      <c r="X278" s="12">
        <f t="shared" ca="1" si="37"/>
        <v>1.1060603026480154E-2</v>
      </c>
      <c r="Y278" s="12">
        <f t="shared" ca="1" si="37"/>
        <v>-2.0633667029534841E-4</v>
      </c>
      <c r="Z278" s="12">
        <f t="shared" ca="1" si="37"/>
        <v>-5.0543968263509154E-2</v>
      </c>
    </row>
    <row r="279" spans="13:26">
      <c r="M279" s="13">
        <v>276</v>
      </c>
      <c r="N279" s="15">
        <f t="shared" ca="1" si="34"/>
        <v>113</v>
      </c>
      <c r="O279" s="13">
        <v>276</v>
      </c>
      <c r="P279" s="19">
        <f t="shared" ca="1" si="35"/>
        <v>44651</v>
      </c>
      <c r="Q279" s="12">
        <f t="shared" ca="1" si="37"/>
        <v>2.4308333333333335E-4</v>
      </c>
      <c r="R279" s="12">
        <f t="shared" ca="1" si="37"/>
        <v>-1.331462698738195E-2</v>
      </c>
      <c r="S279" s="12">
        <f t="shared" ca="1" si="37"/>
        <v>-1.2512815509149955E-2</v>
      </c>
      <c r="T279" s="12">
        <f t="shared" ca="1" si="37"/>
        <v>-1.6666603979287431E-2</v>
      </c>
      <c r="U279" s="12">
        <f t="shared" ca="1" si="37"/>
        <v>-3.0054746669558874E-2</v>
      </c>
      <c r="V279" s="12">
        <f t="shared" ca="1" si="37"/>
        <v>-2.3889501110438749E-2</v>
      </c>
      <c r="W279" s="12">
        <f t="shared" ca="1" si="37"/>
        <v>-2.6390902135604244E-2</v>
      </c>
      <c r="X279" s="12">
        <f t="shared" ca="1" si="37"/>
        <v>3.5773238773280092E-2</v>
      </c>
      <c r="Y279" s="12">
        <f t="shared" ca="1" si="37"/>
        <v>2.5225406739535661E-2</v>
      </c>
      <c r="Z279" s="12">
        <f t="shared" ca="1" si="37"/>
        <v>1.4903168691297486E-2</v>
      </c>
    </row>
    <row r="280" spans="13:26">
      <c r="M280" s="13">
        <v>277</v>
      </c>
      <c r="N280" s="15">
        <f t="shared" ca="1" si="34"/>
        <v>34</v>
      </c>
      <c r="O280" s="13">
        <v>277</v>
      </c>
      <c r="P280" s="19">
        <f t="shared" ca="1" si="35"/>
        <v>42247</v>
      </c>
      <c r="Q280" s="12">
        <f t="shared" ca="1" si="37"/>
        <v>5.0833333333333333E-5</v>
      </c>
      <c r="R280" s="12">
        <f t="shared" ca="1" si="37"/>
        <v>-4.245659030255311E-4</v>
      </c>
      <c r="S280" s="12">
        <f t="shared" ca="1" si="37"/>
        <v>5.1180264889927329E-5</v>
      </c>
      <c r="T280" s="12">
        <f t="shared" ca="1" si="37"/>
        <v>-1.5857702074807412E-3</v>
      </c>
      <c r="U280" s="12">
        <f t="shared" ca="1" si="37"/>
        <v>5.7009692297005365E-4</v>
      </c>
      <c r="V280" s="12">
        <f t="shared" ca="1" si="37"/>
        <v>2.0695919191027201E-4</v>
      </c>
      <c r="W280" s="12">
        <f t="shared" ca="1" si="37"/>
        <v>-6.7093163473843642E-3</v>
      </c>
      <c r="X280" s="12">
        <f t="shared" ca="1" si="37"/>
        <v>-6.258080462392579E-2</v>
      </c>
      <c r="Y280" s="12">
        <f t="shared" ca="1" si="37"/>
        <v>-6.806184866334386E-2</v>
      </c>
      <c r="Z280" s="12">
        <f t="shared" ca="1" si="37"/>
        <v>3.5709070998357406E-2</v>
      </c>
    </row>
    <row r="281" spans="13:26">
      <c r="M281" s="13">
        <v>278</v>
      </c>
      <c r="N281" s="15">
        <f t="shared" ca="1" si="34"/>
        <v>36</v>
      </c>
      <c r="O281" s="13">
        <v>278</v>
      </c>
      <c r="P281" s="19">
        <f t="shared" ca="1" si="35"/>
        <v>42307</v>
      </c>
      <c r="Q281" s="12">
        <f t="shared" ca="1" si="37"/>
        <v>-1.6916666666666667E-5</v>
      </c>
      <c r="R281" s="12">
        <f t="shared" ca="1" si="37"/>
        <v>-9.7742671460165909E-4</v>
      </c>
      <c r="S281" s="12">
        <f t="shared" ca="1" si="37"/>
        <v>-4.927758109271041E-4</v>
      </c>
      <c r="T281" s="12">
        <f t="shared" ca="1" si="37"/>
        <v>1.940190683884957E-3</v>
      </c>
      <c r="U281" s="12">
        <f t="shared" ca="1" si="37"/>
        <v>-3.5650933433152288E-3</v>
      </c>
      <c r="V281" s="12">
        <f t="shared" ca="1" si="37"/>
        <v>-1.3467962852747872E-3</v>
      </c>
      <c r="W281" s="12">
        <f t="shared" ca="1" si="37"/>
        <v>5.3601883874283551E-3</v>
      </c>
      <c r="X281" s="12">
        <f t="shared" ca="1" si="37"/>
        <v>8.2983078389400333E-2</v>
      </c>
      <c r="Y281" s="12">
        <f t="shared" ca="1" si="37"/>
        <v>7.8309901891372435E-2</v>
      </c>
      <c r="Z281" s="12">
        <f t="shared" ca="1" si="37"/>
        <v>2.4231227972629998E-2</v>
      </c>
    </row>
    <row r="282" spans="13:26">
      <c r="M282" s="13">
        <v>279</v>
      </c>
      <c r="N282" s="15">
        <f t="shared" ca="1" si="34"/>
        <v>45</v>
      </c>
      <c r="O282" s="13">
        <v>279</v>
      </c>
      <c r="P282" s="19">
        <f t="shared" ca="1" si="35"/>
        <v>42580</v>
      </c>
      <c r="Q282" s="12">
        <f t="shared" ca="1" si="37"/>
        <v>2.1558333333333333E-4</v>
      </c>
      <c r="R282" s="12">
        <f t="shared" ca="1" si="37"/>
        <v>-5.7077088298329581E-4</v>
      </c>
      <c r="S282" s="12">
        <f t="shared" ca="1" si="37"/>
        <v>-3.0581958067155135E-4</v>
      </c>
      <c r="T282" s="12">
        <f t="shared" ca="1" si="37"/>
        <v>2.2605119529390816E-3</v>
      </c>
      <c r="U282" s="12">
        <f t="shared" ca="1" si="37"/>
        <v>4.2456896419305057E-3</v>
      </c>
      <c r="V282" s="12">
        <f t="shared" ca="1" si="37"/>
        <v>2.623848785514804E-3</v>
      </c>
      <c r="W282" s="12">
        <f t="shared" ca="1" si="37"/>
        <v>1.4501917690883159E-2</v>
      </c>
      <c r="X282" s="12">
        <f t="shared" ca="1" si="37"/>
        <v>3.5609807228685897E-2</v>
      </c>
      <c r="Y282" s="12">
        <f t="shared" ca="1" si="37"/>
        <v>4.1470333831348238E-2</v>
      </c>
      <c r="Z282" s="12">
        <f t="shared" ca="1" si="37"/>
        <v>2.2225584386110775E-2</v>
      </c>
    </row>
    <row r="283" spans="13:26">
      <c r="M283" s="13">
        <v>280</v>
      </c>
      <c r="N283" s="15">
        <f t="shared" ca="1" si="34"/>
        <v>130</v>
      </c>
      <c r="O283" s="13">
        <v>280</v>
      </c>
      <c r="P283" s="19">
        <f t="shared" ca="1" si="35"/>
        <v>45169</v>
      </c>
      <c r="Q283" s="12">
        <f t="shared" ca="1" si="37"/>
        <v>4.5000833333333334E-3</v>
      </c>
      <c r="R283" s="12">
        <f t="shared" ca="1" si="37"/>
        <v>3.9273692971986129E-3</v>
      </c>
      <c r="S283" s="12">
        <f t="shared" ca="1" si="37"/>
        <v>3.9583557645146428E-3</v>
      </c>
      <c r="T283" s="12">
        <f t="shared" ca="1" si="37"/>
        <v>3.0283320281572212E-3</v>
      </c>
      <c r="U283" s="12">
        <f t="shared" ca="1" si="37"/>
        <v>-5.8212682970623097E-3</v>
      </c>
      <c r="V283" s="12">
        <f t="shared" ca="1" si="37"/>
        <v>1.6821017779320435E-3</v>
      </c>
      <c r="W283" s="12">
        <f t="shared" ca="1" si="37"/>
        <v>-6.8291158690111375E-3</v>
      </c>
      <c r="X283" s="12">
        <f t="shared" ca="1" si="37"/>
        <v>-1.771643248143373E-2</v>
      </c>
      <c r="Y283" s="12">
        <f t="shared" ca="1" si="37"/>
        <v>-2.5545801651274402E-2</v>
      </c>
      <c r="Z283" s="12">
        <f t="shared" ca="1" si="37"/>
        <v>-1.2671175366013698E-2</v>
      </c>
    </row>
    <row r="284" spans="13:26">
      <c r="M284" s="13">
        <v>281</v>
      </c>
      <c r="N284" s="15">
        <f t="shared" ca="1" si="34"/>
        <v>129</v>
      </c>
      <c r="O284" s="13">
        <v>281</v>
      </c>
      <c r="P284" s="19">
        <f t="shared" ca="1" si="35"/>
        <v>45138</v>
      </c>
      <c r="Q284" s="12">
        <f t="shared" ref="Q284:Z293" ca="1" si="38">INDEX(histrets,$N284,Q$1)</f>
        <v>4.4029999999999998E-3</v>
      </c>
      <c r="R284" s="12">
        <f t="shared" ca="1" si="38"/>
        <v>3.5600351757603121E-3</v>
      </c>
      <c r="S284" s="12">
        <f t="shared" ca="1" si="38"/>
        <v>3.4279797877487805E-3</v>
      </c>
      <c r="T284" s="12">
        <f t="shared" ca="1" si="38"/>
        <v>6.7704229871852206E-3</v>
      </c>
      <c r="U284" s="12">
        <f t="shared" ca="1" si="38"/>
        <v>-3.9619306898106554E-3</v>
      </c>
      <c r="V284" s="12">
        <f t="shared" ca="1" si="38"/>
        <v>2.6690047401789485E-4</v>
      </c>
      <c r="W284" s="12">
        <f t="shared" ca="1" si="38"/>
        <v>4.3345170855186854E-3</v>
      </c>
      <c r="X284" s="12">
        <f t="shared" ca="1" si="38"/>
        <v>3.1138913980379268E-2</v>
      </c>
      <c r="Y284" s="12">
        <f t="shared" ca="1" si="38"/>
        <v>3.2891543522813205E-2</v>
      </c>
      <c r="Z284" s="12">
        <f t="shared" ca="1" si="38"/>
        <v>2.3830984447859915E-2</v>
      </c>
    </row>
    <row r="285" spans="13:26">
      <c r="M285" s="13">
        <v>282</v>
      </c>
      <c r="N285" s="15">
        <f t="shared" ca="1" si="34"/>
        <v>123</v>
      </c>
      <c r="O285" s="13">
        <v>282</v>
      </c>
      <c r="P285" s="19">
        <f t="shared" ca="1" si="35"/>
        <v>44957</v>
      </c>
      <c r="Q285" s="12">
        <f t="shared" ca="1" si="38"/>
        <v>3.6190833333333335E-3</v>
      </c>
      <c r="R285" s="12">
        <f t="shared" ca="1" si="38"/>
        <v>6.8529912993722242E-3</v>
      </c>
      <c r="S285" s="12">
        <f t="shared" ca="1" si="38"/>
        <v>7.4985009837649219E-3</v>
      </c>
      <c r="T285" s="12">
        <f t="shared" ca="1" si="38"/>
        <v>1.0432522821833157E-2</v>
      </c>
      <c r="U285" s="12">
        <f t="shared" ca="1" si="38"/>
        <v>2.5942010417448813E-2</v>
      </c>
      <c r="V285" s="12">
        <f t="shared" ca="1" si="38"/>
        <v>1.4634042651866963E-2</v>
      </c>
      <c r="W285" s="12">
        <f t="shared" ca="1" si="38"/>
        <v>3.889132644369897E-2</v>
      </c>
      <c r="X285" s="12">
        <f t="shared" ca="1" si="38"/>
        <v>6.1752832400052027E-2</v>
      </c>
      <c r="Y285" s="12">
        <f t="shared" ca="1" si="38"/>
        <v>7.004675931440163E-2</v>
      </c>
      <c r="Z285" s="12">
        <f t="shared" ca="1" si="38"/>
        <v>5.720332013903362E-2</v>
      </c>
    </row>
    <row r="286" spans="13:26">
      <c r="M286" s="13">
        <v>283</v>
      </c>
      <c r="N286" s="15">
        <f t="shared" ca="1" si="34"/>
        <v>106</v>
      </c>
      <c r="O286" s="13">
        <v>283</v>
      </c>
      <c r="P286" s="19">
        <f t="shared" ca="1" si="35"/>
        <v>44439</v>
      </c>
      <c r="Q286" s="12">
        <f t="shared" ca="1" si="38"/>
        <v>3.3833333333333334E-5</v>
      </c>
      <c r="R286" s="12">
        <f t="shared" ca="1" si="38"/>
        <v>-7.8140230932000065E-5</v>
      </c>
      <c r="S286" s="12">
        <f t="shared" ca="1" si="38"/>
        <v>-2.4726949029107992E-5</v>
      </c>
      <c r="T286" s="12">
        <f t="shared" ca="1" si="38"/>
        <v>4.2424848539091009E-4</v>
      </c>
      <c r="U286" s="12">
        <f t="shared" ca="1" si="38"/>
        <v>-1.5608667247386521E-3</v>
      </c>
      <c r="V286" s="12">
        <f t="shared" ca="1" si="38"/>
        <v>-9.0512669140796476E-4</v>
      </c>
      <c r="W286" s="12">
        <f t="shared" ca="1" si="38"/>
        <v>-1.9806785867538812E-3</v>
      </c>
      <c r="X286" s="12">
        <f t="shared" ca="1" si="38"/>
        <v>2.8990321391681118E-2</v>
      </c>
      <c r="Y286" s="12">
        <f t="shared" ca="1" si="38"/>
        <v>2.349108088295182E-2</v>
      </c>
      <c r="Z286" s="12">
        <f t="shared" ca="1" si="38"/>
        <v>-3.1418980371411553E-4</v>
      </c>
    </row>
    <row r="287" spans="13:26">
      <c r="M287" s="13">
        <v>284</v>
      </c>
      <c r="N287" s="15">
        <f t="shared" ca="1" si="34"/>
        <v>9</v>
      </c>
      <c r="O287" s="13">
        <v>284</v>
      </c>
      <c r="P287" s="19">
        <f t="shared" ca="1" si="35"/>
        <v>41486</v>
      </c>
      <c r="Q287" s="12">
        <f t="shared" ca="1" si="38"/>
        <v>2.5333333333333334E-5</v>
      </c>
      <c r="R287" s="12">
        <f t="shared" ca="1" si="38"/>
        <v>1.5896724164516929E-3</v>
      </c>
      <c r="S287" s="12">
        <f t="shared" ca="1" si="38"/>
        <v>1.6320780788763312E-3</v>
      </c>
      <c r="T287" s="12">
        <f t="shared" ca="1" si="38"/>
        <v>4.1877250782442754E-3</v>
      </c>
      <c r="U287" s="12">
        <f t="shared" ca="1" si="38"/>
        <v>-1.9451251847627526E-3</v>
      </c>
      <c r="V287" s="12">
        <f t="shared" ca="1" si="38"/>
        <v>1.4120337701157837E-3</v>
      </c>
      <c r="W287" s="12">
        <f t="shared" ca="1" si="38"/>
        <v>7.3868715089695502E-3</v>
      </c>
      <c r="X287" s="12">
        <f t="shared" ca="1" si="38"/>
        <v>4.9462111213487203E-2</v>
      </c>
      <c r="Y287" s="12">
        <f t="shared" ca="1" si="38"/>
        <v>5.1871228767744526E-2</v>
      </c>
      <c r="Z287" s="12">
        <f t="shared" ca="1" si="38"/>
        <v>7.333965152730193E-2</v>
      </c>
    </row>
    <row r="288" spans="13:26">
      <c r="M288" s="13">
        <v>285</v>
      </c>
      <c r="N288" s="15">
        <f t="shared" ca="1" si="34"/>
        <v>97</v>
      </c>
      <c r="O288" s="13">
        <v>285</v>
      </c>
      <c r="P288" s="19">
        <f t="shared" ca="1" si="35"/>
        <v>44165</v>
      </c>
      <c r="Q288" s="12">
        <f t="shared" ca="1" si="38"/>
        <v>7.2000000000000002E-5</v>
      </c>
      <c r="R288" s="12">
        <f t="shared" ca="1" si="38"/>
        <v>4.6018745918008364E-4</v>
      </c>
      <c r="S288" s="12">
        <f t="shared" ca="1" si="38"/>
        <v>5.1200326748523928E-4</v>
      </c>
      <c r="T288" s="12">
        <f t="shared" ca="1" si="38"/>
        <v>3.404200074170971E-3</v>
      </c>
      <c r="U288" s="12">
        <f t="shared" ca="1" si="38"/>
        <v>3.8089454052951943E-3</v>
      </c>
      <c r="V288" s="12">
        <f t="shared" ca="1" si="38"/>
        <v>2.67018622641646E-3</v>
      </c>
      <c r="W288" s="12">
        <f t="shared" ca="1" si="38"/>
        <v>2.6657871609712336E-2</v>
      </c>
      <c r="X288" s="12">
        <f t="shared" ca="1" si="38"/>
        <v>0.10754565805086314</v>
      </c>
      <c r="Y288" s="12">
        <f t="shared" ca="1" si="38"/>
        <v>0.1265673177986244</v>
      </c>
      <c r="Z288" s="12">
        <f t="shared" ca="1" si="38"/>
        <v>-5.4215168111730216E-2</v>
      </c>
    </row>
    <row r="289" spans="13:26">
      <c r="M289" s="13">
        <v>286</v>
      </c>
      <c r="N289" s="15">
        <f t="shared" ca="1" si="34"/>
        <v>103</v>
      </c>
      <c r="O289" s="13">
        <v>286</v>
      </c>
      <c r="P289" s="19">
        <f t="shared" ca="1" si="35"/>
        <v>44347</v>
      </c>
      <c r="Q289" s="12">
        <f t="shared" ca="1" si="38"/>
        <v>2.0833333333333334E-6</v>
      </c>
      <c r="R289" s="12">
        <f t="shared" ca="1" si="38"/>
        <v>7.5601374570455349E-4</v>
      </c>
      <c r="S289" s="12">
        <f t="shared" ca="1" si="38"/>
        <v>7.7117116067437763E-4</v>
      </c>
      <c r="T289" s="12">
        <f t="shared" ca="1" si="38"/>
        <v>2.1318730865014235E-3</v>
      </c>
      <c r="U289" s="12">
        <f t="shared" ca="1" si="38"/>
        <v>2.9767087748440169E-3</v>
      </c>
      <c r="V289" s="12">
        <f t="shared" ca="1" si="38"/>
        <v>2.9418212628797846E-3</v>
      </c>
      <c r="W289" s="12">
        <f t="shared" ca="1" si="38"/>
        <v>7.0206864587414319E-3</v>
      </c>
      <c r="X289" s="12">
        <f t="shared" ca="1" si="38"/>
        <v>5.4865025818131574E-3</v>
      </c>
      <c r="Y289" s="12">
        <f t="shared" ca="1" si="38"/>
        <v>1.2569927452394714E-2</v>
      </c>
      <c r="Z289" s="12">
        <f t="shared" ca="1" si="38"/>
        <v>7.7857477969397237E-2</v>
      </c>
    </row>
    <row r="290" spans="13:26">
      <c r="M290" s="13">
        <v>287</v>
      </c>
      <c r="N290" s="15">
        <f t="shared" ca="1" si="34"/>
        <v>9</v>
      </c>
      <c r="O290" s="13">
        <v>287</v>
      </c>
      <c r="P290" s="19">
        <f t="shared" ca="1" si="35"/>
        <v>41486</v>
      </c>
      <c r="Q290" s="12">
        <f t="shared" ca="1" si="38"/>
        <v>2.5333333333333334E-5</v>
      </c>
      <c r="R290" s="12">
        <f t="shared" ca="1" si="38"/>
        <v>1.5896724164516929E-3</v>
      </c>
      <c r="S290" s="12">
        <f t="shared" ca="1" si="38"/>
        <v>1.6320780788763312E-3</v>
      </c>
      <c r="T290" s="12">
        <f t="shared" ca="1" si="38"/>
        <v>4.1877250782442754E-3</v>
      </c>
      <c r="U290" s="12">
        <f t="shared" ca="1" si="38"/>
        <v>-1.9451251847627526E-3</v>
      </c>
      <c r="V290" s="12">
        <f t="shared" ca="1" si="38"/>
        <v>1.4120337701157837E-3</v>
      </c>
      <c r="W290" s="12">
        <f t="shared" ca="1" si="38"/>
        <v>7.3868715089695502E-3</v>
      </c>
      <c r="X290" s="12">
        <f t="shared" ca="1" si="38"/>
        <v>4.9462111213487203E-2</v>
      </c>
      <c r="Y290" s="12">
        <f t="shared" ca="1" si="38"/>
        <v>5.1871228767744526E-2</v>
      </c>
      <c r="Z290" s="12">
        <f t="shared" ca="1" si="38"/>
        <v>7.333965152730193E-2</v>
      </c>
    </row>
    <row r="291" spans="13:26">
      <c r="M291" s="13">
        <v>288</v>
      </c>
      <c r="N291" s="15">
        <f t="shared" ca="1" si="34"/>
        <v>33</v>
      </c>
      <c r="O291" s="13">
        <v>288</v>
      </c>
      <c r="P291" s="19">
        <f t="shared" ca="1" si="35"/>
        <v>42216</v>
      </c>
      <c r="Q291" s="12">
        <f t="shared" ca="1" si="38"/>
        <v>4.25E-6</v>
      </c>
      <c r="R291" s="12">
        <f t="shared" ca="1" si="38"/>
        <v>5.2014702822655856E-4</v>
      </c>
      <c r="S291" s="12">
        <f t="shared" ca="1" si="38"/>
        <v>7.2024084853961057E-4</v>
      </c>
      <c r="T291" s="12">
        <f t="shared" ca="1" si="38"/>
        <v>6.1151748804388895E-4</v>
      </c>
      <c r="U291" s="12">
        <f t="shared" ca="1" si="38"/>
        <v>9.3933699796231451E-3</v>
      </c>
      <c r="V291" s="12">
        <f t="shared" ca="1" si="38"/>
        <v>4.2111615459292651E-3</v>
      </c>
      <c r="W291" s="12">
        <f t="shared" ca="1" si="38"/>
        <v>5.3891014886802147E-3</v>
      </c>
      <c r="X291" s="12">
        <f t="shared" ca="1" si="38"/>
        <v>1.9742039930008559E-2</v>
      </c>
      <c r="Y291" s="12">
        <f t="shared" ca="1" si="38"/>
        <v>1.7279227476218795E-2</v>
      </c>
      <c r="Z291" s="12">
        <f t="shared" ca="1" si="38"/>
        <v>-6.5296199940290789E-2</v>
      </c>
    </row>
    <row r="292" spans="13:26">
      <c r="M292" s="13">
        <v>289</v>
      </c>
      <c r="N292" s="15">
        <f t="shared" ca="1" si="34"/>
        <v>26</v>
      </c>
      <c r="O292" s="13">
        <v>289</v>
      </c>
      <c r="P292" s="19">
        <f t="shared" ca="1" si="35"/>
        <v>42004</v>
      </c>
      <c r="Q292" s="12">
        <f t="shared" ca="1" si="38"/>
        <v>8.4166666666666668E-6</v>
      </c>
      <c r="R292" s="12">
        <f t="shared" ca="1" si="38"/>
        <v>-2.4358542422430185E-3</v>
      </c>
      <c r="S292" s="12">
        <f t="shared" ca="1" si="38"/>
        <v>-1.9464407079575752E-3</v>
      </c>
      <c r="T292" s="12">
        <f t="shared" ca="1" si="38"/>
        <v>-3.8821468979093332E-3</v>
      </c>
      <c r="U292" s="12">
        <f t="shared" ca="1" si="38"/>
        <v>2.5858855279670134E-3</v>
      </c>
      <c r="V292" s="12">
        <f t="shared" ca="1" si="38"/>
        <v>6.1162377075785201E-4</v>
      </c>
      <c r="W292" s="12">
        <f t="shared" ca="1" si="38"/>
        <v>-1.4009665553383899E-3</v>
      </c>
      <c r="X292" s="12">
        <f t="shared" ca="1" si="38"/>
        <v>-4.1885120625277938E-3</v>
      </c>
      <c r="Y292" s="12">
        <f t="shared" ca="1" si="38"/>
        <v>-1.7148605921241677E-2</v>
      </c>
      <c r="Z292" s="12">
        <f t="shared" ca="1" si="38"/>
        <v>1.4553958436841263E-2</v>
      </c>
    </row>
    <row r="293" spans="13:26">
      <c r="M293" s="13">
        <v>290</v>
      </c>
      <c r="N293" s="15">
        <f t="shared" ca="1" si="34"/>
        <v>121</v>
      </c>
      <c r="O293" s="13">
        <v>290</v>
      </c>
      <c r="P293" s="19">
        <f t="shared" ca="1" si="35"/>
        <v>44895</v>
      </c>
      <c r="Q293" s="12">
        <f t="shared" ca="1" si="38"/>
        <v>3.3799166666666669E-3</v>
      </c>
      <c r="R293" s="12">
        <f t="shared" ca="1" si="38"/>
        <v>6.2875043022390109E-3</v>
      </c>
      <c r="S293" s="12">
        <f t="shared" ca="1" si="38"/>
        <v>6.2505749946333289E-3</v>
      </c>
      <c r="T293" s="12">
        <f t="shared" ca="1" si="38"/>
        <v>1.3179812663381529E-2</v>
      </c>
      <c r="U293" s="12">
        <f t="shared" ca="1" si="38"/>
        <v>2.8126175985148771E-2</v>
      </c>
      <c r="V293" s="12">
        <f t="shared" ca="1" si="38"/>
        <v>1.5199845454158423E-2</v>
      </c>
      <c r="W293" s="12">
        <f t="shared" ca="1" si="38"/>
        <v>4.9175445389133987E-2</v>
      </c>
      <c r="X293" s="12">
        <f t="shared" ca="1" si="38"/>
        <v>5.3752860293699856E-2</v>
      </c>
      <c r="Y293" s="12">
        <f t="shared" ca="1" si="38"/>
        <v>6.7970577614494543E-2</v>
      </c>
      <c r="Z293" s="12">
        <f t="shared" ca="1" si="38"/>
        <v>8.2617106197507395E-2</v>
      </c>
    </row>
    <row r="294" spans="13:26">
      <c r="M294" s="13">
        <v>291</v>
      </c>
      <c r="N294" s="15">
        <f t="shared" ca="1" si="34"/>
        <v>122</v>
      </c>
      <c r="O294" s="13">
        <v>291</v>
      </c>
      <c r="P294" s="19">
        <f t="shared" ca="1" si="35"/>
        <v>44925</v>
      </c>
      <c r="Q294" s="12">
        <f t="shared" ref="Q294:Z303" ca="1" si="39">INDEX(histrets,$N294,Q$1)</f>
        <v>3.5996666666666668E-3</v>
      </c>
      <c r="R294" s="12">
        <f t="shared" ca="1" si="39"/>
        <v>2.0455625090360918E-3</v>
      </c>
      <c r="S294" s="12">
        <f t="shared" ca="1" si="39"/>
        <v>2.5523556719058149E-3</v>
      </c>
      <c r="T294" s="12">
        <f t="shared" ca="1" si="39"/>
        <v>3.0386964971180763E-3</v>
      </c>
      <c r="U294" s="12">
        <f t="shared" ca="1" si="39"/>
        <v>-5.2423174935820605E-3</v>
      </c>
      <c r="V294" s="12">
        <f t="shared" ca="1" si="39"/>
        <v>1.4255618068126363E-3</v>
      </c>
      <c r="W294" s="12">
        <f t="shared" ca="1" si="39"/>
        <v>-2.1183511393275678E-3</v>
      </c>
      <c r="X294" s="12">
        <f t="shared" ca="1" si="39"/>
        <v>-5.8971449299161094E-2</v>
      </c>
      <c r="Y294" s="12">
        <f t="shared" ca="1" si="39"/>
        <v>-4.3441667983637688E-2</v>
      </c>
      <c r="Z294" s="12">
        <f t="shared" ca="1" si="39"/>
        <v>3.1382172664148555E-2</v>
      </c>
    </row>
    <row r="295" spans="13:26">
      <c r="M295" s="13">
        <v>292</v>
      </c>
      <c r="N295" s="15">
        <f t="shared" ca="1" si="34"/>
        <v>14</v>
      </c>
      <c r="O295" s="13">
        <v>292</v>
      </c>
      <c r="P295" s="19">
        <f t="shared" ca="1" si="35"/>
        <v>41639</v>
      </c>
      <c r="Q295" s="12">
        <f t="shared" ca="1" si="39"/>
        <v>4.6499999999999999E-5</v>
      </c>
      <c r="R295" s="12">
        <f t="shared" ca="1" si="39"/>
        <v>-1.3626905157968494E-3</v>
      </c>
      <c r="S295" s="12">
        <f t="shared" ca="1" si="39"/>
        <v>-1.0449329264931029E-3</v>
      </c>
      <c r="T295" s="12">
        <f t="shared" ca="1" si="39"/>
        <v>-2.9149177684706373E-4</v>
      </c>
      <c r="U295" s="12">
        <f t="shared" ca="1" si="39"/>
        <v>-1.0392957075136766E-2</v>
      </c>
      <c r="V295" s="12">
        <f t="shared" ca="1" si="39"/>
        <v>-6.3905976357661043E-3</v>
      </c>
      <c r="W295" s="12">
        <f t="shared" ca="1" si="39"/>
        <v>-1.7959320051789129E-3</v>
      </c>
      <c r="X295" s="12">
        <f t="shared" ca="1" si="39"/>
        <v>2.3562833299184183E-2</v>
      </c>
      <c r="Y295" s="12">
        <f t="shared" ca="1" si="39"/>
        <v>2.0050109922501447E-2</v>
      </c>
      <c r="Z295" s="12">
        <f t="shared" ca="1" si="39"/>
        <v>-4.125743008736571E-2</v>
      </c>
    </row>
    <row r="296" spans="13:26">
      <c r="M296" s="13">
        <v>293</v>
      </c>
      <c r="N296" s="15">
        <f t="shared" ca="1" si="34"/>
        <v>58</v>
      </c>
      <c r="O296" s="13">
        <v>293</v>
      </c>
      <c r="P296" s="19">
        <f t="shared" ca="1" si="35"/>
        <v>42978</v>
      </c>
      <c r="Q296" s="12">
        <f t="shared" ca="1" si="39"/>
        <v>8.9366666666666663E-4</v>
      </c>
      <c r="R296" s="12">
        <f t="shared" ca="1" si="39"/>
        <v>1.8943117647360896E-3</v>
      </c>
      <c r="S296" s="12">
        <f t="shared" ca="1" si="39"/>
        <v>1.7981749232471866E-3</v>
      </c>
      <c r="T296" s="12">
        <f t="shared" ca="1" si="39"/>
        <v>2.0281311493255405E-3</v>
      </c>
      <c r="U296" s="12">
        <f t="shared" ca="1" si="39"/>
        <v>1.1306736498137848E-2</v>
      </c>
      <c r="V296" s="12">
        <f t="shared" ca="1" si="39"/>
        <v>7.3344561192607571E-3</v>
      </c>
      <c r="W296" s="12">
        <f t="shared" ca="1" si="39"/>
        <v>8.4693578904266875E-3</v>
      </c>
      <c r="X296" s="12">
        <f t="shared" ca="1" si="39"/>
        <v>5.4649232886694321E-4</v>
      </c>
      <c r="Y296" s="12">
        <f t="shared" ca="1" si="39"/>
        <v>-6.9348834837590356E-4</v>
      </c>
      <c r="Z296" s="12">
        <f t="shared" ca="1" si="39"/>
        <v>4.0955066801109163E-2</v>
      </c>
    </row>
    <row r="297" spans="13:26">
      <c r="M297" s="13">
        <v>294</v>
      </c>
      <c r="N297" s="15">
        <f t="shared" ca="1" si="34"/>
        <v>52</v>
      </c>
      <c r="O297" s="13">
        <v>294</v>
      </c>
      <c r="P297" s="19">
        <f t="shared" ca="1" si="35"/>
        <v>42794</v>
      </c>
      <c r="Q297" s="12">
        <f t="shared" ca="1" si="39"/>
        <v>4.2725000000000006E-4</v>
      </c>
      <c r="R297" s="12">
        <f t="shared" ca="1" si="39"/>
        <v>1.0199846529690415E-3</v>
      </c>
      <c r="S297" s="12">
        <f t="shared" ca="1" si="39"/>
        <v>1.1263017174716339E-3</v>
      </c>
      <c r="T297" s="12">
        <f t="shared" ca="1" si="39"/>
        <v>3.3637506960311203E-3</v>
      </c>
      <c r="U297" s="12">
        <f t="shared" ca="1" si="39"/>
        <v>5.1711262346592068E-3</v>
      </c>
      <c r="V297" s="12">
        <f t="shared" ca="1" si="39"/>
        <v>3.9337034794455494E-3</v>
      </c>
      <c r="W297" s="12">
        <f t="shared" ca="1" si="39"/>
        <v>1.1310662928395665E-2</v>
      </c>
      <c r="X297" s="12">
        <f t="shared" ca="1" si="39"/>
        <v>3.7198260541408734E-2</v>
      </c>
      <c r="Y297" s="12">
        <f t="shared" ca="1" si="39"/>
        <v>2.5831287659004554E-2</v>
      </c>
      <c r="Z297" s="12">
        <f t="shared" ca="1" si="39"/>
        <v>3.1155015197568359E-2</v>
      </c>
    </row>
    <row r="298" spans="13:26">
      <c r="M298" s="13">
        <v>295</v>
      </c>
      <c r="N298" s="15">
        <f t="shared" ca="1" si="34"/>
        <v>64</v>
      </c>
      <c r="O298" s="13">
        <v>295</v>
      </c>
      <c r="P298" s="19">
        <f t="shared" ca="1" si="35"/>
        <v>43159</v>
      </c>
      <c r="Q298" s="12">
        <f t="shared" ca="1" si="39"/>
        <v>1.2125833333333333E-3</v>
      </c>
      <c r="R298" s="12">
        <f t="shared" ca="1" si="39"/>
        <v>-3.7977924686849462E-4</v>
      </c>
      <c r="S298" s="12">
        <f t="shared" ca="1" si="39"/>
        <v>1.7365770487831611E-5</v>
      </c>
      <c r="T298" s="12">
        <f t="shared" ca="1" si="39"/>
        <v>-2.2637442459962909E-3</v>
      </c>
      <c r="U298" s="12">
        <f t="shared" ca="1" si="39"/>
        <v>-7.8760874663250657E-3</v>
      </c>
      <c r="V298" s="12">
        <f t="shared" ca="1" si="39"/>
        <v>-3.0430541002997025E-3</v>
      </c>
      <c r="W298" s="12">
        <f t="shared" ca="1" si="39"/>
        <v>-1.4964540778451663E-2</v>
      </c>
      <c r="X298" s="12">
        <f t="shared" ca="1" si="39"/>
        <v>-3.8947379604151844E-2</v>
      </c>
      <c r="Y298" s="12">
        <f t="shared" ca="1" si="39"/>
        <v>-4.3036453344418191E-2</v>
      </c>
      <c r="Z298" s="12">
        <f t="shared" ca="1" si="39"/>
        <v>-1.9945879239335773E-2</v>
      </c>
    </row>
    <row r="299" spans="13:26">
      <c r="M299" s="13">
        <v>296</v>
      </c>
      <c r="N299" s="15">
        <f t="shared" ca="1" si="34"/>
        <v>114</v>
      </c>
      <c r="O299" s="13">
        <v>296</v>
      </c>
      <c r="P299" s="19">
        <f t="shared" ca="1" si="35"/>
        <v>44680</v>
      </c>
      <c r="Q299" s="12">
        <f t="shared" ca="1" si="39"/>
        <v>4.0183333333333336E-4</v>
      </c>
      <c r="R299" s="12">
        <f t="shared" ca="1" si="39"/>
        <v>-4.7505397231347724E-3</v>
      </c>
      <c r="S299" s="12">
        <f t="shared" ca="1" si="39"/>
        <v>-5.0721410258810495E-3</v>
      </c>
      <c r="T299" s="12">
        <f t="shared" ca="1" si="39"/>
        <v>-7.2898890697563612E-3</v>
      </c>
      <c r="U299" s="12">
        <f t="shared" ca="1" si="39"/>
        <v>-3.2081456896948302E-2</v>
      </c>
      <c r="V299" s="12">
        <f t="shared" ca="1" si="39"/>
        <v>-1.6836959045835598E-2</v>
      </c>
      <c r="W299" s="12">
        <f t="shared" ca="1" si="39"/>
        <v>-4.9716282037125747E-2</v>
      </c>
      <c r="X299" s="12">
        <f t="shared" ca="1" si="39"/>
        <v>-8.7956719149039353E-2</v>
      </c>
      <c r="Y299" s="12">
        <f t="shared" ca="1" si="39"/>
        <v>-8.4324958156871688E-2</v>
      </c>
      <c r="Z299" s="12">
        <f t="shared" ca="1" si="39"/>
        <v>-2.090903460236182E-2</v>
      </c>
    </row>
    <row r="300" spans="13:26">
      <c r="M300" s="13">
        <v>297</v>
      </c>
      <c r="N300" s="15">
        <f t="shared" ca="1" si="34"/>
        <v>120</v>
      </c>
      <c r="O300" s="13">
        <v>297</v>
      </c>
      <c r="P300" s="19">
        <f t="shared" ca="1" si="35"/>
        <v>44865</v>
      </c>
      <c r="Q300" s="12">
        <f t="shared" ca="1" si="39"/>
        <v>2.7055E-3</v>
      </c>
      <c r="R300" s="12">
        <f t="shared" ca="1" si="39"/>
        <v>-9.8749969893285883E-4</v>
      </c>
      <c r="S300" s="12">
        <f t="shared" ca="1" si="39"/>
        <v>-1.6226807911334795E-3</v>
      </c>
      <c r="T300" s="12">
        <f t="shared" ca="1" si="39"/>
        <v>-2.2720778243974227E-3</v>
      </c>
      <c r="U300" s="12">
        <f t="shared" ca="1" si="39"/>
        <v>-1.5219530427619032E-2</v>
      </c>
      <c r="V300" s="12">
        <f t="shared" ca="1" si="39"/>
        <v>-7.3248596036072922E-3</v>
      </c>
      <c r="W300" s="12">
        <f t="shared" ca="1" si="39"/>
        <v>-1.1149135715035507E-2</v>
      </c>
      <c r="X300" s="12">
        <f t="shared" ca="1" si="39"/>
        <v>7.9863454576893256E-2</v>
      </c>
      <c r="Y300" s="12">
        <f t="shared" ca="1" si="39"/>
        <v>7.1078132554179829E-2</v>
      </c>
      <c r="Z300" s="12">
        <f t="shared" ca="1" si="39"/>
        <v>-1.6289194934391515E-2</v>
      </c>
    </row>
    <row r="301" spans="13:26">
      <c r="M301" s="13">
        <v>298</v>
      </c>
      <c r="N301" s="15">
        <f t="shared" ca="1" si="34"/>
        <v>33</v>
      </c>
      <c r="O301" s="13">
        <v>298</v>
      </c>
      <c r="P301" s="19">
        <f t="shared" ca="1" si="35"/>
        <v>42216</v>
      </c>
      <c r="Q301" s="12">
        <f t="shared" ca="1" si="39"/>
        <v>4.25E-6</v>
      </c>
      <c r="R301" s="12">
        <f t="shared" ca="1" si="39"/>
        <v>5.2014702822655856E-4</v>
      </c>
      <c r="S301" s="12">
        <f t="shared" ca="1" si="39"/>
        <v>7.2024084853961057E-4</v>
      </c>
      <c r="T301" s="12">
        <f t="shared" ca="1" si="39"/>
        <v>6.1151748804388895E-4</v>
      </c>
      <c r="U301" s="12">
        <f t="shared" ca="1" si="39"/>
        <v>9.3933699796231451E-3</v>
      </c>
      <c r="V301" s="12">
        <f t="shared" ca="1" si="39"/>
        <v>4.2111615459292651E-3</v>
      </c>
      <c r="W301" s="12">
        <f t="shared" ca="1" si="39"/>
        <v>5.3891014886802147E-3</v>
      </c>
      <c r="X301" s="12">
        <f t="shared" ca="1" si="39"/>
        <v>1.9742039930008559E-2</v>
      </c>
      <c r="Y301" s="12">
        <f t="shared" ca="1" si="39"/>
        <v>1.7279227476218795E-2</v>
      </c>
      <c r="Z301" s="12">
        <f t="shared" ca="1" si="39"/>
        <v>-6.5296199940290789E-2</v>
      </c>
    </row>
    <row r="302" spans="13:26">
      <c r="M302" s="13">
        <v>299</v>
      </c>
      <c r="N302" s="15">
        <f t="shared" ca="1" si="34"/>
        <v>15</v>
      </c>
      <c r="O302" s="13">
        <v>299</v>
      </c>
      <c r="P302" s="19">
        <f t="shared" ca="1" si="35"/>
        <v>41670</v>
      </c>
      <c r="Q302" s="12">
        <f t="shared" ca="1" si="39"/>
        <v>5.4916666666666669E-5</v>
      </c>
      <c r="R302" s="12">
        <f t="shared" ca="1" si="39"/>
        <v>1.5814379055123506E-3</v>
      </c>
      <c r="S302" s="12">
        <f t="shared" ca="1" si="39"/>
        <v>1.679808939992089E-3</v>
      </c>
      <c r="T302" s="12">
        <f t="shared" ca="1" si="39"/>
        <v>2.9655183705961097E-3</v>
      </c>
      <c r="U302" s="12">
        <f t="shared" ca="1" si="39"/>
        <v>1.5969001717037301E-2</v>
      </c>
      <c r="V302" s="12">
        <f t="shared" ca="1" si="39"/>
        <v>1.085078383634297E-2</v>
      </c>
      <c r="W302" s="12">
        <f t="shared" ca="1" si="39"/>
        <v>1.7841252744521308E-2</v>
      </c>
      <c r="X302" s="12">
        <f t="shared" ca="1" si="39"/>
        <v>-3.5582895107013734E-2</v>
      </c>
      <c r="Y302" s="12">
        <f t="shared" ca="1" si="39"/>
        <v>-3.7692571655619567E-2</v>
      </c>
      <c r="Z302" s="12">
        <f t="shared" ca="1" si="39"/>
        <v>3.5709530308578152E-2</v>
      </c>
    </row>
    <row r="303" spans="13:26">
      <c r="M303" s="13">
        <v>300</v>
      </c>
      <c r="N303" s="15">
        <f t="shared" ca="1" si="34"/>
        <v>40</v>
      </c>
      <c r="O303" s="13">
        <v>300</v>
      </c>
      <c r="P303" s="19">
        <f t="shared" ca="1" si="35"/>
        <v>42429</v>
      </c>
      <c r="Q303" s="12">
        <f t="shared" ca="1" si="39"/>
        <v>2.5858333333333338E-4</v>
      </c>
      <c r="R303" s="12">
        <f t="shared" ca="1" si="39"/>
        <v>1.1526283550027383E-3</v>
      </c>
      <c r="S303" s="12">
        <f t="shared" ca="1" si="39"/>
        <v>6.3649925410236285E-4</v>
      </c>
      <c r="T303" s="12">
        <f t="shared" ca="1" si="39"/>
        <v>9.6042118432282386E-4</v>
      </c>
      <c r="U303" s="12">
        <f t="shared" ca="1" si="39"/>
        <v>9.8407227159911237E-3</v>
      </c>
      <c r="V303" s="12">
        <f t="shared" ca="1" si="39"/>
        <v>4.5348675578638087E-3</v>
      </c>
      <c r="W303" s="12">
        <f t="shared" ca="1" si="39"/>
        <v>7.3469230175275957E-3</v>
      </c>
      <c r="X303" s="12">
        <f t="shared" ca="1" si="39"/>
        <v>-4.1283552550199776E-3</v>
      </c>
      <c r="Y303" s="12">
        <f t="shared" ca="1" si="39"/>
        <v>-9.608367793724093E-3</v>
      </c>
      <c r="Z303" s="12">
        <f t="shared" ca="1" si="39"/>
        <v>0.10772574024557113</v>
      </c>
    </row>
    <row r="304" spans="13:26">
      <c r="M304" s="13">
        <v>301</v>
      </c>
      <c r="N304" s="15">
        <f t="shared" ca="1" si="34"/>
        <v>48</v>
      </c>
      <c r="O304" s="13">
        <v>301</v>
      </c>
      <c r="P304" s="19">
        <f t="shared" ca="1" si="35"/>
        <v>42674</v>
      </c>
      <c r="Q304" s="12">
        <f t="shared" ref="Q304:Z313" ca="1" si="40">INDEX(histrets,$N304,Q$1)</f>
        <v>2.2824999999999999E-4</v>
      </c>
      <c r="R304" s="12">
        <f t="shared" ca="1" si="40"/>
        <v>-6.6904014583524241E-4</v>
      </c>
      <c r="S304" s="12">
        <f t="shared" ca="1" si="40"/>
        <v>-8.8476979395957223E-5</v>
      </c>
      <c r="T304" s="12">
        <f t="shared" ca="1" si="40"/>
        <v>4.7436962881475253E-4</v>
      </c>
      <c r="U304" s="12">
        <f t="shared" ca="1" si="40"/>
        <v>-1.151288919576221E-2</v>
      </c>
      <c r="V304" s="12">
        <f t="shared" ca="1" si="40"/>
        <v>-4.5227010929861367E-3</v>
      </c>
      <c r="W304" s="12">
        <f t="shared" ca="1" si="40"/>
        <v>-8.2772866137545975E-3</v>
      </c>
      <c r="X304" s="12">
        <f t="shared" ca="1" si="40"/>
        <v>-1.9425625037472249E-2</v>
      </c>
      <c r="Y304" s="12">
        <f t="shared" ca="1" si="40"/>
        <v>-2.0137106167459562E-2</v>
      </c>
      <c r="Z304" s="12">
        <f t="shared" ca="1" si="40"/>
        <v>-2.9379801956120222E-2</v>
      </c>
    </row>
    <row r="305" spans="13:26">
      <c r="M305" s="13">
        <v>302</v>
      </c>
      <c r="N305" s="15">
        <f t="shared" ca="1" si="34"/>
        <v>129</v>
      </c>
      <c r="O305" s="13">
        <v>302</v>
      </c>
      <c r="P305" s="19">
        <f t="shared" ca="1" si="35"/>
        <v>45138</v>
      </c>
      <c r="Q305" s="12">
        <f t="shared" ca="1" si="40"/>
        <v>4.4029999999999998E-3</v>
      </c>
      <c r="R305" s="12">
        <f t="shared" ca="1" si="40"/>
        <v>3.5600351757603121E-3</v>
      </c>
      <c r="S305" s="12">
        <f t="shared" ca="1" si="40"/>
        <v>3.4279797877487805E-3</v>
      </c>
      <c r="T305" s="12">
        <f t="shared" ca="1" si="40"/>
        <v>6.7704229871852206E-3</v>
      </c>
      <c r="U305" s="12">
        <f t="shared" ca="1" si="40"/>
        <v>-3.9619306898106554E-3</v>
      </c>
      <c r="V305" s="12">
        <f t="shared" ca="1" si="40"/>
        <v>2.6690047401789485E-4</v>
      </c>
      <c r="W305" s="12">
        <f t="shared" ca="1" si="40"/>
        <v>4.3345170855186854E-3</v>
      </c>
      <c r="X305" s="12">
        <f t="shared" ca="1" si="40"/>
        <v>3.1138913980379268E-2</v>
      </c>
      <c r="Y305" s="12">
        <f t="shared" ca="1" si="40"/>
        <v>3.2891543522813205E-2</v>
      </c>
      <c r="Z305" s="12">
        <f t="shared" ca="1" si="40"/>
        <v>2.3830984447859915E-2</v>
      </c>
    </row>
    <row r="306" spans="13:26">
      <c r="M306" s="13">
        <v>303</v>
      </c>
      <c r="N306" s="15">
        <f t="shared" ca="1" si="34"/>
        <v>109</v>
      </c>
      <c r="O306" s="13">
        <v>303</v>
      </c>
      <c r="P306" s="19">
        <f t="shared" ca="1" si="35"/>
        <v>44530</v>
      </c>
      <c r="Q306" s="12">
        <f t="shared" ca="1" si="40"/>
        <v>4.0166666666666669E-5</v>
      </c>
      <c r="R306" s="12">
        <f t="shared" ca="1" si="40"/>
        <v>1.9179953936432348E-4</v>
      </c>
      <c r="S306" s="12">
        <f t="shared" ca="1" si="40"/>
        <v>-4.641756393909402E-4</v>
      </c>
      <c r="T306" s="12">
        <f t="shared" ca="1" si="40"/>
        <v>-1.5428627549128882E-3</v>
      </c>
      <c r="U306" s="12">
        <f t="shared" ca="1" si="40"/>
        <v>8.9050093712257361E-3</v>
      </c>
      <c r="V306" s="12">
        <f t="shared" ca="1" si="40"/>
        <v>1.7489296007073829E-3</v>
      </c>
      <c r="W306" s="12">
        <f t="shared" ca="1" si="40"/>
        <v>9.181251245917732E-4</v>
      </c>
      <c r="X306" s="12">
        <f t="shared" ca="1" si="40"/>
        <v>-8.3337314184714906E-3</v>
      </c>
      <c r="Y306" s="12">
        <f t="shared" ca="1" si="40"/>
        <v>-2.2972032267310816E-2</v>
      </c>
      <c r="Z306" s="12">
        <f t="shared" ca="1" si="40"/>
        <v>-4.9680942928597149E-3</v>
      </c>
    </row>
    <row r="307" spans="13:26">
      <c r="M307" s="13">
        <v>304</v>
      </c>
      <c r="N307" s="15">
        <f t="shared" ca="1" si="34"/>
        <v>129</v>
      </c>
      <c r="O307" s="13">
        <v>304</v>
      </c>
      <c r="P307" s="19">
        <f t="shared" ca="1" si="35"/>
        <v>45138</v>
      </c>
      <c r="Q307" s="12">
        <f t="shared" ca="1" si="40"/>
        <v>4.4029999999999998E-3</v>
      </c>
      <c r="R307" s="12">
        <f t="shared" ca="1" si="40"/>
        <v>3.5600351757603121E-3</v>
      </c>
      <c r="S307" s="12">
        <f t="shared" ca="1" si="40"/>
        <v>3.4279797877487805E-3</v>
      </c>
      <c r="T307" s="12">
        <f t="shared" ca="1" si="40"/>
        <v>6.7704229871852206E-3</v>
      </c>
      <c r="U307" s="12">
        <f t="shared" ca="1" si="40"/>
        <v>-3.9619306898106554E-3</v>
      </c>
      <c r="V307" s="12">
        <f t="shared" ca="1" si="40"/>
        <v>2.6690047401789485E-4</v>
      </c>
      <c r="W307" s="12">
        <f t="shared" ca="1" si="40"/>
        <v>4.3345170855186854E-3</v>
      </c>
      <c r="X307" s="12">
        <f t="shared" ca="1" si="40"/>
        <v>3.1138913980379268E-2</v>
      </c>
      <c r="Y307" s="12">
        <f t="shared" ca="1" si="40"/>
        <v>3.2891543522813205E-2</v>
      </c>
      <c r="Z307" s="12">
        <f t="shared" ca="1" si="40"/>
        <v>2.3830984447859915E-2</v>
      </c>
    </row>
    <row r="308" spans="13:26">
      <c r="M308" s="13">
        <v>305</v>
      </c>
      <c r="N308" s="15">
        <f t="shared" ca="1" si="34"/>
        <v>32</v>
      </c>
      <c r="O308" s="13">
        <v>305</v>
      </c>
      <c r="P308" s="19">
        <f t="shared" ca="1" si="35"/>
        <v>42185</v>
      </c>
      <c r="Q308" s="12">
        <f t="shared" ca="1" si="40"/>
        <v>0</v>
      </c>
      <c r="R308" s="12">
        <f t="shared" ca="1" si="40"/>
        <v>2.5320231558723094E-4</v>
      </c>
      <c r="S308" s="12">
        <f t="shared" ca="1" si="40"/>
        <v>3.5784763056034841E-4</v>
      </c>
      <c r="T308" s="12">
        <f t="shared" ca="1" si="40"/>
        <v>-1.5031059264967173E-3</v>
      </c>
      <c r="U308" s="12">
        <f t="shared" ca="1" si="40"/>
        <v>-9.962299900720839E-3</v>
      </c>
      <c r="V308" s="12">
        <f t="shared" ca="1" si="40"/>
        <v>-4.4419820231021978E-3</v>
      </c>
      <c r="W308" s="12">
        <f t="shared" ca="1" si="40"/>
        <v>-1.639343013945227E-2</v>
      </c>
      <c r="X308" s="12">
        <f t="shared" ca="1" si="40"/>
        <v>-2.10117728564716E-2</v>
      </c>
      <c r="Y308" s="12">
        <f t="shared" ca="1" si="40"/>
        <v>-2.4560082279085793E-2</v>
      </c>
      <c r="Z308" s="12">
        <f t="shared" ca="1" si="40"/>
        <v>-1.5311864805389042E-2</v>
      </c>
    </row>
    <row r="309" spans="13:26">
      <c r="M309" s="13">
        <v>306</v>
      </c>
      <c r="N309" s="15">
        <f t="shared" ca="1" si="34"/>
        <v>11</v>
      </c>
      <c r="O309" s="13">
        <v>306</v>
      </c>
      <c r="P309" s="19">
        <f t="shared" ca="1" si="35"/>
        <v>41547</v>
      </c>
      <c r="Q309" s="12">
        <f t="shared" ca="1" si="40"/>
        <v>1.6916666666666667E-5</v>
      </c>
      <c r="R309" s="12">
        <f t="shared" ca="1" si="40"/>
        <v>2.2604909853345401E-3</v>
      </c>
      <c r="S309" s="12">
        <f t="shared" ca="1" si="40"/>
        <v>2.0409077397314235E-3</v>
      </c>
      <c r="T309" s="12">
        <f t="shared" ca="1" si="40"/>
        <v>4.0480627945882475E-3</v>
      </c>
      <c r="U309" s="12">
        <f t="shared" ca="1" si="40"/>
        <v>7.6369728708005624E-3</v>
      </c>
      <c r="V309" s="12">
        <f t="shared" ca="1" si="40"/>
        <v>6.3216309372344792E-3</v>
      </c>
      <c r="W309" s="12">
        <f t="shared" ca="1" si="40"/>
        <v>8.2365093403367062E-3</v>
      </c>
      <c r="X309" s="12">
        <f t="shared" ca="1" si="40"/>
        <v>2.9749474883188354E-2</v>
      </c>
      <c r="Y309" s="12">
        <f t="shared" ca="1" si="40"/>
        <v>4.816192946480724E-2</v>
      </c>
      <c r="Z309" s="12">
        <f t="shared" ca="1" si="40"/>
        <v>-4.7474682319551098E-2</v>
      </c>
    </row>
    <row r="310" spans="13:26">
      <c r="M310" s="13">
        <v>307</v>
      </c>
      <c r="N310" s="15">
        <f t="shared" ca="1" si="34"/>
        <v>90</v>
      </c>
      <c r="O310" s="13">
        <v>307</v>
      </c>
      <c r="P310" s="19">
        <f t="shared" ca="1" si="35"/>
        <v>43951</v>
      </c>
      <c r="Q310" s="12">
        <f t="shared" ca="1" si="40"/>
        <v>5.0833333333333333E-5</v>
      </c>
      <c r="R310" s="12">
        <f t="shared" ca="1" si="40"/>
        <v>4.1830231056572131E-4</v>
      </c>
      <c r="S310" s="12">
        <f t="shared" ca="1" si="40"/>
        <v>2.2672626635900084E-3</v>
      </c>
      <c r="T310" s="12">
        <f t="shared" ca="1" si="40"/>
        <v>2.3727111036870641E-2</v>
      </c>
      <c r="U310" s="12">
        <f t="shared" ca="1" si="40"/>
        <v>4.0531345700494104E-3</v>
      </c>
      <c r="V310" s="12">
        <f t="shared" ca="1" si="40"/>
        <v>6.7602108896387403E-3</v>
      </c>
      <c r="W310" s="12">
        <f t="shared" ca="1" si="40"/>
        <v>5.2725029544570923E-2</v>
      </c>
      <c r="X310" s="12">
        <f t="shared" ca="1" si="40"/>
        <v>0.12684410293315374</v>
      </c>
      <c r="Y310" s="12">
        <f t="shared" ca="1" si="40"/>
        <v>0.10801357996038274</v>
      </c>
      <c r="Z310" s="12">
        <f t="shared" ca="1" si="40"/>
        <v>6.9313585006150147E-2</v>
      </c>
    </row>
    <row r="311" spans="13:26">
      <c r="M311" s="13">
        <v>308</v>
      </c>
      <c r="N311" s="15">
        <f t="shared" ca="1" si="34"/>
        <v>114</v>
      </c>
      <c r="O311" s="13">
        <v>308</v>
      </c>
      <c r="P311" s="19">
        <f t="shared" ca="1" si="35"/>
        <v>44680</v>
      </c>
      <c r="Q311" s="12">
        <f t="shared" ca="1" si="40"/>
        <v>4.0183333333333336E-4</v>
      </c>
      <c r="R311" s="12">
        <f t="shared" ca="1" si="40"/>
        <v>-4.7505397231347724E-3</v>
      </c>
      <c r="S311" s="12">
        <f t="shared" ca="1" si="40"/>
        <v>-5.0721410258810495E-3</v>
      </c>
      <c r="T311" s="12">
        <f t="shared" ca="1" si="40"/>
        <v>-7.2898890697563612E-3</v>
      </c>
      <c r="U311" s="12">
        <f t="shared" ca="1" si="40"/>
        <v>-3.2081456896948302E-2</v>
      </c>
      <c r="V311" s="12">
        <f t="shared" ca="1" si="40"/>
        <v>-1.6836959045835598E-2</v>
      </c>
      <c r="W311" s="12">
        <f t="shared" ca="1" si="40"/>
        <v>-4.9716282037125747E-2</v>
      </c>
      <c r="X311" s="12">
        <f t="shared" ca="1" si="40"/>
        <v>-8.7956719149039353E-2</v>
      </c>
      <c r="Y311" s="12">
        <f t="shared" ca="1" si="40"/>
        <v>-8.4324958156871688E-2</v>
      </c>
      <c r="Z311" s="12">
        <f t="shared" ca="1" si="40"/>
        <v>-2.090903460236182E-2</v>
      </c>
    </row>
    <row r="312" spans="13:26">
      <c r="M312" s="13">
        <v>309</v>
      </c>
      <c r="N312" s="15">
        <f t="shared" ca="1" si="34"/>
        <v>122</v>
      </c>
      <c r="O312" s="13">
        <v>309</v>
      </c>
      <c r="P312" s="19">
        <f t="shared" ca="1" si="35"/>
        <v>44925</v>
      </c>
      <c r="Q312" s="12">
        <f t="shared" ca="1" si="40"/>
        <v>3.5996666666666668E-3</v>
      </c>
      <c r="R312" s="12">
        <f t="shared" ca="1" si="40"/>
        <v>2.0455625090360918E-3</v>
      </c>
      <c r="S312" s="12">
        <f t="shared" ca="1" si="40"/>
        <v>2.5523556719058149E-3</v>
      </c>
      <c r="T312" s="12">
        <f t="shared" ca="1" si="40"/>
        <v>3.0386964971180763E-3</v>
      </c>
      <c r="U312" s="12">
        <f t="shared" ca="1" si="40"/>
        <v>-5.2423174935820605E-3</v>
      </c>
      <c r="V312" s="12">
        <f t="shared" ca="1" si="40"/>
        <v>1.4255618068126363E-3</v>
      </c>
      <c r="W312" s="12">
        <f t="shared" ca="1" si="40"/>
        <v>-2.1183511393275678E-3</v>
      </c>
      <c r="X312" s="12">
        <f t="shared" ca="1" si="40"/>
        <v>-5.8971449299161094E-2</v>
      </c>
      <c r="Y312" s="12">
        <f t="shared" ca="1" si="40"/>
        <v>-4.3441667983637688E-2</v>
      </c>
      <c r="Z312" s="12">
        <f t="shared" ca="1" si="40"/>
        <v>3.1382172664148555E-2</v>
      </c>
    </row>
    <row r="313" spans="13:26">
      <c r="M313" s="13">
        <v>310</v>
      </c>
      <c r="N313" s="15">
        <f t="shared" ca="1" si="34"/>
        <v>71</v>
      </c>
      <c r="O313" s="13">
        <v>310</v>
      </c>
      <c r="P313" s="19">
        <f t="shared" ca="1" si="35"/>
        <v>43371</v>
      </c>
      <c r="Q313" s="12">
        <f t="shared" ca="1" si="40"/>
        <v>1.7448333333333333E-3</v>
      </c>
      <c r="R313" s="12">
        <f t="shared" ca="1" si="40"/>
        <v>-1.1835258660558567E-3</v>
      </c>
      <c r="S313" s="12">
        <f t="shared" ca="1" si="40"/>
        <v>-4.2991823722560163E-4</v>
      </c>
      <c r="T313" s="12">
        <f t="shared" ca="1" si="40"/>
        <v>7.3272870514529131E-4</v>
      </c>
      <c r="U313" s="12">
        <f t="shared" ca="1" si="40"/>
        <v>-9.780070004711594E-3</v>
      </c>
      <c r="V313" s="12">
        <f t="shared" ca="1" si="40"/>
        <v>-4.0927431544552917E-3</v>
      </c>
      <c r="W313" s="12">
        <f t="shared" ca="1" si="40"/>
        <v>-3.2512414993325356E-3</v>
      </c>
      <c r="X313" s="12">
        <f t="shared" ca="1" si="40"/>
        <v>4.2943009181395375E-3</v>
      </c>
      <c r="Y313" s="12">
        <f t="shared" ca="1" si="40"/>
        <v>3.9117444265686085E-3</v>
      </c>
      <c r="Z313" s="12">
        <f t="shared" ca="1" si="40"/>
        <v>-8.5501394496940719E-3</v>
      </c>
    </row>
    <row r="314" spans="13:26">
      <c r="M314" s="13">
        <v>311</v>
      </c>
      <c r="N314" s="15">
        <f t="shared" ca="1" si="34"/>
        <v>17</v>
      </c>
      <c r="O314" s="13">
        <v>311</v>
      </c>
      <c r="P314" s="19">
        <f t="shared" ca="1" si="35"/>
        <v>41729</v>
      </c>
      <c r="Q314" s="12">
        <f t="shared" ref="Q314:Z323" ca="1" si="41">INDEX(histrets,$N314,Q$1)</f>
        <v>3.8000000000000002E-5</v>
      </c>
      <c r="R314" s="12">
        <f t="shared" ca="1" si="41"/>
        <v>-1.107151021881192E-3</v>
      </c>
      <c r="S314" s="12">
        <f t="shared" ca="1" si="41"/>
        <v>-8.6527596556373876E-4</v>
      </c>
      <c r="T314" s="12">
        <f t="shared" ca="1" si="41"/>
        <v>-2.8994238099677716E-4</v>
      </c>
      <c r="U314" s="12">
        <f t="shared" ca="1" si="41"/>
        <v>-2.817973742041735E-3</v>
      </c>
      <c r="V314" s="12">
        <f t="shared" ca="1" si="41"/>
        <v>-1.3003567426064233E-3</v>
      </c>
      <c r="W314" s="12">
        <f t="shared" ca="1" si="41"/>
        <v>7.1137327652026627E-4</v>
      </c>
      <c r="X314" s="12">
        <f t="shared" ca="1" si="41"/>
        <v>6.9321573583585039E-3</v>
      </c>
      <c r="Y314" s="12">
        <f t="shared" ca="1" si="41"/>
        <v>-9.1321475468553182E-4</v>
      </c>
      <c r="Z314" s="12">
        <f t="shared" ca="1" si="41"/>
        <v>-3.1951386847005825E-2</v>
      </c>
    </row>
    <row r="315" spans="13:26">
      <c r="M315" s="13">
        <v>312</v>
      </c>
      <c r="N315" s="15">
        <f t="shared" ca="1" si="34"/>
        <v>48</v>
      </c>
      <c r="O315" s="13">
        <v>312</v>
      </c>
      <c r="P315" s="19">
        <f t="shared" ca="1" si="35"/>
        <v>42674</v>
      </c>
      <c r="Q315" s="12">
        <f t="shared" ca="1" si="41"/>
        <v>2.2824999999999999E-4</v>
      </c>
      <c r="R315" s="12">
        <f t="shared" ca="1" si="41"/>
        <v>-6.6904014583524241E-4</v>
      </c>
      <c r="S315" s="12">
        <f t="shared" ca="1" si="41"/>
        <v>-8.8476979395957223E-5</v>
      </c>
      <c r="T315" s="12">
        <f t="shared" ca="1" si="41"/>
        <v>4.7436962881475253E-4</v>
      </c>
      <c r="U315" s="12">
        <f t="shared" ca="1" si="41"/>
        <v>-1.151288919576221E-2</v>
      </c>
      <c r="V315" s="12">
        <f t="shared" ca="1" si="41"/>
        <v>-4.5227010929861367E-3</v>
      </c>
      <c r="W315" s="12">
        <f t="shared" ca="1" si="41"/>
        <v>-8.2772866137545975E-3</v>
      </c>
      <c r="X315" s="12">
        <f t="shared" ca="1" si="41"/>
        <v>-1.9425625037472249E-2</v>
      </c>
      <c r="Y315" s="12">
        <f t="shared" ca="1" si="41"/>
        <v>-2.0137106167459562E-2</v>
      </c>
      <c r="Z315" s="12">
        <f t="shared" ca="1" si="41"/>
        <v>-2.9379801956120222E-2</v>
      </c>
    </row>
    <row r="316" spans="13:26">
      <c r="M316" s="13">
        <v>313</v>
      </c>
      <c r="N316" s="15">
        <f t="shared" ca="1" si="34"/>
        <v>76</v>
      </c>
      <c r="O316" s="13">
        <v>313</v>
      </c>
      <c r="P316" s="19">
        <f t="shared" ca="1" si="35"/>
        <v>43524</v>
      </c>
      <c r="Q316" s="12">
        <f t="shared" ca="1" si="41"/>
        <v>1.9865833333333333E-3</v>
      </c>
      <c r="R316" s="12">
        <f t="shared" ca="1" si="41"/>
        <v>1.0051696844186608E-3</v>
      </c>
      <c r="S316" s="12">
        <f t="shared" ca="1" si="41"/>
        <v>1.2578004850634095E-3</v>
      </c>
      <c r="T316" s="12">
        <f t="shared" ca="1" si="41"/>
        <v>3.5059253369462695E-3</v>
      </c>
      <c r="U316" s="12">
        <f t="shared" ca="1" si="41"/>
        <v>-2.7752785488605047E-3</v>
      </c>
      <c r="V316" s="12">
        <f t="shared" ca="1" si="41"/>
        <v>3.5532293312900975E-4</v>
      </c>
      <c r="W316" s="12">
        <f t="shared" ca="1" si="41"/>
        <v>3.595733609209395E-3</v>
      </c>
      <c r="X316" s="12">
        <f t="shared" ca="1" si="41"/>
        <v>2.9728930143116061E-2</v>
      </c>
      <c r="Y316" s="12">
        <f t="shared" ca="1" si="41"/>
        <v>2.8272261633037532E-2</v>
      </c>
      <c r="Z316" s="12">
        <f t="shared" ca="1" si="41"/>
        <v>-6.0018921475875064E-3</v>
      </c>
    </row>
    <row r="317" spans="13:26">
      <c r="M317" s="13">
        <v>314</v>
      </c>
      <c r="N317" s="15">
        <f t="shared" ca="1" si="34"/>
        <v>65</v>
      </c>
      <c r="O317" s="13">
        <v>314</v>
      </c>
      <c r="P317" s="19">
        <f t="shared" ca="1" si="35"/>
        <v>43189</v>
      </c>
      <c r="Q317" s="12">
        <f t="shared" ca="1" si="41"/>
        <v>1.3764999999999999E-3</v>
      </c>
      <c r="R317" s="12">
        <f t="shared" ca="1" si="41"/>
        <v>1.9606461106831397E-3</v>
      </c>
      <c r="S317" s="12">
        <f t="shared" ca="1" si="41"/>
        <v>2.0057116605964875E-3</v>
      </c>
      <c r="T317" s="12">
        <f t="shared" ca="1" si="41"/>
        <v>1.8793704998110172E-4</v>
      </c>
      <c r="U317" s="12">
        <f t="shared" ca="1" si="41"/>
        <v>9.8789062099642333E-3</v>
      </c>
      <c r="V317" s="12">
        <f t="shared" ca="1" si="41"/>
        <v>5.662024995539916E-3</v>
      </c>
      <c r="W317" s="12">
        <f t="shared" ca="1" si="41"/>
        <v>2.1502960442794095E-3</v>
      </c>
      <c r="X317" s="12">
        <f t="shared" ca="1" si="41"/>
        <v>-2.6884513768364315E-2</v>
      </c>
      <c r="Y317" s="12">
        <f t="shared" ca="1" si="41"/>
        <v>-2.4150255666929299E-2</v>
      </c>
      <c r="Z317" s="12">
        <f t="shared" ca="1" si="41"/>
        <v>5.4387814702157034E-3</v>
      </c>
    </row>
    <row r="318" spans="13:26">
      <c r="M318" s="13">
        <v>315</v>
      </c>
      <c r="N318" s="15">
        <f t="shared" ca="1" si="34"/>
        <v>130</v>
      </c>
      <c r="O318" s="13">
        <v>315</v>
      </c>
      <c r="P318" s="19">
        <f t="shared" ca="1" si="35"/>
        <v>45169</v>
      </c>
      <c r="Q318" s="12">
        <f t="shared" ca="1" si="41"/>
        <v>4.5000833333333334E-3</v>
      </c>
      <c r="R318" s="12">
        <f t="shared" ca="1" si="41"/>
        <v>3.9273692971986129E-3</v>
      </c>
      <c r="S318" s="12">
        <f t="shared" ca="1" si="41"/>
        <v>3.9583557645146428E-3</v>
      </c>
      <c r="T318" s="12">
        <f t="shared" ca="1" si="41"/>
        <v>3.0283320281572212E-3</v>
      </c>
      <c r="U318" s="12">
        <f t="shared" ca="1" si="41"/>
        <v>-5.8212682970623097E-3</v>
      </c>
      <c r="V318" s="12">
        <f t="shared" ca="1" si="41"/>
        <v>1.6821017779320435E-3</v>
      </c>
      <c r="W318" s="12">
        <f t="shared" ca="1" si="41"/>
        <v>-6.8291158690111375E-3</v>
      </c>
      <c r="X318" s="12">
        <f t="shared" ca="1" si="41"/>
        <v>-1.771643248143373E-2</v>
      </c>
      <c r="Y318" s="12">
        <f t="shared" ca="1" si="41"/>
        <v>-2.5545801651274402E-2</v>
      </c>
      <c r="Z318" s="12">
        <f t="shared" ca="1" si="41"/>
        <v>-1.2671175366013698E-2</v>
      </c>
    </row>
    <row r="319" spans="13:26">
      <c r="M319" s="13">
        <v>316</v>
      </c>
      <c r="N319" s="15">
        <f t="shared" ca="1" si="34"/>
        <v>30</v>
      </c>
      <c r="O319" s="13">
        <v>316</v>
      </c>
      <c r="P319" s="19">
        <f t="shared" ca="1" si="35"/>
        <v>42124</v>
      </c>
      <c r="Q319" s="12">
        <f t="shared" ca="1" si="41"/>
        <v>1.6916666666666667E-5</v>
      </c>
      <c r="R319" s="12">
        <f t="shared" ca="1" si="41"/>
        <v>4.5665826855323388E-4</v>
      </c>
      <c r="S319" s="12">
        <f t="shared" ca="1" si="41"/>
        <v>6.0678736150876489E-4</v>
      </c>
      <c r="T319" s="12">
        <f t="shared" ca="1" si="41"/>
        <v>1.6621938242677992E-3</v>
      </c>
      <c r="U319" s="12">
        <f t="shared" ca="1" si="41"/>
        <v>-6.1820809081205574E-3</v>
      </c>
      <c r="V319" s="12">
        <f t="shared" ca="1" si="41"/>
        <v>-2.1386677019336053E-3</v>
      </c>
      <c r="W319" s="12">
        <f t="shared" ca="1" si="41"/>
        <v>-5.341883159823646E-3</v>
      </c>
      <c r="X319" s="12">
        <f t="shared" ca="1" si="41"/>
        <v>8.5207627098153882E-3</v>
      </c>
      <c r="Y319" s="12">
        <f t="shared" ca="1" si="41"/>
        <v>2.1593396177641555E-2</v>
      </c>
      <c r="Z319" s="12">
        <f t="shared" ca="1" si="41"/>
        <v>6.75921153797443E-4</v>
      </c>
    </row>
    <row r="320" spans="13:26">
      <c r="M320" s="13">
        <v>317</v>
      </c>
      <c r="N320" s="15">
        <f t="shared" ca="1" si="34"/>
        <v>90</v>
      </c>
      <c r="O320" s="13">
        <v>317</v>
      </c>
      <c r="P320" s="19">
        <f t="shared" ca="1" si="35"/>
        <v>43951</v>
      </c>
      <c r="Q320" s="12">
        <f t="shared" ca="1" si="41"/>
        <v>5.0833333333333333E-5</v>
      </c>
      <c r="R320" s="12">
        <f t="shared" ca="1" si="41"/>
        <v>4.1830231056572131E-4</v>
      </c>
      <c r="S320" s="12">
        <f t="shared" ca="1" si="41"/>
        <v>2.2672626635900084E-3</v>
      </c>
      <c r="T320" s="12">
        <f t="shared" ca="1" si="41"/>
        <v>2.3727111036870641E-2</v>
      </c>
      <c r="U320" s="12">
        <f t="shared" ca="1" si="41"/>
        <v>4.0531345700494104E-3</v>
      </c>
      <c r="V320" s="12">
        <f t="shared" ca="1" si="41"/>
        <v>6.7602108896387403E-3</v>
      </c>
      <c r="W320" s="12">
        <f t="shared" ca="1" si="41"/>
        <v>5.2725029544570923E-2</v>
      </c>
      <c r="X320" s="12">
        <f t="shared" ca="1" si="41"/>
        <v>0.12684410293315374</v>
      </c>
      <c r="Y320" s="12">
        <f t="shared" ca="1" si="41"/>
        <v>0.10801357996038274</v>
      </c>
      <c r="Z320" s="12">
        <f t="shared" ca="1" si="41"/>
        <v>6.9313585006150147E-2</v>
      </c>
    </row>
    <row r="321" spans="13:26">
      <c r="M321" s="13">
        <v>318</v>
      </c>
      <c r="N321" s="15">
        <f t="shared" ca="1" si="34"/>
        <v>38</v>
      </c>
      <c r="O321" s="13">
        <v>318</v>
      </c>
      <c r="P321" s="19">
        <f t="shared" ca="1" si="35"/>
        <v>42369</v>
      </c>
      <c r="Q321" s="12">
        <f t="shared" ca="1" si="41"/>
        <v>1.3983333333333334E-4</v>
      </c>
      <c r="R321" s="12">
        <f t="shared" ca="1" si="41"/>
        <v>-9.365642487412229E-4</v>
      </c>
      <c r="S321" s="12">
        <f t="shared" ca="1" si="41"/>
        <v>-1.2589213561818857E-3</v>
      </c>
      <c r="T321" s="12">
        <f t="shared" ca="1" si="41"/>
        <v>-2.4958607185572301E-3</v>
      </c>
      <c r="U321" s="12">
        <f t="shared" ca="1" si="41"/>
        <v>-1.5686691398054675E-3</v>
      </c>
      <c r="V321" s="12">
        <f t="shared" ca="1" si="41"/>
        <v>-2.4794726558212687E-3</v>
      </c>
      <c r="W321" s="12">
        <f t="shared" ca="1" si="41"/>
        <v>-8.6713379184790718E-3</v>
      </c>
      <c r="X321" s="12">
        <f t="shared" ca="1" si="41"/>
        <v>-1.7530198374358763E-2</v>
      </c>
      <c r="Y321" s="12">
        <f t="shared" ca="1" si="41"/>
        <v>-1.8655571293673345E-2</v>
      </c>
      <c r="Z321" s="12">
        <f t="shared" ca="1" si="41"/>
        <v>-3.4467537590278097E-3</v>
      </c>
    </row>
    <row r="322" spans="13:26">
      <c r="M322" s="13">
        <v>319</v>
      </c>
      <c r="N322" s="15">
        <f t="shared" ca="1" si="34"/>
        <v>65</v>
      </c>
      <c r="O322" s="13">
        <v>319</v>
      </c>
      <c r="P322" s="19">
        <f t="shared" ca="1" si="35"/>
        <v>43189</v>
      </c>
      <c r="Q322" s="12">
        <f t="shared" ca="1" si="41"/>
        <v>1.3764999999999999E-3</v>
      </c>
      <c r="R322" s="12">
        <f t="shared" ca="1" si="41"/>
        <v>1.9606461106831397E-3</v>
      </c>
      <c r="S322" s="12">
        <f t="shared" ca="1" si="41"/>
        <v>2.0057116605964875E-3</v>
      </c>
      <c r="T322" s="12">
        <f t="shared" ca="1" si="41"/>
        <v>1.8793704998110172E-4</v>
      </c>
      <c r="U322" s="12">
        <f t="shared" ca="1" si="41"/>
        <v>9.8789062099642333E-3</v>
      </c>
      <c r="V322" s="12">
        <f t="shared" ca="1" si="41"/>
        <v>5.662024995539916E-3</v>
      </c>
      <c r="W322" s="12">
        <f t="shared" ca="1" si="41"/>
        <v>2.1502960442794095E-3</v>
      </c>
      <c r="X322" s="12">
        <f t="shared" ca="1" si="41"/>
        <v>-2.6884513768364315E-2</v>
      </c>
      <c r="Y322" s="12">
        <f t="shared" ca="1" si="41"/>
        <v>-2.4150255666929299E-2</v>
      </c>
      <c r="Z322" s="12">
        <f t="shared" ca="1" si="41"/>
        <v>5.4387814702157034E-3</v>
      </c>
    </row>
    <row r="323" spans="13:26">
      <c r="M323" s="13">
        <v>320</v>
      </c>
      <c r="N323" s="15">
        <f t="shared" ca="1" si="34"/>
        <v>80</v>
      </c>
      <c r="O323" s="13">
        <v>320</v>
      </c>
      <c r="P323" s="19">
        <f t="shared" ca="1" si="35"/>
        <v>43644</v>
      </c>
      <c r="Q323" s="12">
        <f t="shared" ca="1" si="41"/>
        <v>1.9499166666666666E-3</v>
      </c>
      <c r="R323" s="12">
        <f t="shared" ca="1" si="41"/>
        <v>5.1917075031886473E-3</v>
      </c>
      <c r="S323" s="12">
        <f t="shared" ca="1" si="41"/>
        <v>4.2090899628399736E-3</v>
      </c>
      <c r="T323" s="12">
        <f t="shared" ca="1" si="41"/>
        <v>7.0753769980971271E-3</v>
      </c>
      <c r="U323" s="12">
        <f t="shared" ca="1" si="41"/>
        <v>9.2802295657687939E-3</v>
      </c>
      <c r="V323" s="12">
        <f t="shared" ca="1" si="41"/>
        <v>7.1252807034192234E-3</v>
      </c>
      <c r="W323" s="12">
        <f t="shared" ca="1" si="41"/>
        <v>2.2998364645352432E-2</v>
      </c>
      <c r="X323" s="12">
        <f t="shared" ca="1" si="41"/>
        <v>6.8930183208214979E-2</v>
      </c>
      <c r="Y323" s="12">
        <f t="shared" ca="1" si="41"/>
        <v>6.4557116676847937E-2</v>
      </c>
      <c r="Z323" s="12">
        <f t="shared" ca="1" si="41"/>
        <v>7.9635104704422588E-2</v>
      </c>
    </row>
    <row r="324" spans="13:26">
      <c r="M324" s="13">
        <v>321</v>
      </c>
      <c r="N324" s="15">
        <f t="shared" ref="N324:N387" ca="1" si="42">RANDBETWEEN(1,numobs)</f>
        <v>38</v>
      </c>
      <c r="O324" s="13">
        <v>321</v>
      </c>
      <c r="P324" s="19">
        <f t="shared" ref="P324:P387" ca="1" si="43">INDEX(histdates,N324,1)</f>
        <v>42369</v>
      </c>
      <c r="Q324" s="12">
        <f t="shared" ref="Q324:Z333" ca="1" si="44">INDEX(histrets,$N324,Q$1)</f>
        <v>1.3983333333333334E-4</v>
      </c>
      <c r="R324" s="12">
        <f t="shared" ca="1" si="44"/>
        <v>-9.365642487412229E-4</v>
      </c>
      <c r="S324" s="12">
        <f t="shared" ca="1" si="44"/>
        <v>-1.2589213561818857E-3</v>
      </c>
      <c r="T324" s="12">
        <f t="shared" ca="1" si="44"/>
        <v>-2.4958607185572301E-3</v>
      </c>
      <c r="U324" s="12">
        <f t="shared" ca="1" si="44"/>
        <v>-1.5686691398054675E-3</v>
      </c>
      <c r="V324" s="12">
        <f t="shared" ca="1" si="44"/>
        <v>-2.4794726558212687E-3</v>
      </c>
      <c r="W324" s="12">
        <f t="shared" ca="1" si="44"/>
        <v>-8.6713379184790718E-3</v>
      </c>
      <c r="X324" s="12">
        <f t="shared" ca="1" si="44"/>
        <v>-1.7530198374358763E-2</v>
      </c>
      <c r="Y324" s="12">
        <f t="shared" ca="1" si="44"/>
        <v>-1.8655571293673345E-2</v>
      </c>
      <c r="Z324" s="12">
        <f t="shared" ca="1" si="44"/>
        <v>-3.4467537590278097E-3</v>
      </c>
    </row>
    <row r="325" spans="13:26">
      <c r="M325" s="13">
        <v>322</v>
      </c>
      <c r="N325" s="15">
        <f t="shared" ca="1" si="42"/>
        <v>32</v>
      </c>
      <c r="O325" s="13">
        <v>322</v>
      </c>
      <c r="P325" s="19">
        <f t="shared" ca="1" si="43"/>
        <v>42185</v>
      </c>
      <c r="Q325" s="12">
        <f t="shared" ca="1" si="44"/>
        <v>0</v>
      </c>
      <c r="R325" s="12">
        <f t="shared" ca="1" si="44"/>
        <v>2.5320231558723094E-4</v>
      </c>
      <c r="S325" s="12">
        <f t="shared" ca="1" si="44"/>
        <v>3.5784763056034841E-4</v>
      </c>
      <c r="T325" s="12">
        <f t="shared" ca="1" si="44"/>
        <v>-1.5031059264967173E-3</v>
      </c>
      <c r="U325" s="12">
        <f t="shared" ca="1" si="44"/>
        <v>-9.962299900720839E-3</v>
      </c>
      <c r="V325" s="12">
        <f t="shared" ca="1" si="44"/>
        <v>-4.4419820231021978E-3</v>
      </c>
      <c r="W325" s="12">
        <f t="shared" ca="1" si="44"/>
        <v>-1.639343013945227E-2</v>
      </c>
      <c r="X325" s="12">
        <f t="shared" ca="1" si="44"/>
        <v>-2.10117728564716E-2</v>
      </c>
      <c r="Y325" s="12">
        <f t="shared" ca="1" si="44"/>
        <v>-2.4560082279085793E-2</v>
      </c>
      <c r="Z325" s="12">
        <f t="shared" ca="1" si="44"/>
        <v>-1.5311864805389042E-2</v>
      </c>
    </row>
    <row r="326" spans="13:26">
      <c r="M326" s="13">
        <v>323</v>
      </c>
      <c r="N326" s="15">
        <f t="shared" ca="1" si="42"/>
        <v>120</v>
      </c>
      <c r="O326" s="13">
        <v>323</v>
      </c>
      <c r="P326" s="19">
        <f t="shared" ca="1" si="43"/>
        <v>44865</v>
      </c>
      <c r="Q326" s="12">
        <f t="shared" ca="1" si="44"/>
        <v>2.7055E-3</v>
      </c>
      <c r="R326" s="12">
        <f t="shared" ca="1" si="44"/>
        <v>-9.8749969893285883E-4</v>
      </c>
      <c r="S326" s="12">
        <f t="shared" ca="1" si="44"/>
        <v>-1.6226807911334795E-3</v>
      </c>
      <c r="T326" s="12">
        <f t="shared" ca="1" si="44"/>
        <v>-2.2720778243974227E-3</v>
      </c>
      <c r="U326" s="12">
        <f t="shared" ca="1" si="44"/>
        <v>-1.5219530427619032E-2</v>
      </c>
      <c r="V326" s="12">
        <f t="shared" ca="1" si="44"/>
        <v>-7.3248596036072922E-3</v>
      </c>
      <c r="W326" s="12">
        <f t="shared" ca="1" si="44"/>
        <v>-1.1149135715035507E-2</v>
      </c>
      <c r="X326" s="12">
        <f t="shared" ca="1" si="44"/>
        <v>7.9863454576893256E-2</v>
      </c>
      <c r="Y326" s="12">
        <f t="shared" ca="1" si="44"/>
        <v>7.1078132554179829E-2</v>
      </c>
      <c r="Z326" s="12">
        <f t="shared" ca="1" si="44"/>
        <v>-1.6289194934391515E-2</v>
      </c>
    </row>
    <row r="327" spans="13:26">
      <c r="M327" s="13">
        <v>324</v>
      </c>
      <c r="N327" s="15">
        <f t="shared" ca="1" si="42"/>
        <v>23</v>
      </c>
      <c r="O327" s="13">
        <v>324</v>
      </c>
      <c r="P327" s="19">
        <f t="shared" ca="1" si="43"/>
        <v>41912</v>
      </c>
      <c r="Q327" s="12">
        <f t="shared" ca="1" si="44"/>
        <v>1.6916666666666667E-5</v>
      </c>
      <c r="R327" s="12">
        <f t="shared" ca="1" si="44"/>
        <v>-5.5918784954711587E-4</v>
      </c>
      <c r="S327" s="12">
        <f t="shared" ca="1" si="44"/>
        <v>-1.4454531212915178E-4</v>
      </c>
      <c r="T327" s="12">
        <f t="shared" ca="1" si="44"/>
        <v>-1.0665751749033836E-3</v>
      </c>
      <c r="U327" s="12">
        <f t="shared" ca="1" si="44"/>
        <v>-6.3298466173178358E-3</v>
      </c>
      <c r="V327" s="12">
        <f t="shared" ca="1" si="44"/>
        <v>-3.1157649714820268E-3</v>
      </c>
      <c r="W327" s="12">
        <f t="shared" ca="1" si="44"/>
        <v>-1.2431832190915149E-2</v>
      </c>
      <c r="X327" s="12">
        <f t="shared" ca="1" si="44"/>
        <v>-1.5513859147336717E-2</v>
      </c>
      <c r="Y327" s="12">
        <f t="shared" ca="1" si="44"/>
        <v>-2.8752952209940008E-2</v>
      </c>
      <c r="Z327" s="12">
        <f t="shared" ca="1" si="44"/>
        <v>-6.1499860174626275E-2</v>
      </c>
    </row>
    <row r="328" spans="13:26">
      <c r="M328" s="13">
        <v>325</v>
      </c>
      <c r="N328" s="15">
        <f t="shared" ca="1" si="42"/>
        <v>90</v>
      </c>
      <c r="O328" s="13">
        <v>325</v>
      </c>
      <c r="P328" s="19">
        <f t="shared" ca="1" si="43"/>
        <v>43951</v>
      </c>
      <c r="Q328" s="12">
        <f t="shared" ca="1" si="44"/>
        <v>5.0833333333333333E-5</v>
      </c>
      <c r="R328" s="12">
        <f t="shared" ca="1" si="44"/>
        <v>4.1830231056572131E-4</v>
      </c>
      <c r="S328" s="12">
        <f t="shared" ca="1" si="44"/>
        <v>2.2672626635900084E-3</v>
      </c>
      <c r="T328" s="12">
        <f t="shared" ca="1" si="44"/>
        <v>2.3727111036870641E-2</v>
      </c>
      <c r="U328" s="12">
        <f t="shared" ca="1" si="44"/>
        <v>4.0531345700494104E-3</v>
      </c>
      <c r="V328" s="12">
        <f t="shared" ca="1" si="44"/>
        <v>6.7602108896387403E-3</v>
      </c>
      <c r="W328" s="12">
        <f t="shared" ca="1" si="44"/>
        <v>5.2725029544570923E-2</v>
      </c>
      <c r="X328" s="12">
        <f t="shared" ca="1" si="44"/>
        <v>0.12684410293315374</v>
      </c>
      <c r="Y328" s="12">
        <f t="shared" ca="1" si="44"/>
        <v>0.10801357996038274</v>
      </c>
      <c r="Z328" s="12">
        <f t="shared" ca="1" si="44"/>
        <v>6.9313585006150147E-2</v>
      </c>
    </row>
    <row r="329" spans="13:26">
      <c r="M329" s="13">
        <v>326</v>
      </c>
      <c r="N329" s="15">
        <f t="shared" ca="1" si="42"/>
        <v>76</v>
      </c>
      <c r="O329" s="13">
        <v>326</v>
      </c>
      <c r="P329" s="19">
        <f t="shared" ca="1" si="43"/>
        <v>43524</v>
      </c>
      <c r="Q329" s="12">
        <f t="shared" ca="1" si="44"/>
        <v>1.9865833333333333E-3</v>
      </c>
      <c r="R329" s="12">
        <f t="shared" ca="1" si="44"/>
        <v>1.0051696844186608E-3</v>
      </c>
      <c r="S329" s="12">
        <f t="shared" ca="1" si="44"/>
        <v>1.2578004850634095E-3</v>
      </c>
      <c r="T329" s="12">
        <f t="shared" ca="1" si="44"/>
        <v>3.5059253369462695E-3</v>
      </c>
      <c r="U329" s="12">
        <f t="shared" ca="1" si="44"/>
        <v>-2.7752785488605047E-3</v>
      </c>
      <c r="V329" s="12">
        <f t="shared" ca="1" si="44"/>
        <v>3.5532293312900975E-4</v>
      </c>
      <c r="W329" s="12">
        <f t="shared" ca="1" si="44"/>
        <v>3.595733609209395E-3</v>
      </c>
      <c r="X329" s="12">
        <f t="shared" ca="1" si="44"/>
        <v>2.9728930143116061E-2</v>
      </c>
      <c r="Y329" s="12">
        <f t="shared" ca="1" si="44"/>
        <v>2.8272261633037532E-2</v>
      </c>
      <c r="Z329" s="12">
        <f t="shared" ca="1" si="44"/>
        <v>-6.0018921475875064E-3</v>
      </c>
    </row>
    <row r="330" spans="13:26">
      <c r="M330" s="13">
        <v>327</v>
      </c>
      <c r="N330" s="15">
        <f t="shared" ca="1" si="42"/>
        <v>70</v>
      </c>
      <c r="O330" s="13">
        <v>327</v>
      </c>
      <c r="P330" s="19">
        <f t="shared" ca="1" si="43"/>
        <v>43343</v>
      </c>
      <c r="Q330" s="12">
        <f t="shared" ca="1" si="44"/>
        <v>1.6835833333333336E-3</v>
      </c>
      <c r="R330" s="12">
        <f t="shared" ca="1" si="44"/>
        <v>3.1818045634115499E-3</v>
      </c>
      <c r="S330" s="12">
        <f t="shared" ca="1" si="44"/>
        <v>3.2210243328749666E-3</v>
      </c>
      <c r="T330" s="12">
        <f t="shared" ca="1" si="44"/>
        <v>4.1414643219559455E-3</v>
      </c>
      <c r="U330" s="12">
        <f t="shared" ca="1" si="44"/>
        <v>7.8100533909761793E-3</v>
      </c>
      <c r="V330" s="12">
        <f t="shared" ca="1" si="44"/>
        <v>5.6560103378373583E-3</v>
      </c>
      <c r="W330" s="12">
        <f t="shared" ca="1" si="44"/>
        <v>5.4391709754060269E-3</v>
      </c>
      <c r="X330" s="12">
        <f t="shared" ca="1" si="44"/>
        <v>3.0263218631604083E-2</v>
      </c>
      <c r="Y330" s="12">
        <f t="shared" ca="1" si="44"/>
        <v>1.0403604105708064E-2</v>
      </c>
      <c r="Z330" s="12">
        <f t="shared" ca="1" si="44"/>
        <v>-1.8788547155168867E-2</v>
      </c>
    </row>
    <row r="331" spans="13:26">
      <c r="M331" s="13">
        <v>328</v>
      </c>
      <c r="N331" s="15">
        <f t="shared" ca="1" si="42"/>
        <v>14</v>
      </c>
      <c r="O331" s="13">
        <v>328</v>
      </c>
      <c r="P331" s="19">
        <f t="shared" ca="1" si="43"/>
        <v>41639</v>
      </c>
      <c r="Q331" s="12">
        <f t="shared" ca="1" si="44"/>
        <v>4.6499999999999999E-5</v>
      </c>
      <c r="R331" s="12">
        <f t="shared" ca="1" si="44"/>
        <v>-1.3626905157968494E-3</v>
      </c>
      <c r="S331" s="12">
        <f t="shared" ca="1" si="44"/>
        <v>-1.0449329264931029E-3</v>
      </c>
      <c r="T331" s="12">
        <f t="shared" ca="1" si="44"/>
        <v>-2.9149177684706373E-4</v>
      </c>
      <c r="U331" s="12">
        <f t="shared" ca="1" si="44"/>
        <v>-1.0392957075136766E-2</v>
      </c>
      <c r="V331" s="12">
        <f t="shared" ca="1" si="44"/>
        <v>-6.3905976357661043E-3</v>
      </c>
      <c r="W331" s="12">
        <f t="shared" ca="1" si="44"/>
        <v>-1.7959320051789129E-3</v>
      </c>
      <c r="X331" s="12">
        <f t="shared" ca="1" si="44"/>
        <v>2.3562833299184183E-2</v>
      </c>
      <c r="Y331" s="12">
        <f t="shared" ca="1" si="44"/>
        <v>2.0050109922501447E-2</v>
      </c>
      <c r="Z331" s="12">
        <f t="shared" ca="1" si="44"/>
        <v>-4.125743008736571E-2</v>
      </c>
    </row>
    <row r="332" spans="13:26">
      <c r="M332" s="13">
        <v>329</v>
      </c>
      <c r="N332" s="15">
        <f t="shared" ca="1" si="42"/>
        <v>128</v>
      </c>
      <c r="O332" s="13">
        <v>329</v>
      </c>
      <c r="P332" s="19">
        <f t="shared" ca="1" si="43"/>
        <v>45107</v>
      </c>
      <c r="Q332" s="12">
        <f t="shared" ca="1" si="44"/>
        <v>4.4903333333333332E-3</v>
      </c>
      <c r="R332" s="12">
        <f t="shared" ca="1" si="44"/>
        <v>-4.8445195255588658E-3</v>
      </c>
      <c r="S332" s="12">
        <f t="shared" ca="1" si="44"/>
        <v>-1.3030179964843569E-3</v>
      </c>
      <c r="T332" s="12">
        <f t="shared" ca="1" si="44"/>
        <v>-1.368606954410323E-3</v>
      </c>
      <c r="U332" s="12">
        <f t="shared" ca="1" si="44"/>
        <v>-7.2523719399045783E-3</v>
      </c>
      <c r="V332" s="12">
        <f t="shared" ca="1" si="44"/>
        <v>-2.996004695004828E-3</v>
      </c>
      <c r="W332" s="12">
        <f t="shared" ca="1" si="44"/>
        <v>2.8447957469166507E-3</v>
      </c>
      <c r="X332" s="12">
        <f t="shared" ca="1" si="44"/>
        <v>6.4727512841431301E-2</v>
      </c>
      <c r="Y332" s="12">
        <f t="shared" ca="1" si="44"/>
        <v>5.9330990944668205E-2</v>
      </c>
      <c r="Z332" s="12">
        <f t="shared" ca="1" si="44"/>
        <v>-2.2101868316069972E-2</v>
      </c>
    </row>
    <row r="333" spans="13:26">
      <c r="M333" s="13">
        <v>330</v>
      </c>
      <c r="N333" s="15">
        <f t="shared" ca="1" si="42"/>
        <v>14</v>
      </c>
      <c r="O333" s="13">
        <v>330</v>
      </c>
      <c r="P333" s="19">
        <f t="shared" ca="1" si="43"/>
        <v>41639</v>
      </c>
      <c r="Q333" s="12">
        <f t="shared" ca="1" si="44"/>
        <v>4.6499999999999999E-5</v>
      </c>
      <c r="R333" s="12">
        <f t="shared" ca="1" si="44"/>
        <v>-1.3626905157968494E-3</v>
      </c>
      <c r="S333" s="12">
        <f t="shared" ca="1" si="44"/>
        <v>-1.0449329264931029E-3</v>
      </c>
      <c r="T333" s="12">
        <f t="shared" ca="1" si="44"/>
        <v>-2.9149177684706373E-4</v>
      </c>
      <c r="U333" s="12">
        <f t="shared" ca="1" si="44"/>
        <v>-1.0392957075136766E-2</v>
      </c>
      <c r="V333" s="12">
        <f t="shared" ca="1" si="44"/>
        <v>-6.3905976357661043E-3</v>
      </c>
      <c r="W333" s="12">
        <f t="shared" ca="1" si="44"/>
        <v>-1.7959320051789129E-3</v>
      </c>
      <c r="X333" s="12">
        <f t="shared" ca="1" si="44"/>
        <v>2.3562833299184183E-2</v>
      </c>
      <c r="Y333" s="12">
        <f t="shared" ca="1" si="44"/>
        <v>2.0050109922501447E-2</v>
      </c>
      <c r="Z333" s="12">
        <f t="shared" ca="1" si="44"/>
        <v>-4.125743008736571E-2</v>
      </c>
    </row>
    <row r="334" spans="13:26">
      <c r="M334" s="13">
        <v>331</v>
      </c>
      <c r="N334" s="15">
        <f t="shared" ca="1" si="42"/>
        <v>5</v>
      </c>
      <c r="O334" s="13">
        <v>331</v>
      </c>
      <c r="P334" s="19">
        <f t="shared" ca="1" si="43"/>
        <v>41362</v>
      </c>
      <c r="Q334" s="12">
        <f t="shared" ref="Q334:Z343" ca="1" si="45">INDEX(histrets,$N334,Q$1)</f>
        <v>8.4500000000000008E-5</v>
      </c>
      <c r="R334" s="12">
        <f t="shared" ca="1" si="45"/>
        <v>2.3418729525115367E-4</v>
      </c>
      <c r="S334" s="12">
        <f t="shared" ca="1" si="45"/>
        <v>4.8135581072217271E-4</v>
      </c>
      <c r="T334" s="12">
        <f t="shared" ca="1" si="45"/>
        <v>1.2732568826077095E-3</v>
      </c>
      <c r="U334" s="12">
        <f t="shared" ca="1" si="45"/>
        <v>1.0737913451743797E-3</v>
      </c>
      <c r="V334" s="12">
        <f t="shared" ca="1" si="45"/>
        <v>7.7880569401389543E-4</v>
      </c>
      <c r="W334" s="12">
        <f t="shared" ca="1" si="45"/>
        <v>6.6103676205497841E-4</v>
      </c>
      <c r="X334" s="12">
        <f t="shared" ca="1" si="45"/>
        <v>3.5987799403174314E-2</v>
      </c>
      <c r="Y334" s="12">
        <f t="shared" ca="1" si="45"/>
        <v>2.0872770748231462E-2</v>
      </c>
      <c r="Z334" s="12">
        <f t="shared" ca="1" si="45"/>
        <v>1.1325580364773602E-2</v>
      </c>
    </row>
    <row r="335" spans="13:26">
      <c r="M335" s="13">
        <v>332</v>
      </c>
      <c r="N335" s="15">
        <f t="shared" ca="1" si="42"/>
        <v>120</v>
      </c>
      <c r="O335" s="13">
        <v>332</v>
      </c>
      <c r="P335" s="19">
        <f t="shared" ca="1" si="43"/>
        <v>44865</v>
      </c>
      <c r="Q335" s="12">
        <f t="shared" ca="1" si="45"/>
        <v>2.7055E-3</v>
      </c>
      <c r="R335" s="12">
        <f t="shared" ca="1" si="45"/>
        <v>-9.8749969893285883E-4</v>
      </c>
      <c r="S335" s="12">
        <f t="shared" ca="1" si="45"/>
        <v>-1.6226807911334795E-3</v>
      </c>
      <c r="T335" s="12">
        <f t="shared" ca="1" si="45"/>
        <v>-2.2720778243974227E-3</v>
      </c>
      <c r="U335" s="12">
        <f t="shared" ca="1" si="45"/>
        <v>-1.5219530427619032E-2</v>
      </c>
      <c r="V335" s="12">
        <f t="shared" ca="1" si="45"/>
        <v>-7.3248596036072922E-3</v>
      </c>
      <c r="W335" s="12">
        <f t="shared" ca="1" si="45"/>
        <v>-1.1149135715035507E-2</v>
      </c>
      <c r="X335" s="12">
        <f t="shared" ca="1" si="45"/>
        <v>7.9863454576893256E-2</v>
      </c>
      <c r="Y335" s="12">
        <f t="shared" ca="1" si="45"/>
        <v>7.1078132554179829E-2</v>
      </c>
      <c r="Z335" s="12">
        <f t="shared" ca="1" si="45"/>
        <v>-1.6289194934391515E-2</v>
      </c>
    </row>
    <row r="336" spans="13:26">
      <c r="M336" s="13">
        <v>333</v>
      </c>
      <c r="N336" s="15">
        <f t="shared" ca="1" si="42"/>
        <v>14</v>
      </c>
      <c r="O336" s="13">
        <v>333</v>
      </c>
      <c r="P336" s="19">
        <f t="shared" ca="1" si="43"/>
        <v>41639</v>
      </c>
      <c r="Q336" s="12">
        <f t="shared" ca="1" si="45"/>
        <v>4.6499999999999999E-5</v>
      </c>
      <c r="R336" s="12">
        <f t="shared" ca="1" si="45"/>
        <v>-1.3626905157968494E-3</v>
      </c>
      <c r="S336" s="12">
        <f t="shared" ca="1" si="45"/>
        <v>-1.0449329264931029E-3</v>
      </c>
      <c r="T336" s="12">
        <f t="shared" ca="1" si="45"/>
        <v>-2.9149177684706373E-4</v>
      </c>
      <c r="U336" s="12">
        <f t="shared" ca="1" si="45"/>
        <v>-1.0392957075136766E-2</v>
      </c>
      <c r="V336" s="12">
        <f t="shared" ca="1" si="45"/>
        <v>-6.3905976357661043E-3</v>
      </c>
      <c r="W336" s="12">
        <f t="shared" ca="1" si="45"/>
        <v>-1.7959320051789129E-3</v>
      </c>
      <c r="X336" s="12">
        <f t="shared" ca="1" si="45"/>
        <v>2.3562833299184183E-2</v>
      </c>
      <c r="Y336" s="12">
        <f t="shared" ca="1" si="45"/>
        <v>2.0050109922501447E-2</v>
      </c>
      <c r="Z336" s="12">
        <f t="shared" ca="1" si="45"/>
        <v>-4.125743008736571E-2</v>
      </c>
    </row>
    <row r="337" spans="13:26">
      <c r="M337" s="13">
        <v>334</v>
      </c>
      <c r="N337" s="15">
        <f t="shared" ca="1" si="42"/>
        <v>87</v>
      </c>
      <c r="O337" s="13">
        <v>334</v>
      </c>
      <c r="P337" s="19">
        <f t="shared" ca="1" si="43"/>
        <v>43861</v>
      </c>
      <c r="Q337" s="12">
        <f t="shared" ca="1" si="45"/>
        <v>1.2863333333333333E-3</v>
      </c>
      <c r="R337" s="12">
        <f t="shared" ca="1" si="45"/>
        <v>5.4097992135349049E-3</v>
      </c>
      <c r="S337" s="12">
        <f t="shared" ca="1" si="45"/>
        <v>4.2842005056689114E-3</v>
      </c>
      <c r="T337" s="12">
        <f t="shared" ca="1" si="45"/>
        <v>5.7110103120057154E-3</v>
      </c>
      <c r="U337" s="12">
        <f t="shared" ca="1" si="45"/>
        <v>2.5643424492520994E-2</v>
      </c>
      <c r="V337" s="12">
        <f t="shared" ca="1" si="45"/>
        <v>1.565730710389257E-2</v>
      </c>
      <c r="W337" s="12">
        <f t="shared" ca="1" si="45"/>
        <v>2.3757911224389527E-2</v>
      </c>
      <c r="X337" s="12">
        <f t="shared" ca="1" si="45"/>
        <v>-1.6280898111292741E-3</v>
      </c>
      <c r="Y337" s="12">
        <f t="shared" ca="1" si="45"/>
        <v>-6.8094993788345715E-3</v>
      </c>
      <c r="Z337" s="12">
        <f t="shared" ca="1" si="45"/>
        <v>4.7381151673729915E-2</v>
      </c>
    </row>
    <row r="338" spans="13:26">
      <c r="M338" s="13">
        <v>335</v>
      </c>
      <c r="N338" s="15">
        <f t="shared" ca="1" si="42"/>
        <v>90</v>
      </c>
      <c r="O338" s="13">
        <v>335</v>
      </c>
      <c r="P338" s="19">
        <f t="shared" ca="1" si="43"/>
        <v>43951</v>
      </c>
      <c r="Q338" s="12">
        <f t="shared" ca="1" si="45"/>
        <v>5.0833333333333333E-5</v>
      </c>
      <c r="R338" s="12">
        <f t="shared" ca="1" si="45"/>
        <v>4.1830231056572131E-4</v>
      </c>
      <c r="S338" s="12">
        <f t="shared" ca="1" si="45"/>
        <v>2.2672626635900084E-3</v>
      </c>
      <c r="T338" s="12">
        <f t="shared" ca="1" si="45"/>
        <v>2.3727111036870641E-2</v>
      </c>
      <c r="U338" s="12">
        <f t="shared" ca="1" si="45"/>
        <v>4.0531345700494104E-3</v>
      </c>
      <c r="V338" s="12">
        <f t="shared" ca="1" si="45"/>
        <v>6.7602108896387403E-3</v>
      </c>
      <c r="W338" s="12">
        <f t="shared" ca="1" si="45"/>
        <v>5.2725029544570923E-2</v>
      </c>
      <c r="X338" s="12">
        <f t="shared" ca="1" si="45"/>
        <v>0.12684410293315374</v>
      </c>
      <c r="Y338" s="12">
        <f t="shared" ca="1" si="45"/>
        <v>0.10801357996038274</v>
      </c>
      <c r="Z338" s="12">
        <f t="shared" ca="1" si="45"/>
        <v>6.9313585006150147E-2</v>
      </c>
    </row>
    <row r="339" spans="13:26">
      <c r="M339" s="13">
        <v>336</v>
      </c>
      <c r="N339" s="15">
        <f t="shared" ca="1" si="42"/>
        <v>93</v>
      </c>
      <c r="O339" s="13">
        <v>336</v>
      </c>
      <c r="P339" s="19">
        <f t="shared" ca="1" si="43"/>
        <v>44043</v>
      </c>
      <c r="Q339" s="12">
        <f t="shared" ca="1" si="45"/>
        <v>1.0775E-4</v>
      </c>
      <c r="R339" s="12">
        <f t="shared" ca="1" si="45"/>
        <v>1.0103463581248029E-3</v>
      </c>
      <c r="S339" s="12">
        <f t="shared" ca="1" si="45"/>
        <v>1.4125780096754248E-3</v>
      </c>
      <c r="T339" s="12">
        <f t="shared" ca="1" si="45"/>
        <v>4.9928822698981357E-3</v>
      </c>
      <c r="U339" s="12">
        <f t="shared" ca="1" si="45"/>
        <v>1.2115901614529578E-2</v>
      </c>
      <c r="V339" s="12">
        <f t="shared" ca="1" si="45"/>
        <v>4.0932956725081571E-3</v>
      </c>
      <c r="W339" s="12">
        <f t="shared" ca="1" si="45"/>
        <v>3.1507368893236354E-2</v>
      </c>
      <c r="X339" s="12">
        <f t="shared" ca="1" si="45"/>
        <v>5.5101296975444303E-2</v>
      </c>
      <c r="Y339" s="12">
        <f t="shared" ca="1" si="45"/>
        <v>4.6866413236503091E-2</v>
      </c>
      <c r="Z339" s="12">
        <f t="shared" ca="1" si="45"/>
        <v>0.10943536070433924</v>
      </c>
    </row>
    <row r="340" spans="13:26">
      <c r="M340" s="13">
        <v>337</v>
      </c>
      <c r="N340" s="15">
        <f t="shared" ca="1" si="42"/>
        <v>58</v>
      </c>
      <c r="O340" s="13">
        <v>337</v>
      </c>
      <c r="P340" s="19">
        <f t="shared" ca="1" si="43"/>
        <v>42978</v>
      </c>
      <c r="Q340" s="12">
        <f t="shared" ca="1" si="45"/>
        <v>8.9366666666666663E-4</v>
      </c>
      <c r="R340" s="12">
        <f t="shared" ca="1" si="45"/>
        <v>1.8943117647360896E-3</v>
      </c>
      <c r="S340" s="12">
        <f t="shared" ca="1" si="45"/>
        <v>1.7981749232471866E-3</v>
      </c>
      <c r="T340" s="12">
        <f t="shared" ca="1" si="45"/>
        <v>2.0281311493255405E-3</v>
      </c>
      <c r="U340" s="12">
        <f t="shared" ca="1" si="45"/>
        <v>1.1306736498137848E-2</v>
      </c>
      <c r="V340" s="12">
        <f t="shared" ca="1" si="45"/>
        <v>7.3344561192607571E-3</v>
      </c>
      <c r="W340" s="12">
        <f t="shared" ca="1" si="45"/>
        <v>8.4693578904266875E-3</v>
      </c>
      <c r="X340" s="12">
        <f t="shared" ca="1" si="45"/>
        <v>5.4649232886694321E-4</v>
      </c>
      <c r="Y340" s="12">
        <f t="shared" ca="1" si="45"/>
        <v>-6.9348834837590356E-4</v>
      </c>
      <c r="Z340" s="12">
        <f t="shared" ca="1" si="45"/>
        <v>4.0955066801109163E-2</v>
      </c>
    </row>
    <row r="341" spans="13:26">
      <c r="M341" s="13">
        <v>338</v>
      </c>
      <c r="N341" s="15">
        <f t="shared" ca="1" si="42"/>
        <v>24</v>
      </c>
      <c r="O341" s="13">
        <v>338</v>
      </c>
      <c r="P341" s="19">
        <f t="shared" ca="1" si="43"/>
        <v>41943</v>
      </c>
      <c r="Q341" s="12">
        <f t="shared" ca="1" si="45"/>
        <v>1.2666666666666667E-5</v>
      </c>
      <c r="R341" s="12">
        <f t="shared" ca="1" si="45"/>
        <v>2.7450503856620845E-3</v>
      </c>
      <c r="S341" s="12">
        <f t="shared" ca="1" si="45"/>
        <v>2.1854534088954214E-3</v>
      </c>
      <c r="T341" s="12">
        <f t="shared" ca="1" si="45"/>
        <v>2.1223615145111729E-3</v>
      </c>
      <c r="U341" s="12">
        <f t="shared" ca="1" si="45"/>
        <v>1.0856203181201174E-2</v>
      </c>
      <c r="V341" s="12">
        <f t="shared" ca="1" si="45"/>
        <v>6.3361069479148657E-3</v>
      </c>
      <c r="W341" s="12">
        <f t="shared" ca="1" si="45"/>
        <v>9.3323015351907124E-3</v>
      </c>
      <c r="X341" s="12">
        <f t="shared" ca="1" si="45"/>
        <v>2.3201456175308888E-2</v>
      </c>
      <c r="Y341" s="12">
        <f t="shared" ca="1" si="45"/>
        <v>5.6994483075345492E-3</v>
      </c>
      <c r="Z341" s="12">
        <f t="shared" ca="1" si="45"/>
        <v>-2.9143732152464574E-2</v>
      </c>
    </row>
    <row r="342" spans="13:26">
      <c r="M342" s="13">
        <v>339</v>
      </c>
      <c r="N342" s="15">
        <f t="shared" ca="1" si="42"/>
        <v>75</v>
      </c>
      <c r="O342" s="13">
        <v>339</v>
      </c>
      <c r="P342" s="19">
        <f t="shared" ca="1" si="43"/>
        <v>43496</v>
      </c>
      <c r="Q342" s="12">
        <f t="shared" ca="1" si="45"/>
        <v>1.962416666666667E-3</v>
      </c>
      <c r="R342" s="12">
        <f t="shared" ca="1" si="45"/>
        <v>2.693012589601862E-3</v>
      </c>
      <c r="S342" s="12">
        <f t="shared" ca="1" si="45"/>
        <v>2.7841509229560302E-3</v>
      </c>
      <c r="T342" s="12">
        <f t="shared" ca="1" si="45"/>
        <v>7.0274240371139829E-3</v>
      </c>
      <c r="U342" s="12">
        <f t="shared" ca="1" si="45"/>
        <v>4.6694430922893382E-3</v>
      </c>
      <c r="V342" s="12">
        <f t="shared" ca="1" si="45"/>
        <v>3.7222012815680827E-3</v>
      </c>
      <c r="W342" s="12">
        <f t="shared" ca="1" si="45"/>
        <v>2.0932190041150545E-2</v>
      </c>
      <c r="X342" s="12">
        <f t="shared" ca="1" si="45"/>
        <v>7.8684404731036883E-2</v>
      </c>
      <c r="Y342" s="12">
        <f t="shared" ca="1" si="45"/>
        <v>7.6750358299272792E-2</v>
      </c>
      <c r="Z342" s="12">
        <f t="shared" ca="1" si="45"/>
        <v>3.0222457874915287E-2</v>
      </c>
    </row>
    <row r="343" spans="13:26">
      <c r="M343" s="13">
        <v>340</v>
      </c>
      <c r="N343" s="15">
        <f t="shared" ca="1" si="42"/>
        <v>5</v>
      </c>
      <c r="O343" s="13">
        <v>340</v>
      </c>
      <c r="P343" s="19">
        <f t="shared" ca="1" si="43"/>
        <v>41362</v>
      </c>
      <c r="Q343" s="12">
        <f t="shared" ca="1" si="45"/>
        <v>8.4500000000000008E-5</v>
      </c>
      <c r="R343" s="12">
        <f t="shared" ca="1" si="45"/>
        <v>2.3418729525115367E-4</v>
      </c>
      <c r="S343" s="12">
        <f t="shared" ca="1" si="45"/>
        <v>4.8135581072217271E-4</v>
      </c>
      <c r="T343" s="12">
        <f t="shared" ca="1" si="45"/>
        <v>1.2732568826077095E-3</v>
      </c>
      <c r="U343" s="12">
        <f t="shared" ca="1" si="45"/>
        <v>1.0737913451743797E-3</v>
      </c>
      <c r="V343" s="12">
        <f t="shared" ca="1" si="45"/>
        <v>7.7880569401389543E-4</v>
      </c>
      <c r="W343" s="12">
        <f t="shared" ca="1" si="45"/>
        <v>6.6103676205497841E-4</v>
      </c>
      <c r="X343" s="12">
        <f t="shared" ca="1" si="45"/>
        <v>3.5987799403174314E-2</v>
      </c>
      <c r="Y343" s="12">
        <f t="shared" ca="1" si="45"/>
        <v>2.0872770748231462E-2</v>
      </c>
      <c r="Z343" s="12">
        <f t="shared" ca="1" si="45"/>
        <v>1.1325580364773602E-2</v>
      </c>
    </row>
    <row r="344" spans="13:26">
      <c r="M344" s="13">
        <v>341</v>
      </c>
      <c r="N344" s="15">
        <f t="shared" ca="1" si="42"/>
        <v>10</v>
      </c>
      <c r="O344" s="13">
        <v>341</v>
      </c>
      <c r="P344" s="19">
        <f t="shared" ca="1" si="43"/>
        <v>41516</v>
      </c>
      <c r="Q344" s="12">
        <f t="shared" ref="Q344:Z353" ca="1" si="46">INDEX(histrets,$N344,Q$1)</f>
        <v>2.9583333333333332E-5</v>
      </c>
      <c r="R344" s="12">
        <f t="shared" ca="1" si="46"/>
        <v>-9.1058735963966964E-4</v>
      </c>
      <c r="S344" s="12">
        <f t="shared" ca="1" si="46"/>
        <v>-6.2995509738672517E-4</v>
      </c>
      <c r="T344" s="12">
        <f t="shared" ca="1" si="46"/>
        <v>1.6922798954599472E-4</v>
      </c>
      <c r="U344" s="12">
        <f t="shared" ca="1" si="46"/>
        <v>-5.3898417918450958E-3</v>
      </c>
      <c r="V344" s="12">
        <f t="shared" ca="1" si="46"/>
        <v>-4.2185645750429934E-3</v>
      </c>
      <c r="W344" s="12">
        <f t="shared" ca="1" si="46"/>
        <v>-6.6851475720129949E-3</v>
      </c>
      <c r="X344" s="12">
        <f t="shared" ca="1" si="46"/>
        <v>-3.1298013323604601E-2</v>
      </c>
      <c r="Y344" s="12">
        <f t="shared" ca="1" si="46"/>
        <v>-2.33236731635178E-2</v>
      </c>
      <c r="Z344" s="12">
        <f t="shared" ca="1" si="46"/>
        <v>5.2978333220131901E-2</v>
      </c>
    </row>
    <row r="345" spans="13:26">
      <c r="M345" s="13">
        <v>342</v>
      </c>
      <c r="N345" s="15">
        <f t="shared" ca="1" si="42"/>
        <v>1</v>
      </c>
      <c r="O345" s="13">
        <v>342</v>
      </c>
      <c r="P345" s="19">
        <f t="shared" ca="1" si="43"/>
        <v>41243</v>
      </c>
      <c r="Q345" s="12">
        <f t="shared" ca="1" si="46"/>
        <v>8.8750000000000002E-5</v>
      </c>
      <c r="R345" s="12">
        <f t="shared" ca="1" si="46"/>
        <v>8.9025510352636061E-4</v>
      </c>
      <c r="S345" s="12">
        <f t="shared" ca="1" si="46"/>
        <v>7.4010668307344929E-4</v>
      </c>
      <c r="T345" s="12">
        <f t="shared" ca="1" si="46"/>
        <v>8.6192379333893676E-4</v>
      </c>
      <c r="U345" s="12">
        <f t="shared" ca="1" si="46"/>
        <v>5.7531373731054547E-3</v>
      </c>
      <c r="V345" s="12">
        <f t="shared" ca="1" si="46"/>
        <v>3.7147171217664088E-3</v>
      </c>
      <c r="W345" s="12">
        <f t="shared" ca="1" si="46"/>
        <v>-8.2135255640869431E-4</v>
      </c>
      <c r="X345" s="12">
        <f t="shared" ca="1" si="46"/>
        <v>2.8467029231815655E-3</v>
      </c>
      <c r="Y345" s="12">
        <f t="shared" ca="1" si="46"/>
        <v>1.0733603786342139E-2</v>
      </c>
      <c r="Z345" s="12">
        <f t="shared" ca="1" si="46"/>
        <v>-3.2952663237730828E-3</v>
      </c>
    </row>
    <row r="346" spans="13:26">
      <c r="M346" s="13">
        <v>343</v>
      </c>
      <c r="N346" s="15">
        <f t="shared" ca="1" si="42"/>
        <v>68</v>
      </c>
      <c r="O346" s="13">
        <v>343</v>
      </c>
      <c r="P346" s="19">
        <f t="shared" ca="1" si="43"/>
        <v>43280</v>
      </c>
      <c r="Q346" s="12">
        <f t="shared" ca="1" si="46"/>
        <v>1.5788333333333333E-3</v>
      </c>
      <c r="R346" s="12">
        <f t="shared" ca="1" si="46"/>
        <v>1.5495540537546759E-4</v>
      </c>
      <c r="S346" s="12">
        <f t="shared" ca="1" si="46"/>
        <v>1.7922851557128361E-4</v>
      </c>
      <c r="T346" s="12">
        <f t="shared" ca="1" si="46"/>
        <v>-1.5929184744356562E-5</v>
      </c>
      <c r="U346" s="12">
        <f t="shared" ca="1" si="46"/>
        <v>2.8901898968847206E-4</v>
      </c>
      <c r="V346" s="12">
        <f t="shared" ca="1" si="46"/>
        <v>-4.5804946934258073E-4</v>
      </c>
      <c r="W346" s="12">
        <f t="shared" ca="1" si="46"/>
        <v>-5.3952132169493572E-3</v>
      </c>
      <c r="X346" s="12">
        <f t="shared" ca="1" si="46"/>
        <v>4.8424002040461378E-3</v>
      </c>
      <c r="Y346" s="12">
        <f t="shared" ca="1" si="46"/>
        <v>-1.7296408845057787E-3</v>
      </c>
      <c r="Z346" s="12">
        <f t="shared" ca="1" si="46"/>
        <v>-3.5355907925237462E-2</v>
      </c>
    </row>
    <row r="347" spans="13:26">
      <c r="M347" s="13">
        <v>344</v>
      </c>
      <c r="N347" s="15">
        <f t="shared" ca="1" si="42"/>
        <v>90</v>
      </c>
      <c r="O347" s="13">
        <v>344</v>
      </c>
      <c r="P347" s="19">
        <f t="shared" ca="1" si="43"/>
        <v>43951</v>
      </c>
      <c r="Q347" s="12">
        <f t="shared" ca="1" si="46"/>
        <v>5.0833333333333333E-5</v>
      </c>
      <c r="R347" s="12">
        <f t="shared" ca="1" si="46"/>
        <v>4.1830231056572131E-4</v>
      </c>
      <c r="S347" s="12">
        <f t="shared" ca="1" si="46"/>
        <v>2.2672626635900084E-3</v>
      </c>
      <c r="T347" s="12">
        <f t="shared" ca="1" si="46"/>
        <v>2.3727111036870641E-2</v>
      </c>
      <c r="U347" s="12">
        <f t="shared" ca="1" si="46"/>
        <v>4.0531345700494104E-3</v>
      </c>
      <c r="V347" s="12">
        <f t="shared" ca="1" si="46"/>
        <v>6.7602108896387403E-3</v>
      </c>
      <c r="W347" s="12">
        <f t="shared" ca="1" si="46"/>
        <v>5.2725029544570923E-2</v>
      </c>
      <c r="X347" s="12">
        <f t="shared" ca="1" si="46"/>
        <v>0.12684410293315374</v>
      </c>
      <c r="Y347" s="12">
        <f t="shared" ca="1" si="46"/>
        <v>0.10801357996038274</v>
      </c>
      <c r="Z347" s="12">
        <f t="shared" ca="1" si="46"/>
        <v>6.9313585006150147E-2</v>
      </c>
    </row>
    <row r="348" spans="13:26">
      <c r="M348" s="13">
        <v>345</v>
      </c>
      <c r="N348" s="15">
        <f t="shared" ca="1" si="42"/>
        <v>58</v>
      </c>
      <c r="O348" s="13">
        <v>345</v>
      </c>
      <c r="P348" s="19">
        <f t="shared" ca="1" si="43"/>
        <v>42978</v>
      </c>
      <c r="Q348" s="12">
        <f t="shared" ca="1" si="46"/>
        <v>8.9366666666666663E-4</v>
      </c>
      <c r="R348" s="12">
        <f t="shared" ca="1" si="46"/>
        <v>1.8943117647360896E-3</v>
      </c>
      <c r="S348" s="12">
        <f t="shared" ca="1" si="46"/>
        <v>1.7981749232471866E-3</v>
      </c>
      <c r="T348" s="12">
        <f t="shared" ca="1" si="46"/>
        <v>2.0281311493255405E-3</v>
      </c>
      <c r="U348" s="12">
        <f t="shared" ca="1" si="46"/>
        <v>1.1306736498137848E-2</v>
      </c>
      <c r="V348" s="12">
        <f t="shared" ca="1" si="46"/>
        <v>7.3344561192607571E-3</v>
      </c>
      <c r="W348" s="12">
        <f t="shared" ca="1" si="46"/>
        <v>8.4693578904266875E-3</v>
      </c>
      <c r="X348" s="12">
        <f t="shared" ca="1" si="46"/>
        <v>5.4649232886694321E-4</v>
      </c>
      <c r="Y348" s="12">
        <f t="shared" ca="1" si="46"/>
        <v>-6.9348834837590356E-4</v>
      </c>
      <c r="Z348" s="12">
        <f t="shared" ca="1" si="46"/>
        <v>4.0955066801109163E-2</v>
      </c>
    </row>
    <row r="349" spans="13:26">
      <c r="M349" s="13">
        <v>346</v>
      </c>
      <c r="N349" s="15">
        <f t="shared" ca="1" si="42"/>
        <v>94</v>
      </c>
      <c r="O349" s="13">
        <v>346</v>
      </c>
      <c r="P349" s="19">
        <f t="shared" ca="1" si="43"/>
        <v>44074</v>
      </c>
      <c r="Q349" s="12">
        <f t="shared" ca="1" si="46"/>
        <v>6.9750000000000001E-5</v>
      </c>
      <c r="R349" s="12">
        <f t="shared" ca="1" si="46"/>
        <v>-2.4264938349671805E-4</v>
      </c>
      <c r="S349" s="12">
        <f t="shared" ca="1" si="46"/>
        <v>2.9189559186559855E-4</v>
      </c>
      <c r="T349" s="12">
        <f t="shared" ca="1" si="46"/>
        <v>2.5177005785046447E-3</v>
      </c>
      <c r="U349" s="12">
        <f t="shared" ca="1" si="46"/>
        <v>-1.2016152135081337E-2</v>
      </c>
      <c r="V349" s="12">
        <f t="shared" ca="1" si="46"/>
        <v>-1.7319156027352234E-3</v>
      </c>
      <c r="W349" s="12">
        <f t="shared" ca="1" si="46"/>
        <v>-1.1540921161941387E-2</v>
      </c>
      <c r="X349" s="12">
        <f t="shared" ca="1" si="46"/>
        <v>7.0064687324219221E-2</v>
      </c>
      <c r="Y349" s="12">
        <f t="shared" ca="1" si="46"/>
        <v>6.5306423483067144E-2</v>
      </c>
      <c r="Z349" s="12">
        <f t="shared" ca="1" si="46"/>
        <v>-4.0792363831445577E-3</v>
      </c>
    </row>
    <row r="350" spans="13:26">
      <c r="M350" s="13">
        <v>347</v>
      </c>
      <c r="N350" s="15">
        <f t="shared" ca="1" si="42"/>
        <v>41</v>
      </c>
      <c r="O350" s="13">
        <v>347</v>
      </c>
      <c r="P350" s="19">
        <f t="shared" ca="1" si="43"/>
        <v>42460</v>
      </c>
      <c r="Q350" s="12">
        <f t="shared" ca="1" si="46"/>
        <v>2.6283333333333334E-4</v>
      </c>
      <c r="R350" s="12">
        <f t="shared" ca="1" si="46"/>
        <v>1.7450488010437581E-3</v>
      </c>
      <c r="S350" s="12">
        <f t="shared" ca="1" si="46"/>
        <v>2.0434531973680947E-3</v>
      </c>
      <c r="T350" s="12">
        <f t="shared" ca="1" si="46"/>
        <v>8.4586985427637096E-3</v>
      </c>
      <c r="U350" s="12">
        <f t="shared" ca="1" si="46"/>
        <v>1.3902308915594297E-3</v>
      </c>
      <c r="V350" s="12">
        <f t="shared" ca="1" si="46"/>
        <v>2.4232475161714007E-3</v>
      </c>
      <c r="W350" s="12">
        <f t="shared" ca="1" si="46"/>
        <v>2.7141723803574269E-2</v>
      </c>
      <c r="X350" s="12">
        <f t="shared" ca="1" si="46"/>
        <v>6.5991108718941094E-2</v>
      </c>
      <c r="Y350" s="12">
        <f t="shared" ca="1" si="46"/>
        <v>6.5248162774614205E-2</v>
      </c>
      <c r="Z350" s="12">
        <f t="shared" ca="1" si="46"/>
        <v>-4.7793197542526089E-3</v>
      </c>
    </row>
    <row r="351" spans="13:26">
      <c r="M351" s="13">
        <v>348</v>
      </c>
      <c r="N351" s="15">
        <f t="shared" ca="1" si="42"/>
        <v>47</v>
      </c>
      <c r="O351" s="13">
        <v>348</v>
      </c>
      <c r="P351" s="19">
        <f t="shared" ca="1" si="43"/>
        <v>42643</v>
      </c>
      <c r="Q351" s="12">
        <f t="shared" ca="1" si="46"/>
        <v>2.7483333333333331E-4</v>
      </c>
      <c r="R351" s="12">
        <f t="shared" ca="1" si="46"/>
        <v>1.1621035875981622E-3</v>
      </c>
      <c r="S351" s="12">
        <f t="shared" ca="1" si="46"/>
        <v>1.515090379294648E-3</v>
      </c>
      <c r="T351" s="12">
        <f t="shared" ca="1" si="46"/>
        <v>7.7099427012439214E-4</v>
      </c>
      <c r="U351" s="12">
        <f t="shared" ca="1" si="46"/>
        <v>-1.8386753168915249E-3</v>
      </c>
      <c r="V351" s="12">
        <f t="shared" ca="1" si="46"/>
        <v>6.9919808022667063E-4</v>
      </c>
      <c r="W351" s="12">
        <f t="shared" ca="1" si="46"/>
        <v>-2.8800244945604847E-3</v>
      </c>
      <c r="X351" s="12">
        <f t="shared" ca="1" si="46"/>
        <v>-1.2344825997834263E-3</v>
      </c>
      <c r="Y351" s="12">
        <f t="shared" ca="1" si="46"/>
        <v>3.5765795105611176E-3</v>
      </c>
      <c r="Z351" s="12">
        <f t="shared" ca="1" si="46"/>
        <v>5.2713201983236591E-3</v>
      </c>
    </row>
    <row r="352" spans="13:26">
      <c r="M352" s="13">
        <v>349</v>
      </c>
      <c r="N352" s="15">
        <f t="shared" ca="1" si="42"/>
        <v>42</v>
      </c>
      <c r="O352" s="13">
        <v>349</v>
      </c>
      <c r="P352" s="19">
        <f t="shared" ca="1" si="43"/>
        <v>42489</v>
      </c>
      <c r="Q352" s="12">
        <f t="shared" ca="1" si="46"/>
        <v>1.6525000000000001E-4</v>
      </c>
      <c r="R352" s="12">
        <f t="shared" ca="1" si="46"/>
        <v>3.6216580311787538E-4</v>
      </c>
      <c r="S352" s="12">
        <f t="shared" ca="1" si="46"/>
        <v>2.4757090883142929E-4</v>
      </c>
      <c r="T352" s="12">
        <f t="shared" ca="1" si="46"/>
        <v>4.1174784036310808E-3</v>
      </c>
      <c r="U352" s="12">
        <f t="shared" ca="1" si="46"/>
        <v>-1.2004718966450723E-3</v>
      </c>
      <c r="V352" s="12">
        <f t="shared" ca="1" si="46"/>
        <v>2.7608070445017674E-4</v>
      </c>
      <c r="W352" s="12">
        <f t="shared" ca="1" si="46"/>
        <v>1.3602736367879897E-2</v>
      </c>
      <c r="X352" s="12">
        <f t="shared" ca="1" si="46"/>
        <v>2.69936982337593E-3</v>
      </c>
      <c r="Y352" s="12">
        <f t="shared" ca="1" si="46"/>
        <v>1.3761133898017253E-2</v>
      </c>
      <c r="Z352" s="12">
        <f t="shared" ca="1" si="46"/>
        <v>4.9304400730074915E-2</v>
      </c>
    </row>
    <row r="353" spans="13:26">
      <c r="M353" s="13">
        <v>350</v>
      </c>
      <c r="N353" s="15">
        <f t="shared" ca="1" si="42"/>
        <v>76</v>
      </c>
      <c r="O353" s="13">
        <v>350</v>
      </c>
      <c r="P353" s="19">
        <f t="shared" ca="1" si="43"/>
        <v>43524</v>
      </c>
      <c r="Q353" s="12">
        <f t="shared" ca="1" si="46"/>
        <v>1.9865833333333333E-3</v>
      </c>
      <c r="R353" s="12">
        <f t="shared" ca="1" si="46"/>
        <v>1.0051696844186608E-3</v>
      </c>
      <c r="S353" s="12">
        <f t="shared" ca="1" si="46"/>
        <v>1.2578004850634095E-3</v>
      </c>
      <c r="T353" s="12">
        <f t="shared" ca="1" si="46"/>
        <v>3.5059253369462695E-3</v>
      </c>
      <c r="U353" s="12">
        <f t="shared" ca="1" si="46"/>
        <v>-2.7752785488605047E-3</v>
      </c>
      <c r="V353" s="12">
        <f t="shared" ca="1" si="46"/>
        <v>3.5532293312900975E-4</v>
      </c>
      <c r="W353" s="12">
        <f t="shared" ca="1" si="46"/>
        <v>3.595733609209395E-3</v>
      </c>
      <c r="X353" s="12">
        <f t="shared" ca="1" si="46"/>
        <v>2.9728930143116061E-2</v>
      </c>
      <c r="Y353" s="12">
        <f t="shared" ca="1" si="46"/>
        <v>2.8272261633037532E-2</v>
      </c>
      <c r="Z353" s="12">
        <f t="shared" ca="1" si="46"/>
        <v>-6.0018921475875064E-3</v>
      </c>
    </row>
    <row r="354" spans="13:26">
      <c r="M354" s="13">
        <v>351</v>
      </c>
      <c r="N354" s="15">
        <f t="shared" ca="1" si="42"/>
        <v>70</v>
      </c>
      <c r="O354" s="13">
        <v>351</v>
      </c>
      <c r="P354" s="19">
        <f t="shared" ca="1" si="43"/>
        <v>43343</v>
      </c>
      <c r="Q354" s="12">
        <f t="shared" ref="Q354:Z363" ca="1" si="47">INDEX(histrets,$N354,Q$1)</f>
        <v>1.6835833333333336E-3</v>
      </c>
      <c r="R354" s="12">
        <f t="shared" ca="1" si="47"/>
        <v>3.1818045634115499E-3</v>
      </c>
      <c r="S354" s="12">
        <f t="shared" ca="1" si="47"/>
        <v>3.2210243328749666E-3</v>
      </c>
      <c r="T354" s="12">
        <f t="shared" ca="1" si="47"/>
        <v>4.1414643219559455E-3</v>
      </c>
      <c r="U354" s="12">
        <f t="shared" ca="1" si="47"/>
        <v>7.8100533909761793E-3</v>
      </c>
      <c r="V354" s="12">
        <f t="shared" ca="1" si="47"/>
        <v>5.6560103378373583E-3</v>
      </c>
      <c r="W354" s="12">
        <f t="shared" ca="1" si="47"/>
        <v>5.4391709754060269E-3</v>
      </c>
      <c r="X354" s="12">
        <f t="shared" ca="1" si="47"/>
        <v>3.0263218631604083E-2</v>
      </c>
      <c r="Y354" s="12">
        <f t="shared" ca="1" si="47"/>
        <v>1.0403604105708064E-2</v>
      </c>
      <c r="Z354" s="12">
        <f t="shared" ca="1" si="47"/>
        <v>-1.8788547155168867E-2</v>
      </c>
    </row>
    <row r="355" spans="13:26">
      <c r="M355" s="13">
        <v>352</v>
      </c>
      <c r="N355" s="15">
        <f t="shared" ca="1" si="42"/>
        <v>108</v>
      </c>
      <c r="O355" s="13">
        <v>352</v>
      </c>
      <c r="P355" s="19">
        <f t="shared" ca="1" si="43"/>
        <v>44498</v>
      </c>
      <c r="Q355" s="12">
        <f t="shared" ca="1" si="47"/>
        <v>2.7500000000000001E-5</v>
      </c>
      <c r="R355" s="12">
        <f t="shared" ca="1" si="47"/>
        <v>-3.0397106151245357E-3</v>
      </c>
      <c r="S355" s="12">
        <f t="shared" ca="1" si="47"/>
        <v>-2.7381247848330403E-3</v>
      </c>
      <c r="T355" s="12">
        <f t="shared" ca="1" si="47"/>
        <v>-3.2666890866690501E-3</v>
      </c>
      <c r="U355" s="12">
        <f t="shared" ca="1" si="47"/>
        <v>3.1127562849819768E-4</v>
      </c>
      <c r="V355" s="12">
        <f t="shared" ca="1" si="47"/>
        <v>-3.2191243321966212E-3</v>
      </c>
      <c r="W355" s="12">
        <f t="shared" ca="1" si="47"/>
        <v>2.4950726425574388E-3</v>
      </c>
      <c r="X355" s="12">
        <f t="shared" ca="1" si="47"/>
        <v>6.9143873301234615E-2</v>
      </c>
      <c r="Y355" s="12">
        <f t="shared" ca="1" si="47"/>
        <v>5.5920308654293871E-2</v>
      </c>
      <c r="Z355" s="12">
        <f t="shared" ca="1" si="47"/>
        <v>1.5043114488175524E-2</v>
      </c>
    </row>
    <row r="356" spans="13:26">
      <c r="M356" s="13">
        <v>353</v>
      </c>
      <c r="N356" s="15">
        <f t="shared" ca="1" si="42"/>
        <v>76</v>
      </c>
      <c r="O356" s="13">
        <v>353</v>
      </c>
      <c r="P356" s="19">
        <f t="shared" ca="1" si="43"/>
        <v>43524</v>
      </c>
      <c r="Q356" s="12">
        <f t="shared" ca="1" si="47"/>
        <v>1.9865833333333333E-3</v>
      </c>
      <c r="R356" s="12">
        <f t="shared" ca="1" si="47"/>
        <v>1.0051696844186608E-3</v>
      </c>
      <c r="S356" s="12">
        <f t="shared" ca="1" si="47"/>
        <v>1.2578004850634095E-3</v>
      </c>
      <c r="T356" s="12">
        <f t="shared" ca="1" si="47"/>
        <v>3.5059253369462695E-3</v>
      </c>
      <c r="U356" s="12">
        <f t="shared" ca="1" si="47"/>
        <v>-2.7752785488605047E-3</v>
      </c>
      <c r="V356" s="12">
        <f t="shared" ca="1" si="47"/>
        <v>3.5532293312900975E-4</v>
      </c>
      <c r="W356" s="12">
        <f t="shared" ca="1" si="47"/>
        <v>3.595733609209395E-3</v>
      </c>
      <c r="X356" s="12">
        <f t="shared" ca="1" si="47"/>
        <v>2.9728930143116061E-2</v>
      </c>
      <c r="Y356" s="12">
        <f t="shared" ca="1" si="47"/>
        <v>2.8272261633037532E-2</v>
      </c>
      <c r="Z356" s="12">
        <f t="shared" ca="1" si="47"/>
        <v>-6.0018921475875064E-3</v>
      </c>
    </row>
    <row r="357" spans="13:26">
      <c r="M357" s="13">
        <v>354</v>
      </c>
      <c r="N357" s="15">
        <f t="shared" ca="1" si="42"/>
        <v>31</v>
      </c>
      <c r="O357" s="13">
        <v>354</v>
      </c>
      <c r="P357" s="19">
        <f t="shared" ca="1" si="43"/>
        <v>42153</v>
      </c>
      <c r="Q357" s="12">
        <f t="shared" ca="1" si="47"/>
        <v>0</v>
      </c>
      <c r="R357" s="12">
        <f t="shared" ca="1" si="47"/>
        <v>7.428156879896175E-4</v>
      </c>
      <c r="S357" s="12">
        <f t="shared" ca="1" si="47"/>
        <v>6.6009191619720298E-4</v>
      </c>
      <c r="T357" s="12">
        <f t="shared" ca="1" si="47"/>
        <v>1.1060849460915456E-3</v>
      </c>
      <c r="U357" s="12">
        <f t="shared" ca="1" si="47"/>
        <v>-2.3382848175917958E-3</v>
      </c>
      <c r="V357" s="12">
        <f t="shared" ca="1" si="47"/>
        <v>-2.9557347784758825E-5</v>
      </c>
      <c r="W357" s="12">
        <f t="shared" ca="1" si="47"/>
        <v>-5.0527397229136461E-3</v>
      </c>
      <c r="X357" s="12">
        <f t="shared" ca="1" si="47"/>
        <v>1.0491438545008114E-2</v>
      </c>
      <c r="Y357" s="12">
        <f t="shared" ca="1" si="47"/>
        <v>5.1169590643262985E-4</v>
      </c>
      <c r="Z357" s="12">
        <f t="shared" ca="1" si="47"/>
        <v>5.2432939030877534E-3</v>
      </c>
    </row>
    <row r="358" spans="13:26">
      <c r="M358" s="13">
        <v>355</v>
      </c>
      <c r="N358" s="15">
        <f t="shared" ca="1" si="42"/>
        <v>92</v>
      </c>
      <c r="O358" s="13">
        <v>355</v>
      </c>
      <c r="P358" s="19">
        <f t="shared" ca="1" si="43"/>
        <v>44012</v>
      </c>
      <c r="Q358" s="12">
        <f t="shared" ca="1" si="47"/>
        <v>1.0383333333333334E-4</v>
      </c>
      <c r="R358" s="12">
        <f t="shared" ca="1" si="47"/>
        <v>2.5720205318457978E-4</v>
      </c>
      <c r="S358" s="12">
        <f t="shared" ca="1" si="47"/>
        <v>3.4943001969378606E-4</v>
      </c>
      <c r="T358" s="12">
        <f t="shared" ca="1" si="47"/>
        <v>8.0694229120292782E-3</v>
      </c>
      <c r="U358" s="12">
        <f t="shared" ca="1" si="47"/>
        <v>1.0868782264197296E-3</v>
      </c>
      <c r="V358" s="12">
        <f t="shared" ca="1" si="47"/>
        <v>2.0532032618281182E-3</v>
      </c>
      <c r="W358" s="12">
        <f t="shared" ca="1" si="47"/>
        <v>2.0152707876929243E-2</v>
      </c>
      <c r="X358" s="12">
        <f t="shared" ca="1" si="47"/>
        <v>1.8388403283502663E-2</v>
      </c>
      <c r="Y358" s="12">
        <f t="shared" ca="1" si="47"/>
        <v>2.5099167551259738E-2</v>
      </c>
      <c r="Z358" s="12">
        <f t="shared" ca="1" si="47"/>
        <v>2.9296005825680371E-2</v>
      </c>
    </row>
    <row r="359" spans="13:26">
      <c r="M359" s="13">
        <v>356</v>
      </c>
      <c r="N359" s="15">
        <f t="shared" ca="1" si="42"/>
        <v>125</v>
      </c>
      <c r="O359" s="13">
        <v>356</v>
      </c>
      <c r="P359" s="19">
        <f t="shared" ca="1" si="43"/>
        <v>45016</v>
      </c>
      <c r="Q359" s="12">
        <f t="shared" ca="1" si="47"/>
        <v>3.9739166666666664E-3</v>
      </c>
      <c r="R359" s="12">
        <f t="shared" ca="1" si="47"/>
        <v>1.5952721678990756E-2</v>
      </c>
      <c r="S359" s="12">
        <f t="shared" ca="1" si="47"/>
        <v>1.6285339772754925E-2</v>
      </c>
      <c r="T359" s="12">
        <f t="shared" ca="1" si="47"/>
        <v>8.7837685668412657E-3</v>
      </c>
      <c r="U359" s="12">
        <f t="shared" ca="1" si="47"/>
        <v>2.9576955176613406E-2</v>
      </c>
      <c r="V359" s="12">
        <f t="shared" ca="1" si="47"/>
        <v>2.1121753530337406E-2</v>
      </c>
      <c r="W359" s="12">
        <f t="shared" ca="1" si="47"/>
        <v>2.5627855244890752E-2</v>
      </c>
      <c r="X359" s="12">
        <f t="shared" ca="1" si="47"/>
        <v>3.5051572358727023E-2</v>
      </c>
      <c r="Y359" s="12">
        <f t="shared" ca="1" si="47"/>
        <v>2.8317560423934518E-2</v>
      </c>
      <c r="Z359" s="12">
        <f t="shared" ca="1" si="47"/>
        <v>7.7923499660631057E-2</v>
      </c>
    </row>
    <row r="360" spans="13:26">
      <c r="M360" s="13">
        <v>357</v>
      </c>
      <c r="N360" s="15">
        <f t="shared" ca="1" si="42"/>
        <v>30</v>
      </c>
      <c r="O360" s="13">
        <v>357</v>
      </c>
      <c r="P360" s="19">
        <f t="shared" ca="1" si="43"/>
        <v>42124</v>
      </c>
      <c r="Q360" s="12">
        <f t="shared" ca="1" si="47"/>
        <v>1.6916666666666667E-5</v>
      </c>
      <c r="R360" s="12">
        <f t="shared" ca="1" si="47"/>
        <v>4.5665826855323388E-4</v>
      </c>
      <c r="S360" s="12">
        <f t="shared" ca="1" si="47"/>
        <v>6.0678736150876489E-4</v>
      </c>
      <c r="T360" s="12">
        <f t="shared" ca="1" si="47"/>
        <v>1.6621938242677992E-3</v>
      </c>
      <c r="U360" s="12">
        <f t="shared" ca="1" si="47"/>
        <v>-6.1820809081205574E-3</v>
      </c>
      <c r="V360" s="12">
        <f t="shared" ca="1" si="47"/>
        <v>-2.1386677019336053E-3</v>
      </c>
      <c r="W360" s="12">
        <f t="shared" ca="1" si="47"/>
        <v>-5.341883159823646E-3</v>
      </c>
      <c r="X360" s="12">
        <f t="shared" ca="1" si="47"/>
        <v>8.5207627098153882E-3</v>
      </c>
      <c r="Y360" s="12">
        <f t="shared" ca="1" si="47"/>
        <v>2.1593396177641555E-2</v>
      </c>
      <c r="Z360" s="12">
        <f t="shared" ca="1" si="47"/>
        <v>6.75921153797443E-4</v>
      </c>
    </row>
    <row r="361" spans="13:26">
      <c r="M361" s="13">
        <v>358</v>
      </c>
      <c r="N361" s="15">
        <f t="shared" ca="1" si="42"/>
        <v>30</v>
      </c>
      <c r="O361" s="13">
        <v>358</v>
      </c>
      <c r="P361" s="19">
        <f t="shared" ca="1" si="43"/>
        <v>42124</v>
      </c>
      <c r="Q361" s="12">
        <f t="shared" ca="1" si="47"/>
        <v>1.6916666666666667E-5</v>
      </c>
      <c r="R361" s="12">
        <f t="shared" ca="1" si="47"/>
        <v>4.5665826855323388E-4</v>
      </c>
      <c r="S361" s="12">
        <f t="shared" ca="1" si="47"/>
        <v>6.0678736150876489E-4</v>
      </c>
      <c r="T361" s="12">
        <f t="shared" ca="1" si="47"/>
        <v>1.6621938242677992E-3</v>
      </c>
      <c r="U361" s="12">
        <f t="shared" ca="1" si="47"/>
        <v>-6.1820809081205574E-3</v>
      </c>
      <c r="V361" s="12">
        <f t="shared" ca="1" si="47"/>
        <v>-2.1386677019336053E-3</v>
      </c>
      <c r="W361" s="12">
        <f t="shared" ca="1" si="47"/>
        <v>-5.341883159823646E-3</v>
      </c>
      <c r="X361" s="12">
        <f t="shared" ca="1" si="47"/>
        <v>8.5207627098153882E-3</v>
      </c>
      <c r="Y361" s="12">
        <f t="shared" ca="1" si="47"/>
        <v>2.1593396177641555E-2</v>
      </c>
      <c r="Z361" s="12">
        <f t="shared" ca="1" si="47"/>
        <v>6.75921153797443E-4</v>
      </c>
    </row>
    <row r="362" spans="13:26">
      <c r="M362" s="13">
        <v>359</v>
      </c>
      <c r="N362" s="15">
        <f t="shared" ca="1" si="42"/>
        <v>48</v>
      </c>
      <c r="O362" s="13">
        <v>359</v>
      </c>
      <c r="P362" s="19">
        <f t="shared" ca="1" si="43"/>
        <v>42674</v>
      </c>
      <c r="Q362" s="12">
        <f t="shared" ca="1" si="47"/>
        <v>2.2824999999999999E-4</v>
      </c>
      <c r="R362" s="12">
        <f t="shared" ca="1" si="47"/>
        <v>-6.6904014583524241E-4</v>
      </c>
      <c r="S362" s="12">
        <f t="shared" ca="1" si="47"/>
        <v>-8.8476979395957223E-5</v>
      </c>
      <c r="T362" s="12">
        <f t="shared" ca="1" si="47"/>
        <v>4.7436962881475253E-4</v>
      </c>
      <c r="U362" s="12">
        <f t="shared" ca="1" si="47"/>
        <v>-1.151288919576221E-2</v>
      </c>
      <c r="V362" s="12">
        <f t="shared" ca="1" si="47"/>
        <v>-4.5227010929861367E-3</v>
      </c>
      <c r="W362" s="12">
        <f t="shared" ca="1" si="47"/>
        <v>-8.2772866137545975E-3</v>
      </c>
      <c r="X362" s="12">
        <f t="shared" ca="1" si="47"/>
        <v>-1.9425625037472249E-2</v>
      </c>
      <c r="Y362" s="12">
        <f t="shared" ca="1" si="47"/>
        <v>-2.0137106167459562E-2</v>
      </c>
      <c r="Z362" s="12">
        <f t="shared" ca="1" si="47"/>
        <v>-2.9379801956120222E-2</v>
      </c>
    </row>
    <row r="363" spans="13:26">
      <c r="M363" s="13">
        <v>360</v>
      </c>
      <c r="N363" s="15">
        <f t="shared" ca="1" si="42"/>
        <v>2</v>
      </c>
      <c r="O363" s="13">
        <v>360</v>
      </c>
      <c r="P363" s="19">
        <f t="shared" ca="1" si="43"/>
        <v>41274</v>
      </c>
      <c r="Q363" s="12">
        <f t="shared" ca="1" si="47"/>
        <v>6.3416666666666672E-5</v>
      </c>
      <c r="R363" s="12">
        <f t="shared" ca="1" si="47"/>
        <v>3.3762579425800077E-4</v>
      </c>
      <c r="S363" s="12">
        <f t="shared" ca="1" si="47"/>
        <v>5.5201947805216811E-4</v>
      </c>
      <c r="T363" s="12">
        <f t="shared" ca="1" si="47"/>
        <v>1.9529105173961003E-3</v>
      </c>
      <c r="U363" s="12">
        <f t="shared" ca="1" si="47"/>
        <v>-4.9419567051486313E-3</v>
      </c>
      <c r="V363" s="12">
        <f t="shared" ca="1" si="47"/>
        <v>-1.6410959913608636E-3</v>
      </c>
      <c r="W363" s="12">
        <f t="shared" ca="1" si="47"/>
        <v>-1.9428262162357601E-4</v>
      </c>
      <c r="X363" s="12">
        <f t="shared" ca="1" si="47"/>
        <v>7.0683105254980561E-3</v>
      </c>
      <c r="Y363" s="12">
        <f t="shared" ca="1" si="47"/>
        <v>1.7491581083854735E-2</v>
      </c>
      <c r="Z363" s="12">
        <f t="shared" ca="1" si="47"/>
        <v>-2.3108141202812904E-2</v>
      </c>
    </row>
    <row r="364" spans="13:26">
      <c r="M364" s="13">
        <v>361</v>
      </c>
      <c r="N364" s="15">
        <f t="shared" ca="1" si="42"/>
        <v>93</v>
      </c>
      <c r="O364" s="13">
        <v>361</v>
      </c>
      <c r="P364" s="19">
        <f t="shared" ca="1" si="43"/>
        <v>44043</v>
      </c>
      <c r="Q364" s="12">
        <f t="shared" ref="Q364:Z373" ca="1" si="48">INDEX(histrets,$N364,Q$1)</f>
        <v>1.0775E-4</v>
      </c>
      <c r="R364" s="12">
        <f t="shared" ca="1" si="48"/>
        <v>1.0103463581248029E-3</v>
      </c>
      <c r="S364" s="12">
        <f t="shared" ca="1" si="48"/>
        <v>1.4125780096754248E-3</v>
      </c>
      <c r="T364" s="12">
        <f t="shared" ca="1" si="48"/>
        <v>4.9928822698981357E-3</v>
      </c>
      <c r="U364" s="12">
        <f t="shared" ca="1" si="48"/>
        <v>1.2115901614529578E-2</v>
      </c>
      <c r="V364" s="12">
        <f t="shared" ca="1" si="48"/>
        <v>4.0932956725081571E-3</v>
      </c>
      <c r="W364" s="12">
        <f t="shared" ca="1" si="48"/>
        <v>3.1507368893236354E-2</v>
      </c>
      <c r="X364" s="12">
        <f t="shared" ca="1" si="48"/>
        <v>5.5101296975444303E-2</v>
      </c>
      <c r="Y364" s="12">
        <f t="shared" ca="1" si="48"/>
        <v>4.6866413236503091E-2</v>
      </c>
      <c r="Z364" s="12">
        <f t="shared" ca="1" si="48"/>
        <v>0.10943536070433924</v>
      </c>
    </row>
    <row r="365" spans="13:26">
      <c r="M365" s="13">
        <v>362</v>
      </c>
      <c r="N365" s="15">
        <f t="shared" ca="1" si="42"/>
        <v>77</v>
      </c>
      <c r="O365" s="13">
        <v>362</v>
      </c>
      <c r="P365" s="19">
        <f t="shared" ca="1" si="43"/>
        <v>43553</v>
      </c>
      <c r="Q365" s="12">
        <f t="shared" ca="1" si="48"/>
        <v>2.0271666666666667E-3</v>
      </c>
      <c r="R365" s="12">
        <f t="shared" ca="1" si="48"/>
        <v>6.1140339599461413E-3</v>
      </c>
      <c r="S365" s="12">
        <f t="shared" ca="1" si="48"/>
        <v>5.6005851058500422E-3</v>
      </c>
      <c r="T365" s="12">
        <f t="shared" ca="1" si="48"/>
        <v>7.8061480891151724E-3</v>
      </c>
      <c r="U365" s="12">
        <f t="shared" ca="1" si="48"/>
        <v>1.9871317951636103E-2</v>
      </c>
      <c r="V365" s="12">
        <f t="shared" ca="1" si="48"/>
        <v>1.4119884433976049E-2</v>
      </c>
      <c r="W365" s="12">
        <f t="shared" ca="1" si="48"/>
        <v>2.4897397534795696E-2</v>
      </c>
      <c r="X365" s="12">
        <f t="shared" ca="1" si="48"/>
        <v>1.7924287751078349E-2</v>
      </c>
      <c r="Y365" s="12">
        <f t="shared" ca="1" si="48"/>
        <v>1.0499367161431294E-2</v>
      </c>
      <c r="Z365" s="12">
        <f t="shared" ca="1" si="48"/>
        <v>-1.5944324307860858E-2</v>
      </c>
    </row>
    <row r="366" spans="13:26">
      <c r="M366" s="13">
        <v>363</v>
      </c>
      <c r="N366" s="15">
        <f t="shared" ca="1" si="42"/>
        <v>79</v>
      </c>
      <c r="O366" s="13">
        <v>363</v>
      </c>
      <c r="P366" s="19">
        <f t="shared" ca="1" si="43"/>
        <v>43616</v>
      </c>
      <c r="Q366" s="12">
        <f t="shared" ca="1" si="48"/>
        <v>2.0082500000000001E-3</v>
      </c>
      <c r="R366" s="12">
        <f t="shared" ca="1" si="48"/>
        <v>7.0972646150306851E-3</v>
      </c>
      <c r="S366" s="12">
        <f t="shared" ca="1" si="48"/>
        <v>6.6454558664943431E-3</v>
      </c>
      <c r="T366" s="12">
        <f t="shared" ca="1" si="48"/>
        <v>5.5851148528454075E-3</v>
      </c>
      <c r="U366" s="12">
        <f t="shared" ca="1" si="48"/>
        <v>2.4430574842440933E-2</v>
      </c>
      <c r="V366" s="12">
        <f t="shared" ca="1" si="48"/>
        <v>1.5931915178023504E-2</v>
      </c>
      <c r="W366" s="12">
        <f t="shared" ca="1" si="48"/>
        <v>1.4346665352576782E-2</v>
      </c>
      <c r="X366" s="12">
        <f t="shared" ca="1" si="48"/>
        <v>-6.5777726481161536E-2</v>
      </c>
      <c r="Y366" s="12">
        <f t="shared" ca="1" si="48"/>
        <v>-6.0780200764686709E-2</v>
      </c>
      <c r="Z366" s="12">
        <f t="shared" ca="1" si="48"/>
        <v>1.7179185527412599E-2</v>
      </c>
    </row>
    <row r="367" spans="13:26">
      <c r="M367" s="13">
        <v>364</v>
      </c>
      <c r="N367" s="15">
        <f t="shared" ca="1" si="42"/>
        <v>53</v>
      </c>
      <c r="O367" s="13">
        <v>364</v>
      </c>
      <c r="P367" s="19">
        <f t="shared" ca="1" si="43"/>
        <v>42825</v>
      </c>
      <c r="Q367" s="12">
        <f t="shared" ca="1" si="48"/>
        <v>5.0349999999999993E-4</v>
      </c>
      <c r="R367" s="12">
        <f t="shared" ca="1" si="48"/>
        <v>3.210493334364628E-4</v>
      </c>
      <c r="S367" s="12">
        <f t="shared" ca="1" si="48"/>
        <v>4.2376566391277848E-4</v>
      </c>
      <c r="T367" s="12">
        <f t="shared" ca="1" si="48"/>
        <v>7.8579211313489772E-4</v>
      </c>
      <c r="U367" s="12">
        <f t="shared" ca="1" si="48"/>
        <v>-5.8683501589096299E-4</v>
      </c>
      <c r="V367" s="12">
        <f t="shared" ca="1" si="48"/>
        <v>7.5457879896112523E-4</v>
      </c>
      <c r="W367" s="12">
        <f t="shared" ca="1" si="48"/>
        <v>-1.2306723182694546E-3</v>
      </c>
      <c r="X367" s="12">
        <f t="shared" ca="1" si="48"/>
        <v>-3.8923017041514463E-4</v>
      </c>
      <c r="Y367" s="12">
        <f t="shared" ca="1" si="48"/>
        <v>8.152499048240669E-3</v>
      </c>
      <c r="Z367" s="12">
        <f t="shared" ca="1" si="48"/>
        <v>6.087597321458027E-4</v>
      </c>
    </row>
    <row r="368" spans="13:26">
      <c r="M368" s="13">
        <v>365</v>
      </c>
      <c r="N368" s="15">
        <f t="shared" ca="1" si="42"/>
        <v>62</v>
      </c>
      <c r="O368" s="13">
        <v>365</v>
      </c>
      <c r="P368" s="19">
        <f t="shared" ca="1" si="43"/>
        <v>43098</v>
      </c>
      <c r="Q368" s="12">
        <f t="shared" ca="1" si="48"/>
        <v>1.0466666666666667E-3</v>
      </c>
      <c r="R368" s="12">
        <f t="shared" ca="1" si="48"/>
        <v>1.1996068716912944E-4</v>
      </c>
      <c r="S368" s="12">
        <f t="shared" ca="1" si="48"/>
        <v>2.1268953000364021E-4</v>
      </c>
      <c r="T368" s="12">
        <f t="shared" ca="1" si="48"/>
        <v>1.0776244263113188E-3</v>
      </c>
      <c r="U368" s="12">
        <f t="shared" ca="1" si="48"/>
        <v>3.4610496714706507E-3</v>
      </c>
      <c r="V368" s="12">
        <f t="shared" ca="1" si="48"/>
        <v>1.454193244943669E-3</v>
      </c>
      <c r="W368" s="12">
        <f t="shared" ca="1" si="48"/>
        <v>8.527452873188901E-3</v>
      </c>
      <c r="X368" s="12">
        <f t="shared" ca="1" si="48"/>
        <v>9.8316198188534987E-3</v>
      </c>
      <c r="Y368" s="12">
        <f t="shared" ca="1" si="48"/>
        <v>1.2559209766241697E-2</v>
      </c>
      <c r="Z368" s="12">
        <f t="shared" ca="1" si="48"/>
        <v>2.1795907483078469E-2</v>
      </c>
    </row>
    <row r="369" spans="13:26">
      <c r="M369" s="13">
        <v>366</v>
      </c>
      <c r="N369" s="15">
        <f t="shared" ca="1" si="42"/>
        <v>81</v>
      </c>
      <c r="O369" s="13">
        <v>366</v>
      </c>
      <c r="P369" s="19">
        <f t="shared" ca="1" si="43"/>
        <v>43677</v>
      </c>
      <c r="Q369" s="12">
        <f t="shared" ca="1" si="48"/>
        <v>1.7390000000000001E-3</v>
      </c>
      <c r="R369" s="12">
        <f t="shared" ca="1" si="48"/>
        <v>-1.1790413866580307E-3</v>
      </c>
      <c r="S369" s="12">
        <f t="shared" ca="1" si="48"/>
        <v>-4.6832241463723445E-4</v>
      </c>
      <c r="T369" s="12">
        <f t="shared" ca="1" si="48"/>
        <v>1.2056677051768272E-3</v>
      </c>
      <c r="U369" s="12">
        <f t="shared" ca="1" si="48"/>
        <v>-1.0532070272051275E-3</v>
      </c>
      <c r="V369" s="12">
        <f t="shared" ca="1" si="48"/>
        <v>-9.7982933382922965E-5</v>
      </c>
      <c r="W369" s="12">
        <f t="shared" ca="1" si="48"/>
        <v>6.5538327166687615E-3</v>
      </c>
      <c r="X369" s="12">
        <f t="shared" ca="1" si="48"/>
        <v>1.3128195366039375E-2</v>
      </c>
      <c r="Y369" s="12">
        <f t="shared" ca="1" si="48"/>
        <v>4.2279707117773846E-3</v>
      </c>
      <c r="Z369" s="12">
        <f t="shared" ca="1" si="48"/>
        <v>3.0009577524741093E-3</v>
      </c>
    </row>
    <row r="370" spans="13:26">
      <c r="M370" s="13">
        <v>367</v>
      </c>
      <c r="N370" s="15">
        <f t="shared" ca="1" si="42"/>
        <v>10</v>
      </c>
      <c r="O370" s="13">
        <v>367</v>
      </c>
      <c r="P370" s="19">
        <f t="shared" ca="1" si="43"/>
        <v>41516</v>
      </c>
      <c r="Q370" s="12">
        <f t="shared" ca="1" si="48"/>
        <v>2.9583333333333332E-5</v>
      </c>
      <c r="R370" s="12">
        <f t="shared" ca="1" si="48"/>
        <v>-9.1058735963966964E-4</v>
      </c>
      <c r="S370" s="12">
        <f t="shared" ca="1" si="48"/>
        <v>-6.2995509738672517E-4</v>
      </c>
      <c r="T370" s="12">
        <f t="shared" ca="1" si="48"/>
        <v>1.6922798954599472E-4</v>
      </c>
      <c r="U370" s="12">
        <f t="shared" ca="1" si="48"/>
        <v>-5.3898417918450958E-3</v>
      </c>
      <c r="V370" s="12">
        <f t="shared" ca="1" si="48"/>
        <v>-4.2185645750429934E-3</v>
      </c>
      <c r="W370" s="12">
        <f t="shared" ca="1" si="48"/>
        <v>-6.6851475720129949E-3</v>
      </c>
      <c r="X370" s="12">
        <f t="shared" ca="1" si="48"/>
        <v>-3.1298013323604601E-2</v>
      </c>
      <c r="Y370" s="12">
        <f t="shared" ca="1" si="48"/>
        <v>-2.33236731635178E-2</v>
      </c>
      <c r="Z370" s="12">
        <f t="shared" ca="1" si="48"/>
        <v>5.2978333220131901E-2</v>
      </c>
    </row>
    <row r="371" spans="13:26">
      <c r="M371" s="13">
        <v>368</v>
      </c>
      <c r="N371" s="15">
        <f t="shared" ca="1" si="42"/>
        <v>131</v>
      </c>
      <c r="O371" s="13">
        <v>368</v>
      </c>
      <c r="P371" s="19">
        <f t="shared" ca="1" si="43"/>
        <v>45198</v>
      </c>
      <c r="Q371" s="12">
        <f t="shared" ca="1" si="48"/>
        <v>4.5294999999999997E-3</v>
      </c>
      <c r="R371" s="12">
        <f t="shared" ca="1" si="48"/>
        <v>-8.7527777912765892E-5</v>
      </c>
      <c r="S371" s="12">
        <f t="shared" ca="1" si="48"/>
        <v>7.3954471452686299E-4</v>
      </c>
      <c r="T371" s="12">
        <f t="shared" ca="1" si="48"/>
        <v>-6.7481426476689865E-4</v>
      </c>
      <c r="U371" s="12">
        <f t="shared" ca="1" si="48"/>
        <v>-2.3814615369661118E-2</v>
      </c>
      <c r="V371" s="12">
        <f t="shared" ca="1" si="48"/>
        <v>-7.8838704615544763E-3</v>
      </c>
      <c r="W371" s="12">
        <f t="shared" ca="1" si="48"/>
        <v>-2.4496905181951245E-2</v>
      </c>
      <c r="X371" s="12">
        <f t="shared" ca="1" si="48"/>
        <v>-4.871929116215501E-2</v>
      </c>
      <c r="Y371" s="12">
        <f t="shared" ca="1" si="48"/>
        <v>-4.4467217232302625E-2</v>
      </c>
      <c r="Z371" s="12">
        <f t="shared" ca="1" si="48"/>
        <v>-4.7191254464768906E-2</v>
      </c>
    </row>
    <row r="372" spans="13:26">
      <c r="M372" s="13">
        <v>369</v>
      </c>
      <c r="N372" s="15">
        <f t="shared" ca="1" si="42"/>
        <v>23</v>
      </c>
      <c r="O372" s="13">
        <v>369</v>
      </c>
      <c r="P372" s="19">
        <f t="shared" ca="1" si="43"/>
        <v>41912</v>
      </c>
      <c r="Q372" s="12">
        <f t="shared" ca="1" si="48"/>
        <v>1.6916666666666667E-5</v>
      </c>
      <c r="R372" s="12">
        <f t="shared" ca="1" si="48"/>
        <v>-5.5918784954711587E-4</v>
      </c>
      <c r="S372" s="12">
        <f t="shared" ca="1" si="48"/>
        <v>-1.4454531212915178E-4</v>
      </c>
      <c r="T372" s="12">
        <f t="shared" ca="1" si="48"/>
        <v>-1.0665751749033836E-3</v>
      </c>
      <c r="U372" s="12">
        <f t="shared" ca="1" si="48"/>
        <v>-6.3298466173178358E-3</v>
      </c>
      <c r="V372" s="12">
        <f t="shared" ca="1" si="48"/>
        <v>-3.1157649714820268E-3</v>
      </c>
      <c r="W372" s="12">
        <f t="shared" ca="1" si="48"/>
        <v>-1.2431832190915149E-2</v>
      </c>
      <c r="X372" s="12">
        <f t="shared" ca="1" si="48"/>
        <v>-1.5513859147336717E-2</v>
      </c>
      <c r="Y372" s="12">
        <f t="shared" ca="1" si="48"/>
        <v>-2.8752952209940008E-2</v>
      </c>
      <c r="Z372" s="12">
        <f t="shared" ca="1" si="48"/>
        <v>-6.1499860174626275E-2</v>
      </c>
    </row>
    <row r="373" spans="13:26">
      <c r="M373" s="13">
        <v>370</v>
      </c>
      <c r="N373" s="15">
        <f t="shared" ca="1" si="42"/>
        <v>36</v>
      </c>
      <c r="O373" s="13">
        <v>370</v>
      </c>
      <c r="P373" s="19">
        <f t="shared" ca="1" si="43"/>
        <v>42307</v>
      </c>
      <c r="Q373" s="12">
        <f t="shared" ca="1" si="48"/>
        <v>-1.6916666666666667E-5</v>
      </c>
      <c r="R373" s="12">
        <f t="shared" ca="1" si="48"/>
        <v>-9.7742671460165909E-4</v>
      </c>
      <c r="S373" s="12">
        <f t="shared" ca="1" si="48"/>
        <v>-4.927758109271041E-4</v>
      </c>
      <c r="T373" s="12">
        <f t="shared" ca="1" si="48"/>
        <v>1.940190683884957E-3</v>
      </c>
      <c r="U373" s="12">
        <f t="shared" ca="1" si="48"/>
        <v>-3.5650933433152288E-3</v>
      </c>
      <c r="V373" s="12">
        <f t="shared" ca="1" si="48"/>
        <v>-1.3467962852747872E-3</v>
      </c>
      <c r="W373" s="12">
        <f t="shared" ca="1" si="48"/>
        <v>5.3601883874283551E-3</v>
      </c>
      <c r="X373" s="12">
        <f t="shared" ca="1" si="48"/>
        <v>8.2983078389400333E-2</v>
      </c>
      <c r="Y373" s="12">
        <f t="shared" ca="1" si="48"/>
        <v>7.8309901891372435E-2</v>
      </c>
      <c r="Z373" s="12">
        <f t="shared" ca="1" si="48"/>
        <v>2.4231227972629998E-2</v>
      </c>
    </row>
    <row r="374" spans="13:26">
      <c r="M374" s="13">
        <v>371</v>
      </c>
      <c r="N374" s="15">
        <f t="shared" ca="1" si="42"/>
        <v>99</v>
      </c>
      <c r="O374" s="13">
        <v>371</v>
      </c>
      <c r="P374" s="19">
        <f t="shared" ca="1" si="43"/>
        <v>44225</v>
      </c>
      <c r="Q374" s="12">
        <f t="shared" ref="Q374:Z383" ca="1" si="49">INDEX(histrets,$N374,Q$1)</f>
        <v>4.8583333333333333E-5</v>
      </c>
      <c r="R374" s="12">
        <f t="shared" ca="1" si="49"/>
        <v>1.5009428290868598E-4</v>
      </c>
      <c r="S374" s="12">
        <f t="shared" ca="1" si="49"/>
        <v>4.1806629045537669E-4</v>
      </c>
      <c r="T374" s="12">
        <f t="shared" ca="1" si="49"/>
        <v>5.7198793586965557E-4</v>
      </c>
      <c r="U374" s="12">
        <f t="shared" ca="1" si="49"/>
        <v>-1.1228896488291951E-2</v>
      </c>
      <c r="V374" s="12">
        <f t="shared" ca="1" si="49"/>
        <v>-2.711704697170525E-3</v>
      </c>
      <c r="W374" s="12">
        <f t="shared" ca="1" si="49"/>
        <v>-1.2198864959817701E-2</v>
      </c>
      <c r="X374" s="12">
        <f t="shared" ca="1" si="49"/>
        <v>-1.1136640158463607E-2</v>
      </c>
      <c r="Y374" s="12">
        <f t="shared" ca="1" si="49"/>
        <v>-1.0538876745327164E-2</v>
      </c>
      <c r="Z374" s="12">
        <f t="shared" ca="1" si="49"/>
        <v>-2.6712530816072722E-2</v>
      </c>
    </row>
    <row r="375" spans="13:26">
      <c r="M375" s="13">
        <v>372</v>
      </c>
      <c r="N375" s="15">
        <f t="shared" ca="1" si="42"/>
        <v>114</v>
      </c>
      <c r="O375" s="13">
        <v>372</v>
      </c>
      <c r="P375" s="19">
        <f t="shared" ca="1" si="43"/>
        <v>44680</v>
      </c>
      <c r="Q375" s="12">
        <f t="shared" ca="1" si="49"/>
        <v>4.0183333333333336E-4</v>
      </c>
      <c r="R375" s="12">
        <f t="shared" ca="1" si="49"/>
        <v>-4.7505397231347724E-3</v>
      </c>
      <c r="S375" s="12">
        <f t="shared" ca="1" si="49"/>
        <v>-5.0721410258810495E-3</v>
      </c>
      <c r="T375" s="12">
        <f t="shared" ca="1" si="49"/>
        <v>-7.2898890697563612E-3</v>
      </c>
      <c r="U375" s="12">
        <f t="shared" ca="1" si="49"/>
        <v>-3.2081456896948302E-2</v>
      </c>
      <c r="V375" s="12">
        <f t="shared" ca="1" si="49"/>
        <v>-1.6836959045835598E-2</v>
      </c>
      <c r="W375" s="12">
        <f t="shared" ca="1" si="49"/>
        <v>-4.9716282037125747E-2</v>
      </c>
      <c r="X375" s="12">
        <f t="shared" ca="1" si="49"/>
        <v>-8.7956719149039353E-2</v>
      </c>
      <c r="Y375" s="12">
        <f t="shared" ca="1" si="49"/>
        <v>-8.4324958156871688E-2</v>
      </c>
      <c r="Z375" s="12">
        <f t="shared" ca="1" si="49"/>
        <v>-2.090903460236182E-2</v>
      </c>
    </row>
    <row r="376" spans="13:26">
      <c r="M376" s="13">
        <v>373</v>
      </c>
      <c r="N376" s="15">
        <f t="shared" ca="1" si="42"/>
        <v>77</v>
      </c>
      <c r="O376" s="13">
        <v>373</v>
      </c>
      <c r="P376" s="19">
        <f t="shared" ca="1" si="43"/>
        <v>43553</v>
      </c>
      <c r="Q376" s="12">
        <f t="shared" ca="1" si="49"/>
        <v>2.0271666666666667E-3</v>
      </c>
      <c r="R376" s="12">
        <f t="shared" ca="1" si="49"/>
        <v>6.1140339599461413E-3</v>
      </c>
      <c r="S376" s="12">
        <f t="shared" ca="1" si="49"/>
        <v>5.6005851058500422E-3</v>
      </c>
      <c r="T376" s="12">
        <f t="shared" ca="1" si="49"/>
        <v>7.8061480891151724E-3</v>
      </c>
      <c r="U376" s="12">
        <f t="shared" ca="1" si="49"/>
        <v>1.9871317951636103E-2</v>
      </c>
      <c r="V376" s="12">
        <f t="shared" ca="1" si="49"/>
        <v>1.4119884433976049E-2</v>
      </c>
      <c r="W376" s="12">
        <f t="shared" ca="1" si="49"/>
        <v>2.4897397534795696E-2</v>
      </c>
      <c r="X376" s="12">
        <f t="shared" ca="1" si="49"/>
        <v>1.7924287751078349E-2</v>
      </c>
      <c r="Y376" s="12">
        <f t="shared" ca="1" si="49"/>
        <v>1.0499367161431294E-2</v>
      </c>
      <c r="Z376" s="12">
        <f t="shared" ca="1" si="49"/>
        <v>-1.5944324307860858E-2</v>
      </c>
    </row>
    <row r="377" spans="13:26">
      <c r="M377" s="13">
        <v>374</v>
      </c>
      <c r="N377" s="15">
        <f t="shared" ca="1" si="42"/>
        <v>128</v>
      </c>
      <c r="O377" s="13">
        <v>374</v>
      </c>
      <c r="P377" s="19">
        <f t="shared" ca="1" si="43"/>
        <v>45107</v>
      </c>
      <c r="Q377" s="12">
        <f t="shared" ca="1" si="49"/>
        <v>4.4903333333333332E-3</v>
      </c>
      <c r="R377" s="12">
        <f t="shared" ca="1" si="49"/>
        <v>-4.8445195255588658E-3</v>
      </c>
      <c r="S377" s="12">
        <f t="shared" ca="1" si="49"/>
        <v>-1.3030179964843569E-3</v>
      </c>
      <c r="T377" s="12">
        <f t="shared" ca="1" si="49"/>
        <v>-1.368606954410323E-3</v>
      </c>
      <c r="U377" s="12">
        <f t="shared" ca="1" si="49"/>
        <v>-7.2523719399045783E-3</v>
      </c>
      <c r="V377" s="12">
        <f t="shared" ca="1" si="49"/>
        <v>-2.996004695004828E-3</v>
      </c>
      <c r="W377" s="12">
        <f t="shared" ca="1" si="49"/>
        <v>2.8447957469166507E-3</v>
      </c>
      <c r="X377" s="12">
        <f t="shared" ca="1" si="49"/>
        <v>6.4727512841431301E-2</v>
      </c>
      <c r="Y377" s="12">
        <f t="shared" ca="1" si="49"/>
        <v>5.9330990944668205E-2</v>
      </c>
      <c r="Z377" s="12">
        <f t="shared" ca="1" si="49"/>
        <v>-2.2101868316069972E-2</v>
      </c>
    </row>
    <row r="378" spans="13:26">
      <c r="M378" s="13">
        <v>375</v>
      </c>
      <c r="N378" s="15">
        <f t="shared" ca="1" si="42"/>
        <v>13</v>
      </c>
      <c r="O378" s="13">
        <v>375</v>
      </c>
      <c r="P378" s="19">
        <f t="shared" ca="1" si="43"/>
        <v>41607</v>
      </c>
      <c r="Q378" s="12">
        <f t="shared" ca="1" si="49"/>
        <v>2.9583333333333332E-5</v>
      </c>
      <c r="R378" s="12">
        <f t="shared" ca="1" si="49"/>
        <v>9.3212759439986748E-4</v>
      </c>
      <c r="S378" s="12">
        <f t="shared" ca="1" si="49"/>
        <v>8.90078906265801E-4</v>
      </c>
      <c r="T378" s="12">
        <f t="shared" ca="1" si="49"/>
        <v>2.3709094397157404E-3</v>
      </c>
      <c r="U378" s="12">
        <f t="shared" ca="1" si="49"/>
        <v>-4.2729139111795655E-3</v>
      </c>
      <c r="V378" s="12">
        <f t="shared" ca="1" si="49"/>
        <v>-3.2086298504496735E-4</v>
      </c>
      <c r="W378" s="12">
        <f t="shared" ca="1" si="49"/>
        <v>-2.8776747035942352E-3</v>
      </c>
      <c r="X378" s="12">
        <f t="shared" ca="1" si="49"/>
        <v>2.804946087194149E-2</v>
      </c>
      <c r="Y378" s="12">
        <f t="shared" ca="1" si="49"/>
        <v>1.5946495639045377E-2</v>
      </c>
      <c r="Z378" s="12">
        <f t="shared" ca="1" si="49"/>
        <v>-5.2688464619896291E-2</v>
      </c>
    </row>
    <row r="379" spans="13:26">
      <c r="M379" s="13">
        <v>376</v>
      </c>
      <c r="N379" s="15">
        <f t="shared" ca="1" si="42"/>
        <v>48</v>
      </c>
      <c r="O379" s="13">
        <v>376</v>
      </c>
      <c r="P379" s="19">
        <f t="shared" ca="1" si="43"/>
        <v>42674</v>
      </c>
      <c r="Q379" s="12">
        <f t="shared" ca="1" si="49"/>
        <v>2.2824999999999999E-4</v>
      </c>
      <c r="R379" s="12">
        <f t="shared" ca="1" si="49"/>
        <v>-6.6904014583524241E-4</v>
      </c>
      <c r="S379" s="12">
        <f t="shared" ca="1" si="49"/>
        <v>-8.8476979395957223E-5</v>
      </c>
      <c r="T379" s="12">
        <f t="shared" ca="1" si="49"/>
        <v>4.7436962881475253E-4</v>
      </c>
      <c r="U379" s="12">
        <f t="shared" ca="1" si="49"/>
        <v>-1.151288919576221E-2</v>
      </c>
      <c r="V379" s="12">
        <f t="shared" ca="1" si="49"/>
        <v>-4.5227010929861367E-3</v>
      </c>
      <c r="W379" s="12">
        <f t="shared" ca="1" si="49"/>
        <v>-8.2772866137545975E-3</v>
      </c>
      <c r="X379" s="12">
        <f t="shared" ca="1" si="49"/>
        <v>-1.9425625037472249E-2</v>
      </c>
      <c r="Y379" s="12">
        <f t="shared" ca="1" si="49"/>
        <v>-2.0137106167459562E-2</v>
      </c>
      <c r="Z379" s="12">
        <f t="shared" ca="1" si="49"/>
        <v>-2.9379801956120222E-2</v>
      </c>
    </row>
    <row r="380" spans="13:26">
      <c r="M380" s="13">
        <v>377</v>
      </c>
      <c r="N380" s="15">
        <f t="shared" ca="1" si="42"/>
        <v>71</v>
      </c>
      <c r="O380" s="13">
        <v>377</v>
      </c>
      <c r="P380" s="19">
        <f t="shared" ca="1" si="43"/>
        <v>43371</v>
      </c>
      <c r="Q380" s="12">
        <f t="shared" ca="1" si="49"/>
        <v>1.7448333333333333E-3</v>
      </c>
      <c r="R380" s="12">
        <f t="shared" ca="1" si="49"/>
        <v>-1.1835258660558567E-3</v>
      </c>
      <c r="S380" s="12">
        <f t="shared" ca="1" si="49"/>
        <v>-4.2991823722560163E-4</v>
      </c>
      <c r="T380" s="12">
        <f t="shared" ca="1" si="49"/>
        <v>7.3272870514529131E-4</v>
      </c>
      <c r="U380" s="12">
        <f t="shared" ca="1" si="49"/>
        <v>-9.780070004711594E-3</v>
      </c>
      <c r="V380" s="12">
        <f t="shared" ca="1" si="49"/>
        <v>-4.0927431544552917E-3</v>
      </c>
      <c r="W380" s="12">
        <f t="shared" ca="1" si="49"/>
        <v>-3.2512414993325356E-3</v>
      </c>
      <c r="X380" s="12">
        <f t="shared" ca="1" si="49"/>
        <v>4.2943009181395375E-3</v>
      </c>
      <c r="Y380" s="12">
        <f t="shared" ca="1" si="49"/>
        <v>3.9117444265686085E-3</v>
      </c>
      <c r="Z380" s="12">
        <f t="shared" ca="1" si="49"/>
        <v>-8.5501394496940719E-3</v>
      </c>
    </row>
    <row r="381" spans="13:26">
      <c r="M381" s="13">
        <v>378</v>
      </c>
      <c r="N381" s="15">
        <f t="shared" ca="1" si="42"/>
        <v>104</v>
      </c>
      <c r="O381" s="13">
        <v>378</v>
      </c>
      <c r="P381" s="19">
        <f t="shared" ca="1" si="43"/>
        <v>44377</v>
      </c>
      <c r="Q381" s="12">
        <f t="shared" ca="1" si="49"/>
        <v>2.0833333333333334E-6</v>
      </c>
      <c r="R381" s="12">
        <f t="shared" ca="1" si="49"/>
        <v>-1.5448288492249107E-3</v>
      </c>
      <c r="S381" s="12">
        <f t="shared" ca="1" si="49"/>
        <v>-1.1198469033213421E-3</v>
      </c>
      <c r="T381" s="12">
        <f t="shared" ca="1" si="49"/>
        <v>-7.9920048341874939E-4</v>
      </c>
      <c r="U381" s="12">
        <f t="shared" ca="1" si="49"/>
        <v>8.6882529944476428E-3</v>
      </c>
      <c r="V381" s="12">
        <f t="shared" ca="1" si="49"/>
        <v>2.6803411128408783E-3</v>
      </c>
      <c r="W381" s="12">
        <f t="shared" ca="1" si="49"/>
        <v>1.6647095909956722E-2</v>
      </c>
      <c r="X381" s="12">
        <f t="shared" ca="1" si="49"/>
        <v>2.221397632316946E-2</v>
      </c>
      <c r="Y381" s="12">
        <f t="shared" ca="1" si="49"/>
        <v>1.3956380011425962E-2</v>
      </c>
      <c r="Z381" s="12">
        <f t="shared" ca="1" si="49"/>
        <v>-7.171962430579959E-2</v>
      </c>
    </row>
    <row r="382" spans="13:26">
      <c r="M382" s="13">
        <v>379</v>
      </c>
      <c r="N382" s="15">
        <f t="shared" ca="1" si="42"/>
        <v>89</v>
      </c>
      <c r="O382" s="13">
        <v>379</v>
      </c>
      <c r="P382" s="19">
        <f t="shared" ca="1" si="43"/>
        <v>43921</v>
      </c>
      <c r="Q382" s="12">
        <f t="shared" ca="1" si="49"/>
        <v>1.0558333333333333E-3</v>
      </c>
      <c r="R382" s="12">
        <f t="shared" ca="1" si="49"/>
        <v>1.3718685826674903E-2</v>
      </c>
      <c r="S382" s="12">
        <f t="shared" ca="1" si="49"/>
        <v>8.1095810185372041E-3</v>
      </c>
      <c r="T382" s="12">
        <f t="shared" ca="1" si="49"/>
        <v>-2.7939758182719765E-2</v>
      </c>
      <c r="U382" s="12">
        <f t="shared" ca="1" si="49"/>
        <v>3.2641882382009157E-2</v>
      </c>
      <c r="V382" s="12">
        <f t="shared" ca="1" si="49"/>
        <v>9.480625065106052E-3</v>
      </c>
      <c r="W382" s="12">
        <f t="shared" ca="1" si="49"/>
        <v>-7.4740274503774518E-2</v>
      </c>
      <c r="X382" s="12">
        <f t="shared" ca="1" si="49"/>
        <v>-0.12511932083595656</v>
      </c>
      <c r="Y382" s="12">
        <f t="shared" ca="1" si="49"/>
        <v>-0.13469118965774918</v>
      </c>
      <c r="Z382" s="12">
        <f t="shared" ca="1" si="49"/>
        <v>-5.366748860117676E-3</v>
      </c>
    </row>
    <row r="383" spans="13:26">
      <c r="M383" s="13">
        <v>380</v>
      </c>
      <c r="N383" s="15">
        <f t="shared" ca="1" si="42"/>
        <v>70</v>
      </c>
      <c r="O383" s="13">
        <v>380</v>
      </c>
      <c r="P383" s="19">
        <f t="shared" ca="1" si="43"/>
        <v>43343</v>
      </c>
      <c r="Q383" s="12">
        <f t="shared" ca="1" si="49"/>
        <v>1.6835833333333336E-3</v>
      </c>
      <c r="R383" s="12">
        <f t="shared" ca="1" si="49"/>
        <v>3.1818045634115499E-3</v>
      </c>
      <c r="S383" s="12">
        <f t="shared" ca="1" si="49"/>
        <v>3.2210243328749666E-3</v>
      </c>
      <c r="T383" s="12">
        <f t="shared" ca="1" si="49"/>
        <v>4.1414643219559455E-3</v>
      </c>
      <c r="U383" s="12">
        <f t="shared" ca="1" si="49"/>
        <v>7.8100533909761793E-3</v>
      </c>
      <c r="V383" s="12">
        <f t="shared" ca="1" si="49"/>
        <v>5.6560103378373583E-3</v>
      </c>
      <c r="W383" s="12">
        <f t="shared" ca="1" si="49"/>
        <v>5.4391709754060269E-3</v>
      </c>
      <c r="X383" s="12">
        <f t="shared" ca="1" si="49"/>
        <v>3.0263218631604083E-2</v>
      </c>
      <c r="Y383" s="12">
        <f t="shared" ca="1" si="49"/>
        <v>1.0403604105708064E-2</v>
      </c>
      <c r="Z383" s="12">
        <f t="shared" ca="1" si="49"/>
        <v>-1.8788547155168867E-2</v>
      </c>
    </row>
    <row r="384" spans="13:26">
      <c r="M384" s="13">
        <v>381</v>
      </c>
      <c r="N384" s="15">
        <f t="shared" ca="1" si="42"/>
        <v>8</v>
      </c>
      <c r="O384" s="13">
        <v>381</v>
      </c>
      <c r="P384" s="19">
        <f t="shared" ca="1" si="43"/>
        <v>41453</v>
      </c>
      <c r="Q384" s="12">
        <f t="shared" ref="Q384:Z393" ca="1" si="50">INDEX(histrets,$N384,Q$1)</f>
        <v>2.1083333333333332E-5</v>
      </c>
      <c r="R384" s="12">
        <f t="shared" ca="1" si="50"/>
        <v>-7.0885763849148908E-4</v>
      </c>
      <c r="S384" s="12">
        <f t="shared" ca="1" si="50"/>
        <v>-1.0936482084691335E-3</v>
      </c>
      <c r="T384" s="12">
        <f t="shared" ca="1" si="50"/>
        <v>-4.1132390946674313E-3</v>
      </c>
      <c r="U384" s="12">
        <f t="shared" ca="1" si="50"/>
        <v>-1.2550513797482843E-2</v>
      </c>
      <c r="V384" s="12">
        <f t="shared" ca="1" si="50"/>
        <v>-1.3296303543348209E-2</v>
      </c>
      <c r="W384" s="12">
        <f t="shared" ca="1" si="50"/>
        <v>-2.759722730309111E-2</v>
      </c>
      <c r="X384" s="12">
        <f t="shared" ca="1" si="50"/>
        <v>-1.499932545960736E-2</v>
      </c>
      <c r="Y384" s="12">
        <f t="shared" ca="1" si="50"/>
        <v>-2.6074609526268278E-2</v>
      </c>
      <c r="Z384" s="12">
        <f t="shared" ca="1" si="50"/>
        <v>-0.11044098573281447</v>
      </c>
    </row>
    <row r="385" spans="13:26">
      <c r="M385" s="13">
        <v>382</v>
      </c>
      <c r="N385" s="15">
        <f t="shared" ca="1" si="42"/>
        <v>6</v>
      </c>
      <c r="O385" s="13">
        <v>382</v>
      </c>
      <c r="P385" s="19">
        <f t="shared" ca="1" si="43"/>
        <v>41394</v>
      </c>
      <c r="Q385" s="12">
        <f t="shared" ca="1" si="50"/>
        <v>5.9166666666666664E-5</v>
      </c>
      <c r="R385" s="12">
        <f t="shared" ca="1" si="50"/>
        <v>1.0131070170205092E-3</v>
      </c>
      <c r="S385" s="12">
        <f t="shared" ca="1" si="50"/>
        <v>9.6550477745749319E-4</v>
      </c>
      <c r="T385" s="12">
        <f t="shared" ca="1" si="50"/>
        <v>3.0608544003447591E-3</v>
      </c>
      <c r="U385" s="12">
        <f t="shared" ca="1" si="50"/>
        <v>1.0531370167573773E-2</v>
      </c>
      <c r="V385" s="12">
        <f t="shared" ca="1" si="50"/>
        <v>4.8167506583127739E-3</v>
      </c>
      <c r="W385" s="12">
        <f t="shared" ca="1" si="50"/>
        <v>1.699892524977531E-2</v>
      </c>
      <c r="X385" s="12">
        <f t="shared" ca="1" si="50"/>
        <v>1.8085763992887971E-2</v>
      </c>
      <c r="Y385" s="12">
        <f t="shared" ca="1" si="50"/>
        <v>2.9020362353695761E-2</v>
      </c>
      <c r="Z385" s="12">
        <f t="shared" ca="1" si="50"/>
        <v>-7.5611893583724554E-2</v>
      </c>
    </row>
    <row r="386" spans="13:26">
      <c r="M386" s="13">
        <v>383</v>
      </c>
      <c r="N386" s="15">
        <f t="shared" ca="1" si="42"/>
        <v>69</v>
      </c>
      <c r="O386" s="13">
        <v>383</v>
      </c>
      <c r="P386" s="19">
        <f t="shared" ca="1" si="43"/>
        <v>43312</v>
      </c>
      <c r="Q386" s="12">
        <f t="shared" ca="1" si="50"/>
        <v>1.5935833333333334E-3</v>
      </c>
      <c r="R386" s="12">
        <f t="shared" ca="1" si="50"/>
        <v>-4.6222627003156269E-5</v>
      </c>
      <c r="S386" s="12">
        <f t="shared" ca="1" si="50"/>
        <v>4.2441252268443641E-4</v>
      </c>
      <c r="T386" s="12">
        <f t="shared" ca="1" si="50"/>
        <v>2.3251080399415702E-3</v>
      </c>
      <c r="U386" s="12">
        <f t="shared" ca="1" si="50"/>
        <v>-4.5336258171457811E-3</v>
      </c>
      <c r="V386" s="12">
        <f t="shared" ca="1" si="50"/>
        <v>-1.6762821090071656E-3</v>
      </c>
      <c r="W386" s="12">
        <f t="shared" ca="1" si="50"/>
        <v>7.4082404125315193E-3</v>
      </c>
      <c r="X386" s="12">
        <f t="shared" ca="1" si="50"/>
        <v>3.6021586465418753E-2</v>
      </c>
      <c r="Y386" s="12">
        <f t="shared" ca="1" si="50"/>
        <v>3.0536543339874545E-2</v>
      </c>
      <c r="Z386" s="12">
        <f t="shared" ca="1" si="50"/>
        <v>-2.2712757464473765E-2</v>
      </c>
    </row>
    <row r="387" spans="13:26">
      <c r="M387" s="13">
        <v>384</v>
      </c>
      <c r="N387" s="15">
        <f t="shared" ca="1" si="42"/>
        <v>129</v>
      </c>
      <c r="O387" s="13">
        <v>384</v>
      </c>
      <c r="P387" s="19">
        <f t="shared" ca="1" si="43"/>
        <v>45138</v>
      </c>
      <c r="Q387" s="12">
        <f t="shared" ca="1" si="50"/>
        <v>4.4029999999999998E-3</v>
      </c>
      <c r="R387" s="12">
        <f t="shared" ca="1" si="50"/>
        <v>3.5600351757603121E-3</v>
      </c>
      <c r="S387" s="12">
        <f t="shared" ca="1" si="50"/>
        <v>3.4279797877487805E-3</v>
      </c>
      <c r="T387" s="12">
        <f t="shared" ca="1" si="50"/>
        <v>6.7704229871852206E-3</v>
      </c>
      <c r="U387" s="12">
        <f t="shared" ca="1" si="50"/>
        <v>-3.9619306898106554E-3</v>
      </c>
      <c r="V387" s="12">
        <f t="shared" ca="1" si="50"/>
        <v>2.6690047401789485E-4</v>
      </c>
      <c r="W387" s="12">
        <f t="shared" ca="1" si="50"/>
        <v>4.3345170855186854E-3</v>
      </c>
      <c r="X387" s="12">
        <f t="shared" ca="1" si="50"/>
        <v>3.1138913980379268E-2</v>
      </c>
      <c r="Y387" s="12">
        <f t="shared" ca="1" si="50"/>
        <v>3.2891543522813205E-2</v>
      </c>
      <c r="Z387" s="12">
        <f t="shared" ca="1" si="50"/>
        <v>2.3830984447859915E-2</v>
      </c>
    </row>
    <row r="388" spans="13:26">
      <c r="M388" s="13">
        <v>385</v>
      </c>
      <c r="N388" s="15">
        <f t="shared" ref="N388:N451" ca="1" si="51">RANDBETWEEN(1,numobs)</f>
        <v>27</v>
      </c>
      <c r="O388" s="13">
        <v>385</v>
      </c>
      <c r="P388" s="19">
        <f t="shared" ref="P388:P451" ca="1" si="52">INDEX(histdates,N388,1)</f>
        <v>42034</v>
      </c>
      <c r="Q388" s="12">
        <f t="shared" ca="1" si="50"/>
        <v>2.9583333333333332E-5</v>
      </c>
      <c r="R388" s="12">
        <f t="shared" ca="1" si="50"/>
        <v>5.0476709937821163E-3</v>
      </c>
      <c r="S388" s="12">
        <f t="shared" ca="1" si="50"/>
        <v>4.7418152513347689E-3</v>
      </c>
      <c r="T388" s="12">
        <f t="shared" ca="1" si="50"/>
        <v>5.3760262092170663E-3</v>
      </c>
      <c r="U388" s="12">
        <f t="shared" ca="1" si="50"/>
        <v>2.8827648147808693E-2</v>
      </c>
      <c r="V388" s="12">
        <f t="shared" ca="1" si="50"/>
        <v>1.6872581482044735E-2</v>
      </c>
      <c r="W388" s="12">
        <f t="shared" ca="1" si="50"/>
        <v>2.7403604776210955E-2</v>
      </c>
      <c r="X388" s="12">
        <f t="shared" ca="1" si="50"/>
        <v>-3.1040847054252363E-2</v>
      </c>
      <c r="Y388" s="12">
        <f t="shared" ca="1" si="50"/>
        <v>-1.8793100422888731E-2</v>
      </c>
      <c r="Z388" s="12">
        <f t="shared" ca="1" si="50"/>
        <v>8.3943362293877888E-2</v>
      </c>
    </row>
    <row r="389" spans="13:26">
      <c r="M389" s="13">
        <v>386</v>
      </c>
      <c r="N389" s="15">
        <f t="shared" ca="1" si="51"/>
        <v>68</v>
      </c>
      <c r="O389" s="13">
        <v>386</v>
      </c>
      <c r="P389" s="19">
        <f t="shared" ca="1" si="52"/>
        <v>43280</v>
      </c>
      <c r="Q389" s="12">
        <f t="shared" ca="1" si="50"/>
        <v>1.5788333333333333E-3</v>
      </c>
      <c r="R389" s="12">
        <f t="shared" ca="1" si="50"/>
        <v>1.5495540537546759E-4</v>
      </c>
      <c r="S389" s="12">
        <f t="shared" ca="1" si="50"/>
        <v>1.7922851557128361E-4</v>
      </c>
      <c r="T389" s="12">
        <f t="shared" ca="1" si="50"/>
        <v>-1.5929184744356562E-5</v>
      </c>
      <c r="U389" s="12">
        <f t="shared" ca="1" si="50"/>
        <v>2.8901898968847206E-4</v>
      </c>
      <c r="V389" s="12">
        <f t="shared" ca="1" si="50"/>
        <v>-4.5804946934258073E-4</v>
      </c>
      <c r="W389" s="12">
        <f t="shared" ca="1" si="50"/>
        <v>-5.3952132169493572E-3</v>
      </c>
      <c r="X389" s="12">
        <f t="shared" ca="1" si="50"/>
        <v>4.8424002040461378E-3</v>
      </c>
      <c r="Y389" s="12">
        <f t="shared" ca="1" si="50"/>
        <v>-1.7296408845057787E-3</v>
      </c>
      <c r="Z389" s="12">
        <f t="shared" ca="1" si="50"/>
        <v>-3.5355907925237462E-2</v>
      </c>
    </row>
    <row r="390" spans="13:26">
      <c r="M390" s="13">
        <v>387</v>
      </c>
      <c r="N390" s="15">
        <f t="shared" ca="1" si="51"/>
        <v>16</v>
      </c>
      <c r="O390" s="13">
        <v>387</v>
      </c>
      <c r="P390" s="19">
        <f t="shared" ca="1" si="52"/>
        <v>41698</v>
      </c>
      <c r="Q390" s="12">
        <f t="shared" ca="1" si="50"/>
        <v>1.6916666666666667E-5</v>
      </c>
      <c r="R390" s="12">
        <f t="shared" ca="1" si="50"/>
        <v>9.038801092022819E-4</v>
      </c>
      <c r="S390" s="12">
        <f t="shared" ca="1" si="50"/>
        <v>8.8386385418104396E-4</v>
      </c>
      <c r="T390" s="12">
        <f t="shared" ca="1" si="50"/>
        <v>2.6635238508452286E-3</v>
      </c>
      <c r="U390" s="12">
        <f t="shared" ca="1" si="50"/>
        <v>3.1205105942291311E-3</v>
      </c>
      <c r="V390" s="12">
        <f t="shared" ca="1" si="50"/>
        <v>2.7924214282957216E-3</v>
      </c>
      <c r="W390" s="12">
        <f t="shared" ca="1" si="50"/>
        <v>1.0973285355480922E-2</v>
      </c>
      <c r="X390" s="12">
        <f t="shared" ca="1" si="50"/>
        <v>4.3117037568930705E-2</v>
      </c>
      <c r="Y390" s="12">
        <f t="shared" ca="1" si="50"/>
        <v>4.8133828810229984E-2</v>
      </c>
      <c r="Z390" s="12">
        <f t="shared" ca="1" si="50"/>
        <v>6.5758707966734997E-2</v>
      </c>
    </row>
    <row r="391" spans="13:26">
      <c r="M391" s="13">
        <v>388</v>
      </c>
      <c r="N391" s="15">
        <f t="shared" ca="1" si="51"/>
        <v>99</v>
      </c>
      <c r="O391" s="13">
        <v>388</v>
      </c>
      <c r="P391" s="19">
        <f t="shared" ca="1" si="52"/>
        <v>44225</v>
      </c>
      <c r="Q391" s="12">
        <f t="shared" ca="1" si="50"/>
        <v>4.8583333333333333E-5</v>
      </c>
      <c r="R391" s="12">
        <f t="shared" ca="1" si="50"/>
        <v>1.5009428290868598E-4</v>
      </c>
      <c r="S391" s="12">
        <f t="shared" ca="1" si="50"/>
        <v>4.1806629045537669E-4</v>
      </c>
      <c r="T391" s="12">
        <f t="shared" ca="1" si="50"/>
        <v>5.7198793586965557E-4</v>
      </c>
      <c r="U391" s="12">
        <f t="shared" ca="1" si="50"/>
        <v>-1.1228896488291951E-2</v>
      </c>
      <c r="V391" s="12">
        <f t="shared" ca="1" si="50"/>
        <v>-2.711704697170525E-3</v>
      </c>
      <c r="W391" s="12">
        <f t="shared" ca="1" si="50"/>
        <v>-1.2198864959817701E-2</v>
      </c>
      <c r="X391" s="12">
        <f t="shared" ca="1" si="50"/>
        <v>-1.1136640158463607E-2</v>
      </c>
      <c r="Y391" s="12">
        <f t="shared" ca="1" si="50"/>
        <v>-1.0538876745327164E-2</v>
      </c>
      <c r="Z391" s="12">
        <f t="shared" ca="1" si="50"/>
        <v>-2.6712530816072722E-2</v>
      </c>
    </row>
    <row r="392" spans="13:26">
      <c r="M392" s="13">
        <v>389</v>
      </c>
      <c r="N392" s="15">
        <f t="shared" ca="1" si="51"/>
        <v>56</v>
      </c>
      <c r="O392" s="13">
        <v>389</v>
      </c>
      <c r="P392" s="19">
        <f t="shared" ca="1" si="52"/>
        <v>42916</v>
      </c>
      <c r="Q392" s="12">
        <f t="shared" ca="1" si="50"/>
        <v>8.0883333333333339E-4</v>
      </c>
      <c r="R392" s="12">
        <f t="shared" ca="1" si="50"/>
        <v>-8.0204131069117057E-4</v>
      </c>
      <c r="S392" s="12">
        <f t="shared" ca="1" si="50"/>
        <v>-2.4903126051567526E-4</v>
      </c>
      <c r="T392" s="12">
        <f t="shared" ca="1" si="50"/>
        <v>6.9842322783286725E-4</v>
      </c>
      <c r="U392" s="12">
        <f t="shared" ca="1" si="50"/>
        <v>-1.4999198156073756E-3</v>
      </c>
      <c r="V392" s="12">
        <f t="shared" ca="1" si="50"/>
        <v>-6.063772226055919E-4</v>
      </c>
      <c r="W392" s="12">
        <f t="shared" ca="1" si="50"/>
        <v>2.4540228281686449E-3</v>
      </c>
      <c r="X392" s="12">
        <f t="shared" ca="1" si="50"/>
        <v>4.8138319927024664E-3</v>
      </c>
      <c r="Y392" s="12">
        <f t="shared" ca="1" si="50"/>
        <v>2.4532624729305397E-3</v>
      </c>
      <c r="Z392" s="12">
        <f t="shared" ca="1" si="50"/>
        <v>-2.152223938467368E-2</v>
      </c>
    </row>
    <row r="393" spans="13:26">
      <c r="M393" s="13">
        <v>390</v>
      </c>
      <c r="N393" s="15">
        <f t="shared" ca="1" si="51"/>
        <v>10</v>
      </c>
      <c r="O393" s="13">
        <v>390</v>
      </c>
      <c r="P393" s="19">
        <f t="shared" ca="1" si="52"/>
        <v>41516</v>
      </c>
      <c r="Q393" s="12">
        <f t="shared" ca="1" si="50"/>
        <v>2.9583333333333332E-5</v>
      </c>
      <c r="R393" s="12">
        <f t="shared" ca="1" si="50"/>
        <v>-9.1058735963966964E-4</v>
      </c>
      <c r="S393" s="12">
        <f t="shared" ca="1" si="50"/>
        <v>-6.2995509738672517E-4</v>
      </c>
      <c r="T393" s="12">
        <f t="shared" ca="1" si="50"/>
        <v>1.6922798954599472E-4</v>
      </c>
      <c r="U393" s="12">
        <f t="shared" ca="1" si="50"/>
        <v>-5.3898417918450958E-3</v>
      </c>
      <c r="V393" s="12">
        <f t="shared" ca="1" si="50"/>
        <v>-4.2185645750429934E-3</v>
      </c>
      <c r="W393" s="12">
        <f t="shared" ca="1" si="50"/>
        <v>-6.6851475720129949E-3</v>
      </c>
      <c r="X393" s="12">
        <f t="shared" ca="1" si="50"/>
        <v>-3.1298013323604601E-2</v>
      </c>
      <c r="Y393" s="12">
        <f t="shared" ca="1" si="50"/>
        <v>-2.33236731635178E-2</v>
      </c>
      <c r="Z393" s="12">
        <f t="shared" ca="1" si="50"/>
        <v>5.2978333220131901E-2</v>
      </c>
    </row>
    <row r="394" spans="13:26">
      <c r="M394" s="13">
        <v>391</v>
      </c>
      <c r="N394" s="15">
        <f t="shared" ca="1" si="51"/>
        <v>20</v>
      </c>
      <c r="O394" s="13">
        <v>391</v>
      </c>
      <c r="P394" s="19">
        <f t="shared" ca="1" si="52"/>
        <v>41820</v>
      </c>
      <c r="Q394" s="12">
        <f t="shared" ref="Q394:Z403" ca="1" si="53">INDEX(histrets,$N394,Q$1)</f>
        <v>2.5333333333333334E-5</v>
      </c>
      <c r="R394" s="12">
        <f t="shared" ca="1" si="53"/>
        <v>-4.440508980227964E-4</v>
      </c>
      <c r="S394" s="12">
        <f t="shared" ca="1" si="53"/>
        <v>-7.9459610050347518E-4</v>
      </c>
      <c r="T394" s="12">
        <f t="shared" ca="1" si="53"/>
        <v>4.9249367416459577E-4</v>
      </c>
      <c r="U394" s="12">
        <f t="shared" ca="1" si="53"/>
        <v>-1.5609181018162444E-3</v>
      </c>
      <c r="V394" s="12">
        <f t="shared" ca="1" si="53"/>
        <v>-6.5739502465411714E-4</v>
      </c>
      <c r="W394" s="12">
        <f t="shared" ca="1" si="53"/>
        <v>1.6740210267067734E-3</v>
      </c>
      <c r="X394" s="12">
        <f t="shared" ca="1" si="53"/>
        <v>1.9058313448431896E-2</v>
      </c>
      <c r="Y394" s="12">
        <f t="shared" ca="1" si="53"/>
        <v>1.6464744225095806E-2</v>
      </c>
      <c r="Z394" s="12">
        <f t="shared" ca="1" si="53"/>
        <v>6.2135906792138762E-2</v>
      </c>
    </row>
    <row r="395" spans="13:26">
      <c r="M395" s="13">
        <v>392</v>
      </c>
      <c r="N395" s="15">
        <f t="shared" ca="1" si="51"/>
        <v>28</v>
      </c>
      <c r="O395" s="13">
        <v>392</v>
      </c>
      <c r="P395" s="19">
        <f t="shared" ca="1" si="52"/>
        <v>42062</v>
      </c>
      <c r="Q395" s="12">
        <f t="shared" ca="1" si="53"/>
        <v>0</v>
      </c>
      <c r="R395" s="12">
        <f t="shared" ca="1" si="53"/>
        <v>-2.1577567665429509E-3</v>
      </c>
      <c r="S395" s="12">
        <f t="shared" ca="1" si="53"/>
        <v>-1.442941258093966E-3</v>
      </c>
      <c r="T395" s="12">
        <f t="shared" ca="1" si="53"/>
        <v>9.4403804380460699E-4</v>
      </c>
      <c r="U395" s="12">
        <f t="shared" ca="1" si="53"/>
        <v>-1.7481816683666107E-2</v>
      </c>
      <c r="V395" s="12">
        <f t="shared" ca="1" si="53"/>
        <v>-8.9278151648537474E-3</v>
      </c>
      <c r="W395" s="12">
        <f t="shared" ca="1" si="53"/>
        <v>-8.3607142066883799E-3</v>
      </c>
      <c r="X395" s="12">
        <f t="shared" ca="1" si="53"/>
        <v>5.4892505726845675E-2</v>
      </c>
      <c r="Y395" s="12">
        <f t="shared" ca="1" si="53"/>
        <v>5.6821297852808206E-2</v>
      </c>
      <c r="Z395" s="12">
        <f t="shared" ca="1" si="53"/>
        <v>-5.5001207362574744E-2</v>
      </c>
    </row>
    <row r="396" spans="13:26">
      <c r="M396" s="13">
        <v>393</v>
      </c>
      <c r="N396" s="15">
        <f t="shared" ca="1" si="51"/>
        <v>128</v>
      </c>
      <c r="O396" s="13">
        <v>393</v>
      </c>
      <c r="P396" s="19">
        <f t="shared" ca="1" si="52"/>
        <v>45107</v>
      </c>
      <c r="Q396" s="12">
        <f t="shared" ca="1" si="53"/>
        <v>4.4903333333333332E-3</v>
      </c>
      <c r="R396" s="12">
        <f t="shared" ca="1" si="53"/>
        <v>-4.8445195255588658E-3</v>
      </c>
      <c r="S396" s="12">
        <f t="shared" ca="1" si="53"/>
        <v>-1.3030179964843569E-3</v>
      </c>
      <c r="T396" s="12">
        <f t="shared" ca="1" si="53"/>
        <v>-1.368606954410323E-3</v>
      </c>
      <c r="U396" s="12">
        <f t="shared" ca="1" si="53"/>
        <v>-7.2523719399045783E-3</v>
      </c>
      <c r="V396" s="12">
        <f t="shared" ca="1" si="53"/>
        <v>-2.996004695004828E-3</v>
      </c>
      <c r="W396" s="12">
        <f t="shared" ca="1" si="53"/>
        <v>2.8447957469166507E-3</v>
      </c>
      <c r="X396" s="12">
        <f t="shared" ca="1" si="53"/>
        <v>6.4727512841431301E-2</v>
      </c>
      <c r="Y396" s="12">
        <f t="shared" ca="1" si="53"/>
        <v>5.9330990944668205E-2</v>
      </c>
      <c r="Z396" s="12">
        <f t="shared" ca="1" si="53"/>
        <v>-2.2101868316069972E-2</v>
      </c>
    </row>
    <row r="397" spans="13:26">
      <c r="M397" s="13">
        <v>394</v>
      </c>
      <c r="N397" s="15">
        <f t="shared" ca="1" si="51"/>
        <v>100</v>
      </c>
      <c r="O397" s="13">
        <v>394</v>
      </c>
      <c r="P397" s="19">
        <f t="shared" ca="1" si="52"/>
        <v>44253</v>
      </c>
      <c r="Q397" s="12">
        <f t="shared" ca="1" si="53"/>
        <v>4.0166666666666669E-5</v>
      </c>
      <c r="R397" s="12">
        <f t="shared" ca="1" si="53"/>
        <v>-8.032788309566552E-4</v>
      </c>
      <c r="S397" s="12">
        <f t="shared" ca="1" si="53"/>
        <v>-6.6979138910350233E-4</v>
      </c>
      <c r="T397" s="12">
        <f t="shared" ca="1" si="53"/>
        <v>3.9661953240144321E-4</v>
      </c>
      <c r="U397" s="12">
        <f t="shared" ca="1" si="53"/>
        <v>-2.2862166673725981E-2</v>
      </c>
      <c r="V397" s="12">
        <f t="shared" ca="1" si="53"/>
        <v>-9.3254001979963252E-3</v>
      </c>
      <c r="W397" s="12">
        <f t="shared" ca="1" si="53"/>
        <v>-1.9555030410549623E-2</v>
      </c>
      <c r="X397" s="12">
        <f t="shared" ca="1" si="53"/>
        <v>2.6091474971999817E-2</v>
      </c>
      <c r="Y397" s="12">
        <f t="shared" ca="1" si="53"/>
        <v>2.4503229151403794E-2</v>
      </c>
      <c r="Z397" s="12">
        <f t="shared" ca="1" si="53"/>
        <v>-6.1488918355749211E-2</v>
      </c>
    </row>
    <row r="398" spans="13:26">
      <c r="M398" s="13">
        <v>395</v>
      </c>
      <c r="N398" s="15">
        <f t="shared" ca="1" si="51"/>
        <v>43</v>
      </c>
      <c r="O398" s="13">
        <v>395</v>
      </c>
      <c r="P398" s="19">
        <f t="shared" ca="1" si="52"/>
        <v>42521</v>
      </c>
      <c r="Q398" s="12">
        <f t="shared" ca="1" si="53"/>
        <v>1.7374999999999999E-4</v>
      </c>
      <c r="R398" s="12">
        <f t="shared" ca="1" si="53"/>
        <v>-1.0628856830331435E-3</v>
      </c>
      <c r="S398" s="12">
        <f t="shared" ca="1" si="53"/>
        <v>-5.5927657376853013E-4</v>
      </c>
      <c r="T398" s="12">
        <f t="shared" ca="1" si="53"/>
        <v>1.5459070746159931E-4</v>
      </c>
      <c r="U398" s="12">
        <f t="shared" ca="1" si="53"/>
        <v>3.748514902548461E-4</v>
      </c>
      <c r="V398" s="12">
        <f t="shared" ca="1" si="53"/>
        <v>3.9650403269497758E-4</v>
      </c>
      <c r="W398" s="12">
        <f t="shared" ca="1" si="53"/>
        <v>-6.4936379649593867E-4</v>
      </c>
      <c r="X398" s="12">
        <f t="shared" ca="1" si="53"/>
        <v>1.5329492083474561E-2</v>
      </c>
      <c r="Y398" s="12">
        <f t="shared" ca="1" si="53"/>
        <v>2.2803447450323588E-3</v>
      </c>
      <c r="Z398" s="12">
        <f t="shared" ca="1" si="53"/>
        <v>-6.0454724668156157E-2</v>
      </c>
    </row>
    <row r="399" spans="13:26">
      <c r="M399" s="13">
        <v>396</v>
      </c>
      <c r="N399" s="15">
        <f t="shared" ca="1" si="51"/>
        <v>102</v>
      </c>
      <c r="O399" s="13">
        <v>396</v>
      </c>
      <c r="P399" s="19">
        <f t="shared" ca="1" si="52"/>
        <v>44316</v>
      </c>
      <c r="Q399" s="12">
        <f t="shared" ca="1" si="53"/>
        <v>1.2666666666666667E-5</v>
      </c>
      <c r="R399" s="12">
        <f t="shared" ca="1" si="53"/>
        <v>4.5049317147194401E-4</v>
      </c>
      <c r="S399" s="12">
        <f t="shared" ca="1" si="53"/>
        <v>4.0650465731939533E-4</v>
      </c>
      <c r="T399" s="12">
        <f t="shared" ca="1" si="53"/>
        <v>2.0728063989299272E-3</v>
      </c>
      <c r="U399" s="12">
        <f t="shared" ca="1" si="53"/>
        <v>8.4046100400529955E-3</v>
      </c>
      <c r="V399" s="12">
        <f t="shared" ca="1" si="53"/>
        <v>4.3196222963681752E-3</v>
      </c>
      <c r="W399" s="12">
        <f t="shared" ca="1" si="53"/>
        <v>1.1898975953755331E-2</v>
      </c>
      <c r="X399" s="12">
        <f t="shared" ca="1" si="53"/>
        <v>5.242531255584737E-2</v>
      </c>
      <c r="Y399" s="12">
        <f t="shared" ca="1" si="53"/>
        <v>4.5189742860191506E-2</v>
      </c>
      <c r="Z399" s="12">
        <f t="shared" ca="1" si="53"/>
        <v>3.5966294042899527E-2</v>
      </c>
    </row>
    <row r="400" spans="13:26">
      <c r="M400" s="13">
        <v>397</v>
      </c>
      <c r="N400" s="15">
        <f t="shared" ca="1" si="51"/>
        <v>36</v>
      </c>
      <c r="O400" s="13">
        <v>397</v>
      </c>
      <c r="P400" s="19">
        <f t="shared" ca="1" si="52"/>
        <v>42307</v>
      </c>
      <c r="Q400" s="12">
        <f t="shared" ca="1" si="53"/>
        <v>-1.6916666666666667E-5</v>
      </c>
      <c r="R400" s="12">
        <f t="shared" ca="1" si="53"/>
        <v>-9.7742671460165909E-4</v>
      </c>
      <c r="S400" s="12">
        <f t="shared" ca="1" si="53"/>
        <v>-4.927758109271041E-4</v>
      </c>
      <c r="T400" s="12">
        <f t="shared" ca="1" si="53"/>
        <v>1.940190683884957E-3</v>
      </c>
      <c r="U400" s="12">
        <f t="shared" ca="1" si="53"/>
        <v>-3.5650933433152288E-3</v>
      </c>
      <c r="V400" s="12">
        <f t="shared" ca="1" si="53"/>
        <v>-1.3467962852747872E-3</v>
      </c>
      <c r="W400" s="12">
        <f t="shared" ca="1" si="53"/>
        <v>5.3601883874283551E-3</v>
      </c>
      <c r="X400" s="12">
        <f t="shared" ca="1" si="53"/>
        <v>8.2983078389400333E-2</v>
      </c>
      <c r="Y400" s="12">
        <f t="shared" ca="1" si="53"/>
        <v>7.8309901891372435E-2</v>
      </c>
      <c r="Z400" s="12">
        <f t="shared" ca="1" si="53"/>
        <v>2.4231227972629998E-2</v>
      </c>
    </row>
    <row r="401" spans="13:26">
      <c r="M401" s="13">
        <v>398</v>
      </c>
      <c r="N401" s="15">
        <f t="shared" ca="1" si="51"/>
        <v>99</v>
      </c>
      <c r="O401" s="13">
        <v>398</v>
      </c>
      <c r="P401" s="19">
        <f t="shared" ca="1" si="52"/>
        <v>44225</v>
      </c>
      <c r="Q401" s="12">
        <f t="shared" ca="1" si="53"/>
        <v>4.8583333333333333E-5</v>
      </c>
      <c r="R401" s="12">
        <f t="shared" ca="1" si="53"/>
        <v>1.5009428290868598E-4</v>
      </c>
      <c r="S401" s="12">
        <f t="shared" ca="1" si="53"/>
        <v>4.1806629045537669E-4</v>
      </c>
      <c r="T401" s="12">
        <f t="shared" ca="1" si="53"/>
        <v>5.7198793586965557E-4</v>
      </c>
      <c r="U401" s="12">
        <f t="shared" ca="1" si="53"/>
        <v>-1.1228896488291951E-2</v>
      </c>
      <c r="V401" s="12">
        <f t="shared" ca="1" si="53"/>
        <v>-2.711704697170525E-3</v>
      </c>
      <c r="W401" s="12">
        <f t="shared" ca="1" si="53"/>
        <v>-1.2198864959817701E-2</v>
      </c>
      <c r="X401" s="12">
        <f t="shared" ca="1" si="53"/>
        <v>-1.1136640158463607E-2</v>
      </c>
      <c r="Y401" s="12">
        <f t="shared" ca="1" si="53"/>
        <v>-1.0538876745327164E-2</v>
      </c>
      <c r="Z401" s="12">
        <f t="shared" ca="1" si="53"/>
        <v>-2.6712530816072722E-2</v>
      </c>
    </row>
    <row r="402" spans="13:26">
      <c r="M402" s="13">
        <v>399</v>
      </c>
      <c r="N402" s="15">
        <f t="shared" ca="1" si="51"/>
        <v>124</v>
      </c>
      <c r="O402" s="13">
        <v>399</v>
      </c>
      <c r="P402" s="19">
        <f t="shared" ca="1" si="52"/>
        <v>44985</v>
      </c>
      <c r="Q402" s="12">
        <f t="shared" ca="1" si="53"/>
        <v>3.8679166666666666E-3</v>
      </c>
      <c r="R402" s="12">
        <f t="shared" ca="1" si="53"/>
        <v>-7.2206895930521098E-3</v>
      </c>
      <c r="S402" s="12">
        <f t="shared" ca="1" si="53"/>
        <v>-7.9186561366191288E-3</v>
      </c>
      <c r="T402" s="12">
        <f t="shared" ca="1" si="53"/>
        <v>-6.3179141658825655E-3</v>
      </c>
      <c r="U402" s="12">
        <f t="shared" ca="1" si="53"/>
        <v>-2.4088299362497012E-2</v>
      </c>
      <c r="V402" s="12">
        <f t="shared" ca="1" si="53"/>
        <v>-1.5144791597230811E-2</v>
      </c>
      <c r="W402" s="12">
        <f t="shared" ca="1" si="53"/>
        <v>-2.9128853320997239E-2</v>
      </c>
      <c r="X402" s="12">
        <f t="shared" ca="1" si="53"/>
        <v>-2.6112446646715304E-2</v>
      </c>
      <c r="Y402" s="12">
        <f t="shared" ca="1" si="53"/>
        <v>-2.5289048473967624E-2</v>
      </c>
      <c r="Z402" s="12">
        <f t="shared" ca="1" si="53"/>
        <v>-5.2604285506855475E-2</v>
      </c>
    </row>
    <row r="403" spans="13:26">
      <c r="M403" s="13">
        <v>400</v>
      </c>
      <c r="N403" s="15">
        <f t="shared" ca="1" si="51"/>
        <v>100</v>
      </c>
      <c r="O403" s="13">
        <v>400</v>
      </c>
      <c r="P403" s="19">
        <f t="shared" ca="1" si="52"/>
        <v>44253</v>
      </c>
      <c r="Q403" s="12">
        <f t="shared" ca="1" si="53"/>
        <v>4.0166666666666669E-5</v>
      </c>
      <c r="R403" s="12">
        <f t="shared" ca="1" si="53"/>
        <v>-8.032788309566552E-4</v>
      </c>
      <c r="S403" s="12">
        <f t="shared" ca="1" si="53"/>
        <v>-6.6979138910350233E-4</v>
      </c>
      <c r="T403" s="12">
        <f t="shared" ca="1" si="53"/>
        <v>3.9661953240144321E-4</v>
      </c>
      <c r="U403" s="12">
        <f t="shared" ca="1" si="53"/>
        <v>-2.2862166673725981E-2</v>
      </c>
      <c r="V403" s="12">
        <f t="shared" ca="1" si="53"/>
        <v>-9.3254001979963252E-3</v>
      </c>
      <c r="W403" s="12">
        <f t="shared" ca="1" si="53"/>
        <v>-1.9555030410549623E-2</v>
      </c>
      <c r="X403" s="12">
        <f t="shared" ca="1" si="53"/>
        <v>2.6091474971999817E-2</v>
      </c>
      <c r="Y403" s="12">
        <f t="shared" ca="1" si="53"/>
        <v>2.4503229151403794E-2</v>
      </c>
      <c r="Z403" s="12">
        <f t="shared" ca="1" si="53"/>
        <v>-6.1488918355749211E-2</v>
      </c>
    </row>
    <row r="404" spans="13:26">
      <c r="M404" s="13">
        <v>401</v>
      </c>
      <c r="N404" s="15">
        <f t="shared" ca="1" si="51"/>
        <v>46</v>
      </c>
      <c r="O404" s="13">
        <v>401</v>
      </c>
      <c r="P404" s="19">
        <f t="shared" ca="1" si="52"/>
        <v>42613</v>
      </c>
      <c r="Q404" s="12">
        <f t="shared" ref="Q404:Z413" ca="1" si="54">INDEX(histrets,$N404,Q$1)</f>
        <v>2.1133333333333334E-4</v>
      </c>
      <c r="R404" s="12">
        <f t="shared" ca="1" si="54"/>
        <v>-1.6602050811351798E-3</v>
      </c>
      <c r="S404" s="12">
        <f t="shared" ca="1" si="54"/>
        <v>-8.8058716350547517E-4</v>
      </c>
      <c r="T404" s="12">
        <f t="shared" ca="1" si="54"/>
        <v>3.1979744558774392E-4</v>
      </c>
      <c r="U404" s="12">
        <f t="shared" ca="1" si="54"/>
        <v>-5.7267215803793459E-3</v>
      </c>
      <c r="V404" s="12">
        <f t="shared" ca="1" si="54"/>
        <v>-1.9741681522077448E-3</v>
      </c>
      <c r="W404" s="12">
        <f t="shared" ca="1" si="54"/>
        <v>2.7415164014816806E-3</v>
      </c>
      <c r="X404" s="12">
        <f t="shared" ca="1" si="54"/>
        <v>-1.2191755612808164E-3</v>
      </c>
      <c r="Y404" s="12">
        <f t="shared" ca="1" si="54"/>
        <v>-1.3183953908432189E-3</v>
      </c>
      <c r="Z404" s="12">
        <f t="shared" ca="1" si="54"/>
        <v>-3.1311053223610164E-2</v>
      </c>
    </row>
    <row r="405" spans="13:26">
      <c r="M405" s="13">
        <v>402</v>
      </c>
      <c r="N405" s="15">
        <f t="shared" ca="1" si="51"/>
        <v>33</v>
      </c>
      <c r="O405" s="13">
        <v>402</v>
      </c>
      <c r="P405" s="19">
        <f t="shared" ca="1" si="52"/>
        <v>42216</v>
      </c>
      <c r="Q405" s="12">
        <f t="shared" ca="1" si="54"/>
        <v>4.25E-6</v>
      </c>
      <c r="R405" s="12">
        <f t="shared" ca="1" si="54"/>
        <v>5.2014702822655856E-4</v>
      </c>
      <c r="S405" s="12">
        <f t="shared" ca="1" si="54"/>
        <v>7.2024084853961057E-4</v>
      </c>
      <c r="T405" s="12">
        <f t="shared" ca="1" si="54"/>
        <v>6.1151748804388895E-4</v>
      </c>
      <c r="U405" s="12">
        <f t="shared" ca="1" si="54"/>
        <v>9.3933699796231451E-3</v>
      </c>
      <c r="V405" s="12">
        <f t="shared" ca="1" si="54"/>
        <v>4.2111615459292651E-3</v>
      </c>
      <c r="W405" s="12">
        <f t="shared" ca="1" si="54"/>
        <v>5.3891014886802147E-3</v>
      </c>
      <c r="X405" s="12">
        <f t="shared" ca="1" si="54"/>
        <v>1.9742039930008559E-2</v>
      </c>
      <c r="Y405" s="12">
        <f t="shared" ca="1" si="54"/>
        <v>1.7279227476218795E-2</v>
      </c>
      <c r="Z405" s="12">
        <f t="shared" ca="1" si="54"/>
        <v>-6.5296199940290789E-2</v>
      </c>
    </row>
    <row r="406" spans="13:26">
      <c r="M406" s="13">
        <v>403</v>
      </c>
      <c r="N406" s="15">
        <f t="shared" ca="1" si="51"/>
        <v>108</v>
      </c>
      <c r="O406" s="13">
        <v>403</v>
      </c>
      <c r="P406" s="19">
        <f t="shared" ca="1" si="52"/>
        <v>44498</v>
      </c>
      <c r="Q406" s="12">
        <f t="shared" ca="1" si="54"/>
        <v>2.7500000000000001E-5</v>
      </c>
      <c r="R406" s="12">
        <f t="shared" ca="1" si="54"/>
        <v>-3.0397106151245357E-3</v>
      </c>
      <c r="S406" s="12">
        <f t="shared" ca="1" si="54"/>
        <v>-2.7381247848330403E-3</v>
      </c>
      <c r="T406" s="12">
        <f t="shared" ca="1" si="54"/>
        <v>-3.2666890866690501E-3</v>
      </c>
      <c r="U406" s="12">
        <f t="shared" ca="1" si="54"/>
        <v>3.1127562849819768E-4</v>
      </c>
      <c r="V406" s="12">
        <f t="shared" ca="1" si="54"/>
        <v>-3.2191243321966212E-3</v>
      </c>
      <c r="W406" s="12">
        <f t="shared" ca="1" si="54"/>
        <v>2.4950726425574388E-3</v>
      </c>
      <c r="X406" s="12">
        <f t="shared" ca="1" si="54"/>
        <v>6.9143873301234615E-2</v>
      </c>
      <c r="Y406" s="12">
        <f t="shared" ca="1" si="54"/>
        <v>5.5920308654293871E-2</v>
      </c>
      <c r="Z406" s="12">
        <f t="shared" ca="1" si="54"/>
        <v>1.5043114488175524E-2</v>
      </c>
    </row>
    <row r="407" spans="13:26">
      <c r="M407" s="13">
        <v>404</v>
      </c>
      <c r="N407" s="15">
        <f t="shared" ca="1" si="51"/>
        <v>87</v>
      </c>
      <c r="O407" s="13">
        <v>404</v>
      </c>
      <c r="P407" s="19">
        <f t="shared" ca="1" si="52"/>
        <v>43861</v>
      </c>
      <c r="Q407" s="12">
        <f t="shared" ca="1" si="54"/>
        <v>1.2863333333333333E-3</v>
      </c>
      <c r="R407" s="12">
        <f t="shared" ca="1" si="54"/>
        <v>5.4097992135349049E-3</v>
      </c>
      <c r="S407" s="12">
        <f t="shared" ca="1" si="54"/>
        <v>4.2842005056689114E-3</v>
      </c>
      <c r="T407" s="12">
        <f t="shared" ca="1" si="54"/>
        <v>5.7110103120057154E-3</v>
      </c>
      <c r="U407" s="12">
        <f t="shared" ca="1" si="54"/>
        <v>2.5643424492520994E-2</v>
      </c>
      <c r="V407" s="12">
        <f t="shared" ca="1" si="54"/>
        <v>1.565730710389257E-2</v>
      </c>
      <c r="W407" s="12">
        <f t="shared" ca="1" si="54"/>
        <v>2.3757911224389527E-2</v>
      </c>
      <c r="X407" s="12">
        <f t="shared" ca="1" si="54"/>
        <v>-1.6280898111292741E-3</v>
      </c>
      <c r="Y407" s="12">
        <f t="shared" ca="1" si="54"/>
        <v>-6.8094993788345715E-3</v>
      </c>
      <c r="Z407" s="12">
        <f t="shared" ca="1" si="54"/>
        <v>4.7381151673729915E-2</v>
      </c>
    </row>
    <row r="408" spans="13:26">
      <c r="M408" s="13">
        <v>405</v>
      </c>
      <c r="N408" s="15">
        <f t="shared" ca="1" si="51"/>
        <v>60</v>
      </c>
      <c r="O408" s="13">
        <v>405</v>
      </c>
      <c r="P408" s="19">
        <f t="shared" ca="1" si="52"/>
        <v>43039</v>
      </c>
      <c r="Q408" s="12">
        <f t="shared" ca="1" si="54"/>
        <v>8.6708333333333331E-4</v>
      </c>
      <c r="R408" s="12">
        <f t="shared" ca="1" si="54"/>
        <v>-6.0763206382963286E-4</v>
      </c>
      <c r="S408" s="12">
        <f t="shared" ca="1" si="54"/>
        <v>-2.4603997481442708E-4</v>
      </c>
      <c r="T408" s="12">
        <f t="shared" ca="1" si="54"/>
        <v>8.7847160110299249E-4</v>
      </c>
      <c r="U408" s="12">
        <f t="shared" ca="1" si="54"/>
        <v>-1.0979014398193598E-3</v>
      </c>
      <c r="V408" s="12">
        <f t="shared" ca="1" si="54"/>
        <v>1.9835188819050664E-4</v>
      </c>
      <c r="W408" s="12">
        <f t="shared" ca="1" si="54"/>
        <v>4.0358258169133077E-3</v>
      </c>
      <c r="X408" s="12">
        <f t="shared" ca="1" si="54"/>
        <v>2.2188174774546043E-2</v>
      </c>
      <c r="Y408" s="12">
        <f t="shared" ca="1" si="54"/>
        <v>1.8120016995326393E-2</v>
      </c>
      <c r="Z408" s="12">
        <f t="shared" ca="1" si="54"/>
        <v>-6.4778277007228047E-3</v>
      </c>
    </row>
    <row r="409" spans="13:26">
      <c r="M409" s="13">
        <v>406</v>
      </c>
      <c r="N409" s="15">
        <f t="shared" ca="1" si="51"/>
        <v>64</v>
      </c>
      <c r="O409" s="13">
        <v>406</v>
      </c>
      <c r="P409" s="19">
        <f t="shared" ca="1" si="52"/>
        <v>43159</v>
      </c>
      <c r="Q409" s="12">
        <f t="shared" ca="1" si="54"/>
        <v>1.2125833333333333E-3</v>
      </c>
      <c r="R409" s="12">
        <f t="shared" ca="1" si="54"/>
        <v>-3.7977924686849462E-4</v>
      </c>
      <c r="S409" s="12">
        <f t="shared" ca="1" si="54"/>
        <v>1.7365770487831611E-5</v>
      </c>
      <c r="T409" s="12">
        <f t="shared" ca="1" si="54"/>
        <v>-2.2637442459962909E-3</v>
      </c>
      <c r="U409" s="12">
        <f t="shared" ca="1" si="54"/>
        <v>-7.8760874663250657E-3</v>
      </c>
      <c r="V409" s="12">
        <f t="shared" ca="1" si="54"/>
        <v>-3.0430541002997025E-3</v>
      </c>
      <c r="W409" s="12">
        <f t="shared" ca="1" si="54"/>
        <v>-1.4964540778451663E-2</v>
      </c>
      <c r="X409" s="12">
        <f t="shared" ca="1" si="54"/>
        <v>-3.8947379604151844E-2</v>
      </c>
      <c r="Y409" s="12">
        <f t="shared" ca="1" si="54"/>
        <v>-4.3036453344418191E-2</v>
      </c>
      <c r="Z409" s="12">
        <f t="shared" ca="1" si="54"/>
        <v>-1.9945879239335773E-2</v>
      </c>
    </row>
    <row r="410" spans="13:26">
      <c r="M410" s="13">
        <v>407</v>
      </c>
      <c r="N410" s="15">
        <f t="shared" ca="1" si="51"/>
        <v>49</v>
      </c>
      <c r="O410" s="13">
        <v>407</v>
      </c>
      <c r="P410" s="19">
        <f t="shared" ca="1" si="52"/>
        <v>42704</v>
      </c>
      <c r="Q410" s="12">
        <f t="shared" ca="1" si="54"/>
        <v>2.4941666666666667E-4</v>
      </c>
      <c r="R410" s="12">
        <f t="shared" ca="1" si="54"/>
        <v>-3.9680668767997362E-3</v>
      </c>
      <c r="S410" s="12">
        <f t="shared" ca="1" si="54"/>
        <v>-3.9652254703520518E-3</v>
      </c>
      <c r="T410" s="12">
        <f t="shared" ca="1" si="54"/>
        <v>-4.234892489187625E-3</v>
      </c>
      <c r="U410" s="12">
        <f t="shared" ca="1" si="54"/>
        <v>-2.7309126741589806E-2</v>
      </c>
      <c r="V410" s="12">
        <f t="shared" ca="1" si="54"/>
        <v>-1.4909534956887072E-2</v>
      </c>
      <c r="W410" s="12">
        <f t="shared" ca="1" si="54"/>
        <v>-2.6791531353187459E-2</v>
      </c>
      <c r="X410" s="12">
        <f t="shared" ca="1" si="54"/>
        <v>3.4174446769983158E-2</v>
      </c>
      <c r="Y410" s="12">
        <f t="shared" ca="1" si="54"/>
        <v>1.2519811700139494E-2</v>
      </c>
      <c r="Z410" s="12">
        <f t="shared" ca="1" si="54"/>
        <v>-8.143531604043186E-2</v>
      </c>
    </row>
    <row r="411" spans="13:26">
      <c r="M411" s="13">
        <v>408</v>
      </c>
      <c r="N411" s="15">
        <f t="shared" ca="1" si="51"/>
        <v>77</v>
      </c>
      <c r="O411" s="13">
        <v>408</v>
      </c>
      <c r="P411" s="19">
        <f t="shared" ca="1" si="52"/>
        <v>43553</v>
      </c>
      <c r="Q411" s="12">
        <f t="shared" ca="1" si="54"/>
        <v>2.0271666666666667E-3</v>
      </c>
      <c r="R411" s="12">
        <f t="shared" ca="1" si="54"/>
        <v>6.1140339599461413E-3</v>
      </c>
      <c r="S411" s="12">
        <f t="shared" ca="1" si="54"/>
        <v>5.6005851058500422E-3</v>
      </c>
      <c r="T411" s="12">
        <f t="shared" ca="1" si="54"/>
        <v>7.8061480891151724E-3</v>
      </c>
      <c r="U411" s="12">
        <f t="shared" ca="1" si="54"/>
        <v>1.9871317951636103E-2</v>
      </c>
      <c r="V411" s="12">
        <f t="shared" ca="1" si="54"/>
        <v>1.4119884433976049E-2</v>
      </c>
      <c r="W411" s="12">
        <f t="shared" ca="1" si="54"/>
        <v>2.4897397534795696E-2</v>
      </c>
      <c r="X411" s="12">
        <f t="shared" ca="1" si="54"/>
        <v>1.7924287751078349E-2</v>
      </c>
      <c r="Y411" s="12">
        <f t="shared" ca="1" si="54"/>
        <v>1.0499367161431294E-2</v>
      </c>
      <c r="Z411" s="12">
        <f t="shared" ca="1" si="54"/>
        <v>-1.5944324307860858E-2</v>
      </c>
    </row>
    <row r="412" spans="13:26">
      <c r="M412" s="13">
        <v>409</v>
      </c>
      <c r="N412" s="15">
        <f t="shared" ca="1" si="51"/>
        <v>41</v>
      </c>
      <c r="O412" s="13">
        <v>409</v>
      </c>
      <c r="P412" s="19">
        <f t="shared" ca="1" si="52"/>
        <v>42460</v>
      </c>
      <c r="Q412" s="12">
        <f t="shared" ca="1" si="54"/>
        <v>2.6283333333333334E-4</v>
      </c>
      <c r="R412" s="12">
        <f t="shared" ca="1" si="54"/>
        <v>1.7450488010437581E-3</v>
      </c>
      <c r="S412" s="12">
        <f t="shared" ca="1" si="54"/>
        <v>2.0434531973680947E-3</v>
      </c>
      <c r="T412" s="12">
        <f t="shared" ca="1" si="54"/>
        <v>8.4586985427637096E-3</v>
      </c>
      <c r="U412" s="12">
        <f t="shared" ca="1" si="54"/>
        <v>1.3902308915594297E-3</v>
      </c>
      <c r="V412" s="12">
        <f t="shared" ca="1" si="54"/>
        <v>2.4232475161714007E-3</v>
      </c>
      <c r="W412" s="12">
        <f t="shared" ca="1" si="54"/>
        <v>2.7141723803574269E-2</v>
      </c>
      <c r="X412" s="12">
        <f t="shared" ca="1" si="54"/>
        <v>6.5991108718941094E-2</v>
      </c>
      <c r="Y412" s="12">
        <f t="shared" ca="1" si="54"/>
        <v>6.5248162774614205E-2</v>
      </c>
      <c r="Z412" s="12">
        <f t="shared" ca="1" si="54"/>
        <v>-4.7793197542526089E-3</v>
      </c>
    </row>
    <row r="413" spans="13:26">
      <c r="M413" s="13">
        <v>410</v>
      </c>
      <c r="N413" s="15">
        <f t="shared" ca="1" si="51"/>
        <v>105</v>
      </c>
      <c r="O413" s="13">
        <v>410</v>
      </c>
      <c r="P413" s="19">
        <f t="shared" ca="1" si="52"/>
        <v>44407</v>
      </c>
      <c r="Q413" s="12">
        <f t="shared" ca="1" si="54"/>
        <v>3.3833333333333334E-5</v>
      </c>
      <c r="R413" s="12">
        <f t="shared" ca="1" si="54"/>
        <v>1.6626477447918564E-3</v>
      </c>
      <c r="S413" s="12">
        <f t="shared" ca="1" si="54"/>
        <v>1.647780086191597E-3</v>
      </c>
      <c r="T413" s="12">
        <f t="shared" ca="1" si="54"/>
        <v>1.6872030917995939E-3</v>
      </c>
      <c r="U413" s="12">
        <f t="shared" ca="1" si="54"/>
        <v>1.3395155145788706E-2</v>
      </c>
      <c r="V413" s="12">
        <f t="shared" ca="1" si="54"/>
        <v>7.0237893228504156E-3</v>
      </c>
      <c r="W413" s="12">
        <f t="shared" ca="1" si="54"/>
        <v>1.2096097926917571E-2</v>
      </c>
      <c r="X413" s="12">
        <f t="shared" ca="1" si="54"/>
        <v>2.274810936591054E-2</v>
      </c>
      <c r="Y413" s="12">
        <f t="shared" ca="1" si="54"/>
        <v>1.7240979308836168E-2</v>
      </c>
      <c r="Z413" s="12">
        <f t="shared" ca="1" si="54"/>
        <v>2.4902407195033227E-2</v>
      </c>
    </row>
    <row r="414" spans="13:26">
      <c r="M414" s="13">
        <v>411</v>
      </c>
      <c r="N414" s="15">
        <f t="shared" ca="1" si="51"/>
        <v>22</v>
      </c>
      <c r="O414" s="13">
        <v>411</v>
      </c>
      <c r="P414" s="19">
        <f t="shared" ca="1" si="52"/>
        <v>41880</v>
      </c>
      <c r="Q414" s="12">
        <f t="shared" ref="Q414:Z423" ca="1" si="55">INDEX(histrets,$N414,Q$1)</f>
        <v>1.6916666666666667E-5</v>
      </c>
      <c r="R414" s="12">
        <f t="shared" ca="1" si="55"/>
        <v>1.667232621397341E-3</v>
      </c>
      <c r="S414" s="12">
        <f t="shared" ca="1" si="55"/>
        <v>1.5115281314874718E-3</v>
      </c>
      <c r="T414" s="12">
        <f t="shared" ca="1" si="55"/>
        <v>2.1339651763789824E-3</v>
      </c>
      <c r="U414" s="12">
        <f t="shared" ca="1" si="55"/>
        <v>1.2175428530638577E-2</v>
      </c>
      <c r="V414" s="12">
        <f t="shared" ca="1" si="55"/>
        <v>6.5468469701868148E-3</v>
      </c>
      <c r="W414" s="12">
        <f t="shared" ca="1" si="55"/>
        <v>1.4268707223337396E-2</v>
      </c>
      <c r="X414" s="12">
        <f t="shared" ca="1" si="55"/>
        <v>3.7655321727690261E-2</v>
      </c>
      <c r="Y414" s="12">
        <f t="shared" ca="1" si="55"/>
        <v>2.0030915507335267E-2</v>
      </c>
      <c r="Z414" s="12">
        <f t="shared" ca="1" si="55"/>
        <v>3.6878503652766348E-3</v>
      </c>
    </row>
    <row r="415" spans="13:26">
      <c r="M415" s="13">
        <v>412</v>
      </c>
      <c r="N415" s="15">
        <f t="shared" ca="1" si="51"/>
        <v>11</v>
      </c>
      <c r="O415" s="13">
        <v>412</v>
      </c>
      <c r="P415" s="19">
        <f t="shared" ca="1" si="52"/>
        <v>41547</v>
      </c>
      <c r="Q415" s="12">
        <f t="shared" ca="1" si="55"/>
        <v>1.6916666666666667E-5</v>
      </c>
      <c r="R415" s="12">
        <f t="shared" ca="1" si="55"/>
        <v>2.2604909853345401E-3</v>
      </c>
      <c r="S415" s="12">
        <f t="shared" ca="1" si="55"/>
        <v>2.0409077397314235E-3</v>
      </c>
      <c r="T415" s="12">
        <f t="shared" ca="1" si="55"/>
        <v>4.0480627945882475E-3</v>
      </c>
      <c r="U415" s="12">
        <f t="shared" ca="1" si="55"/>
        <v>7.6369728708005624E-3</v>
      </c>
      <c r="V415" s="12">
        <f t="shared" ca="1" si="55"/>
        <v>6.3216309372344792E-3</v>
      </c>
      <c r="W415" s="12">
        <f t="shared" ca="1" si="55"/>
        <v>8.2365093403367062E-3</v>
      </c>
      <c r="X415" s="12">
        <f t="shared" ca="1" si="55"/>
        <v>2.9749474883188354E-2</v>
      </c>
      <c r="Y415" s="12">
        <f t="shared" ca="1" si="55"/>
        <v>4.816192946480724E-2</v>
      </c>
      <c r="Z415" s="12">
        <f t="shared" ca="1" si="55"/>
        <v>-4.7474682319551098E-2</v>
      </c>
    </row>
    <row r="416" spans="13:26">
      <c r="M416" s="13">
        <v>413</v>
      </c>
      <c r="N416" s="15">
        <f t="shared" ca="1" si="51"/>
        <v>56</v>
      </c>
      <c r="O416" s="13">
        <v>413</v>
      </c>
      <c r="P416" s="19">
        <f t="shared" ca="1" si="52"/>
        <v>42916</v>
      </c>
      <c r="Q416" s="12">
        <f t="shared" ca="1" si="55"/>
        <v>8.0883333333333339E-4</v>
      </c>
      <c r="R416" s="12">
        <f t="shared" ca="1" si="55"/>
        <v>-8.0204131069117057E-4</v>
      </c>
      <c r="S416" s="12">
        <f t="shared" ca="1" si="55"/>
        <v>-2.4903126051567526E-4</v>
      </c>
      <c r="T416" s="12">
        <f t="shared" ca="1" si="55"/>
        <v>6.9842322783286725E-4</v>
      </c>
      <c r="U416" s="12">
        <f t="shared" ca="1" si="55"/>
        <v>-1.4999198156073756E-3</v>
      </c>
      <c r="V416" s="12">
        <f t="shared" ca="1" si="55"/>
        <v>-6.063772226055919E-4</v>
      </c>
      <c r="W416" s="12">
        <f t="shared" ca="1" si="55"/>
        <v>2.4540228281686449E-3</v>
      </c>
      <c r="X416" s="12">
        <f t="shared" ca="1" si="55"/>
        <v>4.8138319927024664E-3</v>
      </c>
      <c r="Y416" s="12">
        <f t="shared" ca="1" si="55"/>
        <v>2.4532624729305397E-3</v>
      </c>
      <c r="Z416" s="12">
        <f t="shared" ca="1" si="55"/>
        <v>-2.152223938467368E-2</v>
      </c>
    </row>
    <row r="417" spans="13:26">
      <c r="M417" s="13">
        <v>414</v>
      </c>
      <c r="N417" s="15">
        <f t="shared" ca="1" si="51"/>
        <v>22</v>
      </c>
      <c r="O417" s="13">
        <v>414</v>
      </c>
      <c r="P417" s="19">
        <f t="shared" ca="1" si="52"/>
        <v>41880</v>
      </c>
      <c r="Q417" s="12">
        <f t="shared" ca="1" si="55"/>
        <v>1.6916666666666667E-5</v>
      </c>
      <c r="R417" s="12">
        <f t="shared" ca="1" si="55"/>
        <v>1.667232621397341E-3</v>
      </c>
      <c r="S417" s="12">
        <f t="shared" ca="1" si="55"/>
        <v>1.5115281314874718E-3</v>
      </c>
      <c r="T417" s="12">
        <f t="shared" ca="1" si="55"/>
        <v>2.1339651763789824E-3</v>
      </c>
      <c r="U417" s="12">
        <f t="shared" ca="1" si="55"/>
        <v>1.2175428530638577E-2</v>
      </c>
      <c r="V417" s="12">
        <f t="shared" ca="1" si="55"/>
        <v>6.5468469701868148E-3</v>
      </c>
      <c r="W417" s="12">
        <f t="shared" ca="1" si="55"/>
        <v>1.4268707223337396E-2</v>
      </c>
      <c r="X417" s="12">
        <f t="shared" ca="1" si="55"/>
        <v>3.7655321727690261E-2</v>
      </c>
      <c r="Y417" s="12">
        <f t="shared" ca="1" si="55"/>
        <v>2.0030915507335267E-2</v>
      </c>
      <c r="Z417" s="12">
        <f t="shared" ca="1" si="55"/>
        <v>3.6878503652766348E-3</v>
      </c>
    </row>
    <row r="418" spans="13:26">
      <c r="M418" s="13">
        <v>415</v>
      </c>
      <c r="N418" s="15">
        <f t="shared" ca="1" si="51"/>
        <v>31</v>
      </c>
      <c r="O418" s="13">
        <v>415</v>
      </c>
      <c r="P418" s="19">
        <f t="shared" ca="1" si="52"/>
        <v>42153</v>
      </c>
      <c r="Q418" s="12">
        <f t="shared" ca="1" si="55"/>
        <v>0</v>
      </c>
      <c r="R418" s="12">
        <f t="shared" ca="1" si="55"/>
        <v>7.428156879896175E-4</v>
      </c>
      <c r="S418" s="12">
        <f t="shared" ca="1" si="55"/>
        <v>6.6009191619720298E-4</v>
      </c>
      <c r="T418" s="12">
        <f t="shared" ca="1" si="55"/>
        <v>1.1060849460915456E-3</v>
      </c>
      <c r="U418" s="12">
        <f t="shared" ca="1" si="55"/>
        <v>-2.3382848175917958E-3</v>
      </c>
      <c r="V418" s="12">
        <f t="shared" ca="1" si="55"/>
        <v>-2.9557347784758825E-5</v>
      </c>
      <c r="W418" s="12">
        <f t="shared" ca="1" si="55"/>
        <v>-5.0527397229136461E-3</v>
      </c>
      <c r="X418" s="12">
        <f t="shared" ca="1" si="55"/>
        <v>1.0491438545008114E-2</v>
      </c>
      <c r="Y418" s="12">
        <f t="shared" ca="1" si="55"/>
        <v>5.1169590643262985E-4</v>
      </c>
      <c r="Z418" s="12">
        <f t="shared" ca="1" si="55"/>
        <v>5.2432939030877534E-3</v>
      </c>
    </row>
    <row r="419" spans="13:26">
      <c r="M419" s="13">
        <v>416</v>
      </c>
      <c r="N419" s="15">
        <f t="shared" ca="1" si="51"/>
        <v>110</v>
      </c>
      <c r="O419" s="13">
        <v>416</v>
      </c>
      <c r="P419" s="19">
        <f t="shared" ca="1" si="52"/>
        <v>44561</v>
      </c>
      <c r="Q419" s="12">
        <f t="shared" ca="1" si="55"/>
        <v>3.8000000000000002E-5</v>
      </c>
      <c r="R419" s="12">
        <f t="shared" ca="1" si="55"/>
        <v>-2.4802373420731438E-3</v>
      </c>
      <c r="S419" s="12">
        <f t="shared" ca="1" si="55"/>
        <v>-1.7502290923563368E-3</v>
      </c>
      <c r="T419" s="12">
        <f t="shared" ca="1" si="55"/>
        <v>-6.6421288657614319E-4</v>
      </c>
      <c r="U419" s="12">
        <f t="shared" ca="1" si="55"/>
        <v>-5.7005265768458324E-3</v>
      </c>
      <c r="V419" s="12">
        <f t="shared" ca="1" si="55"/>
        <v>-2.2361847737648599E-3</v>
      </c>
      <c r="W419" s="12">
        <f t="shared" ca="1" si="55"/>
        <v>-1.7142201738967744E-3</v>
      </c>
      <c r="X419" s="12">
        <f t="shared" ca="1" si="55"/>
        <v>4.3612874972629889E-2</v>
      </c>
      <c r="Y419" s="12">
        <f t="shared" ca="1" si="55"/>
        <v>4.188858082403768E-2</v>
      </c>
      <c r="Z419" s="12">
        <f t="shared" ca="1" si="55"/>
        <v>3.0813966593783215E-2</v>
      </c>
    </row>
    <row r="420" spans="13:26">
      <c r="M420" s="13">
        <v>417</v>
      </c>
      <c r="N420" s="15">
        <f t="shared" ca="1" si="51"/>
        <v>64</v>
      </c>
      <c r="O420" s="13">
        <v>417</v>
      </c>
      <c r="P420" s="19">
        <f t="shared" ca="1" si="52"/>
        <v>43159</v>
      </c>
      <c r="Q420" s="12">
        <f t="shared" ca="1" si="55"/>
        <v>1.2125833333333333E-3</v>
      </c>
      <c r="R420" s="12">
        <f t="shared" ca="1" si="55"/>
        <v>-3.7977924686849462E-4</v>
      </c>
      <c r="S420" s="12">
        <f t="shared" ca="1" si="55"/>
        <v>1.7365770487831611E-5</v>
      </c>
      <c r="T420" s="12">
        <f t="shared" ca="1" si="55"/>
        <v>-2.2637442459962909E-3</v>
      </c>
      <c r="U420" s="12">
        <f t="shared" ca="1" si="55"/>
        <v>-7.8760874663250657E-3</v>
      </c>
      <c r="V420" s="12">
        <f t="shared" ca="1" si="55"/>
        <v>-3.0430541002997025E-3</v>
      </c>
      <c r="W420" s="12">
        <f t="shared" ca="1" si="55"/>
        <v>-1.4964540778451663E-2</v>
      </c>
      <c r="X420" s="12">
        <f t="shared" ca="1" si="55"/>
        <v>-3.8947379604151844E-2</v>
      </c>
      <c r="Y420" s="12">
        <f t="shared" ca="1" si="55"/>
        <v>-4.3036453344418191E-2</v>
      </c>
      <c r="Z420" s="12">
        <f t="shared" ca="1" si="55"/>
        <v>-1.9945879239335773E-2</v>
      </c>
    </row>
    <row r="421" spans="13:26">
      <c r="M421" s="13">
        <v>418</v>
      </c>
      <c r="N421" s="15">
        <f t="shared" ca="1" si="51"/>
        <v>108</v>
      </c>
      <c r="O421" s="13">
        <v>418</v>
      </c>
      <c r="P421" s="19">
        <f t="shared" ca="1" si="52"/>
        <v>44498</v>
      </c>
      <c r="Q421" s="12">
        <f t="shared" ca="1" si="55"/>
        <v>2.7500000000000001E-5</v>
      </c>
      <c r="R421" s="12">
        <f t="shared" ca="1" si="55"/>
        <v>-3.0397106151245357E-3</v>
      </c>
      <c r="S421" s="12">
        <f t="shared" ca="1" si="55"/>
        <v>-2.7381247848330403E-3</v>
      </c>
      <c r="T421" s="12">
        <f t="shared" ca="1" si="55"/>
        <v>-3.2666890866690501E-3</v>
      </c>
      <c r="U421" s="12">
        <f t="shared" ca="1" si="55"/>
        <v>3.1127562849819768E-4</v>
      </c>
      <c r="V421" s="12">
        <f t="shared" ca="1" si="55"/>
        <v>-3.2191243321966212E-3</v>
      </c>
      <c r="W421" s="12">
        <f t="shared" ca="1" si="55"/>
        <v>2.4950726425574388E-3</v>
      </c>
      <c r="X421" s="12">
        <f t="shared" ca="1" si="55"/>
        <v>6.9143873301234615E-2</v>
      </c>
      <c r="Y421" s="12">
        <f t="shared" ca="1" si="55"/>
        <v>5.5920308654293871E-2</v>
      </c>
      <c r="Z421" s="12">
        <f t="shared" ca="1" si="55"/>
        <v>1.5043114488175524E-2</v>
      </c>
    </row>
    <row r="422" spans="13:26">
      <c r="M422" s="13">
        <v>419</v>
      </c>
      <c r="N422" s="15">
        <f t="shared" ca="1" si="51"/>
        <v>22</v>
      </c>
      <c r="O422" s="13">
        <v>419</v>
      </c>
      <c r="P422" s="19">
        <f t="shared" ca="1" si="52"/>
        <v>41880</v>
      </c>
      <c r="Q422" s="12">
        <f t="shared" ca="1" si="55"/>
        <v>1.6916666666666667E-5</v>
      </c>
      <c r="R422" s="12">
        <f t="shared" ca="1" si="55"/>
        <v>1.667232621397341E-3</v>
      </c>
      <c r="S422" s="12">
        <f t="shared" ca="1" si="55"/>
        <v>1.5115281314874718E-3</v>
      </c>
      <c r="T422" s="12">
        <f t="shared" ca="1" si="55"/>
        <v>2.1339651763789824E-3</v>
      </c>
      <c r="U422" s="12">
        <f t="shared" ca="1" si="55"/>
        <v>1.2175428530638577E-2</v>
      </c>
      <c r="V422" s="12">
        <f t="shared" ca="1" si="55"/>
        <v>6.5468469701868148E-3</v>
      </c>
      <c r="W422" s="12">
        <f t="shared" ca="1" si="55"/>
        <v>1.4268707223337396E-2</v>
      </c>
      <c r="X422" s="12">
        <f t="shared" ca="1" si="55"/>
        <v>3.7655321727690261E-2</v>
      </c>
      <c r="Y422" s="12">
        <f t="shared" ca="1" si="55"/>
        <v>2.0030915507335267E-2</v>
      </c>
      <c r="Z422" s="12">
        <f t="shared" ca="1" si="55"/>
        <v>3.6878503652766348E-3</v>
      </c>
    </row>
    <row r="423" spans="13:26">
      <c r="M423" s="13">
        <v>420</v>
      </c>
      <c r="N423" s="15">
        <f t="shared" ca="1" si="51"/>
        <v>38</v>
      </c>
      <c r="O423" s="13">
        <v>420</v>
      </c>
      <c r="P423" s="19">
        <f t="shared" ca="1" si="52"/>
        <v>42369</v>
      </c>
      <c r="Q423" s="12">
        <f t="shared" ca="1" si="55"/>
        <v>1.3983333333333334E-4</v>
      </c>
      <c r="R423" s="12">
        <f t="shared" ca="1" si="55"/>
        <v>-9.365642487412229E-4</v>
      </c>
      <c r="S423" s="12">
        <f t="shared" ca="1" si="55"/>
        <v>-1.2589213561818857E-3</v>
      </c>
      <c r="T423" s="12">
        <f t="shared" ca="1" si="55"/>
        <v>-2.4958607185572301E-3</v>
      </c>
      <c r="U423" s="12">
        <f t="shared" ca="1" si="55"/>
        <v>-1.5686691398054675E-3</v>
      </c>
      <c r="V423" s="12">
        <f t="shared" ca="1" si="55"/>
        <v>-2.4794726558212687E-3</v>
      </c>
      <c r="W423" s="12">
        <f t="shared" ca="1" si="55"/>
        <v>-8.6713379184790718E-3</v>
      </c>
      <c r="X423" s="12">
        <f t="shared" ca="1" si="55"/>
        <v>-1.7530198374358763E-2</v>
      </c>
      <c r="Y423" s="12">
        <f t="shared" ca="1" si="55"/>
        <v>-1.8655571293673345E-2</v>
      </c>
      <c r="Z423" s="12">
        <f t="shared" ca="1" si="55"/>
        <v>-3.4467537590278097E-3</v>
      </c>
    </row>
    <row r="424" spans="13:26">
      <c r="M424" s="13">
        <v>421</v>
      </c>
      <c r="N424" s="15">
        <f t="shared" ca="1" si="51"/>
        <v>52</v>
      </c>
      <c r="O424" s="13">
        <v>421</v>
      </c>
      <c r="P424" s="19">
        <f t="shared" ca="1" si="52"/>
        <v>42794</v>
      </c>
      <c r="Q424" s="12">
        <f t="shared" ref="Q424:Z433" ca="1" si="56">INDEX(histrets,$N424,Q$1)</f>
        <v>4.2725000000000006E-4</v>
      </c>
      <c r="R424" s="12">
        <f t="shared" ca="1" si="56"/>
        <v>1.0199846529690415E-3</v>
      </c>
      <c r="S424" s="12">
        <f t="shared" ca="1" si="56"/>
        <v>1.1263017174716339E-3</v>
      </c>
      <c r="T424" s="12">
        <f t="shared" ca="1" si="56"/>
        <v>3.3637506960311203E-3</v>
      </c>
      <c r="U424" s="12">
        <f t="shared" ca="1" si="56"/>
        <v>5.1711262346592068E-3</v>
      </c>
      <c r="V424" s="12">
        <f t="shared" ca="1" si="56"/>
        <v>3.9337034794455494E-3</v>
      </c>
      <c r="W424" s="12">
        <f t="shared" ca="1" si="56"/>
        <v>1.1310662928395665E-2</v>
      </c>
      <c r="X424" s="12">
        <f t="shared" ca="1" si="56"/>
        <v>3.7198260541408734E-2</v>
      </c>
      <c r="Y424" s="12">
        <f t="shared" ca="1" si="56"/>
        <v>2.5831287659004554E-2</v>
      </c>
      <c r="Z424" s="12">
        <f t="shared" ca="1" si="56"/>
        <v>3.1155015197568359E-2</v>
      </c>
    </row>
    <row r="425" spans="13:26">
      <c r="M425" s="13">
        <v>422</v>
      </c>
      <c r="N425" s="15">
        <f t="shared" ca="1" si="51"/>
        <v>108</v>
      </c>
      <c r="O425" s="13">
        <v>422</v>
      </c>
      <c r="P425" s="19">
        <f t="shared" ca="1" si="52"/>
        <v>44498</v>
      </c>
      <c r="Q425" s="12">
        <f t="shared" ca="1" si="56"/>
        <v>2.7500000000000001E-5</v>
      </c>
      <c r="R425" s="12">
        <f t="shared" ca="1" si="56"/>
        <v>-3.0397106151245357E-3</v>
      </c>
      <c r="S425" s="12">
        <f t="shared" ca="1" si="56"/>
        <v>-2.7381247848330403E-3</v>
      </c>
      <c r="T425" s="12">
        <f t="shared" ca="1" si="56"/>
        <v>-3.2666890866690501E-3</v>
      </c>
      <c r="U425" s="12">
        <f t="shared" ca="1" si="56"/>
        <v>3.1127562849819768E-4</v>
      </c>
      <c r="V425" s="12">
        <f t="shared" ca="1" si="56"/>
        <v>-3.2191243321966212E-3</v>
      </c>
      <c r="W425" s="12">
        <f t="shared" ca="1" si="56"/>
        <v>2.4950726425574388E-3</v>
      </c>
      <c r="X425" s="12">
        <f t="shared" ca="1" si="56"/>
        <v>6.9143873301234615E-2</v>
      </c>
      <c r="Y425" s="12">
        <f t="shared" ca="1" si="56"/>
        <v>5.5920308654293871E-2</v>
      </c>
      <c r="Z425" s="12">
        <f t="shared" ca="1" si="56"/>
        <v>1.5043114488175524E-2</v>
      </c>
    </row>
    <row r="426" spans="13:26">
      <c r="M426" s="13">
        <v>423</v>
      </c>
      <c r="N426" s="15">
        <f t="shared" ca="1" si="51"/>
        <v>32</v>
      </c>
      <c r="O426" s="13">
        <v>423</v>
      </c>
      <c r="P426" s="19">
        <f t="shared" ca="1" si="52"/>
        <v>42185</v>
      </c>
      <c r="Q426" s="12">
        <f t="shared" ca="1" si="56"/>
        <v>0</v>
      </c>
      <c r="R426" s="12">
        <f t="shared" ca="1" si="56"/>
        <v>2.5320231558723094E-4</v>
      </c>
      <c r="S426" s="12">
        <f t="shared" ca="1" si="56"/>
        <v>3.5784763056034841E-4</v>
      </c>
      <c r="T426" s="12">
        <f t="shared" ca="1" si="56"/>
        <v>-1.5031059264967173E-3</v>
      </c>
      <c r="U426" s="12">
        <f t="shared" ca="1" si="56"/>
        <v>-9.962299900720839E-3</v>
      </c>
      <c r="V426" s="12">
        <f t="shared" ca="1" si="56"/>
        <v>-4.4419820231021978E-3</v>
      </c>
      <c r="W426" s="12">
        <f t="shared" ca="1" si="56"/>
        <v>-1.639343013945227E-2</v>
      </c>
      <c r="X426" s="12">
        <f t="shared" ca="1" si="56"/>
        <v>-2.10117728564716E-2</v>
      </c>
      <c r="Y426" s="12">
        <f t="shared" ca="1" si="56"/>
        <v>-2.4560082279085793E-2</v>
      </c>
      <c r="Z426" s="12">
        <f t="shared" ca="1" si="56"/>
        <v>-1.5311864805389042E-2</v>
      </c>
    </row>
    <row r="427" spans="13:26">
      <c r="M427" s="13">
        <v>424</v>
      </c>
      <c r="N427" s="15">
        <f t="shared" ca="1" si="51"/>
        <v>74</v>
      </c>
      <c r="O427" s="13">
        <v>424</v>
      </c>
      <c r="P427" s="19">
        <f t="shared" ca="1" si="52"/>
        <v>43465</v>
      </c>
      <c r="Q427" s="12">
        <f t="shared" ca="1" si="56"/>
        <v>1.952E-3</v>
      </c>
      <c r="R427" s="12">
        <f t="shared" ca="1" si="56"/>
        <v>7.896311710921422E-3</v>
      </c>
      <c r="S427" s="12">
        <f t="shared" ca="1" si="56"/>
        <v>7.5697447228533221E-3</v>
      </c>
      <c r="T427" s="12">
        <f t="shared" ca="1" si="56"/>
        <v>6.9781620857483073E-3</v>
      </c>
      <c r="U427" s="12">
        <f t="shared" ca="1" si="56"/>
        <v>2.219667593196295E-2</v>
      </c>
      <c r="V427" s="12">
        <f t="shared" ca="1" si="56"/>
        <v>1.4366555259428315E-2</v>
      </c>
      <c r="W427" s="12">
        <f t="shared" ca="1" si="56"/>
        <v>1.5011129069729678E-2</v>
      </c>
      <c r="X427" s="12">
        <f t="shared" ca="1" si="56"/>
        <v>-9.1776955767217339E-2</v>
      </c>
      <c r="Y427" s="12">
        <f t="shared" ca="1" si="56"/>
        <v>-7.7134851275620031E-2</v>
      </c>
      <c r="Z427" s="12">
        <f t="shared" ca="1" si="56"/>
        <v>5.0773440828499439E-2</v>
      </c>
    </row>
    <row r="428" spans="13:26">
      <c r="M428" s="13">
        <v>425</v>
      </c>
      <c r="N428" s="15">
        <f t="shared" ca="1" si="51"/>
        <v>121</v>
      </c>
      <c r="O428" s="13">
        <v>425</v>
      </c>
      <c r="P428" s="19">
        <f t="shared" ca="1" si="52"/>
        <v>44895</v>
      </c>
      <c r="Q428" s="12">
        <f t="shared" ca="1" si="56"/>
        <v>3.3799166666666669E-3</v>
      </c>
      <c r="R428" s="12">
        <f t="shared" ca="1" si="56"/>
        <v>6.2875043022390109E-3</v>
      </c>
      <c r="S428" s="12">
        <f t="shared" ca="1" si="56"/>
        <v>6.2505749946333289E-3</v>
      </c>
      <c r="T428" s="12">
        <f t="shared" ca="1" si="56"/>
        <v>1.3179812663381529E-2</v>
      </c>
      <c r="U428" s="12">
        <f t="shared" ca="1" si="56"/>
        <v>2.8126175985148771E-2</v>
      </c>
      <c r="V428" s="12">
        <f t="shared" ca="1" si="56"/>
        <v>1.5199845454158423E-2</v>
      </c>
      <c r="W428" s="12">
        <f t="shared" ca="1" si="56"/>
        <v>4.9175445389133987E-2</v>
      </c>
      <c r="X428" s="12">
        <f t="shared" ca="1" si="56"/>
        <v>5.3752860293699856E-2</v>
      </c>
      <c r="Y428" s="12">
        <f t="shared" ca="1" si="56"/>
        <v>6.7970577614494543E-2</v>
      </c>
      <c r="Z428" s="12">
        <f t="shared" ca="1" si="56"/>
        <v>8.2617106197507395E-2</v>
      </c>
    </row>
    <row r="429" spans="13:26">
      <c r="M429" s="13">
        <v>426</v>
      </c>
      <c r="N429" s="15">
        <f t="shared" ca="1" si="51"/>
        <v>126</v>
      </c>
      <c r="O429" s="13">
        <v>426</v>
      </c>
      <c r="P429" s="19">
        <f t="shared" ca="1" si="52"/>
        <v>45044</v>
      </c>
      <c r="Q429" s="12">
        <f t="shared" ca="1" si="56"/>
        <v>3.910833333333333E-3</v>
      </c>
      <c r="R429" s="12">
        <f t="shared" ca="1" si="56"/>
        <v>2.5906525424277405E-3</v>
      </c>
      <c r="S429" s="12">
        <f t="shared" ca="1" si="56"/>
        <v>1.6892966077157734E-3</v>
      </c>
      <c r="T429" s="12">
        <f t="shared" ca="1" si="56"/>
        <v>5.9787379091187365E-3</v>
      </c>
      <c r="U429" s="12">
        <f t="shared" ca="1" si="56"/>
        <v>5.4692115776100447E-3</v>
      </c>
      <c r="V429" s="12">
        <f t="shared" ca="1" si="56"/>
        <v>3.9277674600057821E-3</v>
      </c>
      <c r="W429" s="12">
        <f t="shared" ca="1" si="56"/>
        <v>8.4788423636714683E-3</v>
      </c>
      <c r="X429" s="12">
        <f t="shared" ca="1" si="56"/>
        <v>1.464236088297044E-2</v>
      </c>
      <c r="Y429" s="12">
        <f t="shared" ca="1" si="56"/>
        <v>1.5938010489209731E-2</v>
      </c>
      <c r="Z429" s="12">
        <f t="shared" ca="1" si="56"/>
        <v>1.0521611959700916E-2</v>
      </c>
    </row>
    <row r="430" spans="13:26">
      <c r="M430" s="13">
        <v>427</v>
      </c>
      <c r="N430" s="15">
        <f t="shared" ca="1" si="51"/>
        <v>47</v>
      </c>
      <c r="O430" s="13">
        <v>427</v>
      </c>
      <c r="P430" s="19">
        <f t="shared" ca="1" si="52"/>
        <v>42643</v>
      </c>
      <c r="Q430" s="12">
        <f t="shared" ca="1" si="56"/>
        <v>2.7483333333333331E-4</v>
      </c>
      <c r="R430" s="12">
        <f t="shared" ca="1" si="56"/>
        <v>1.1621035875981622E-3</v>
      </c>
      <c r="S430" s="12">
        <f t="shared" ca="1" si="56"/>
        <v>1.515090379294648E-3</v>
      </c>
      <c r="T430" s="12">
        <f t="shared" ca="1" si="56"/>
        <v>7.7099427012439214E-4</v>
      </c>
      <c r="U430" s="12">
        <f t="shared" ca="1" si="56"/>
        <v>-1.8386753168915249E-3</v>
      </c>
      <c r="V430" s="12">
        <f t="shared" ca="1" si="56"/>
        <v>6.9919808022667063E-4</v>
      </c>
      <c r="W430" s="12">
        <f t="shared" ca="1" si="56"/>
        <v>-2.8800244945604847E-3</v>
      </c>
      <c r="X430" s="12">
        <f t="shared" ca="1" si="56"/>
        <v>-1.2344825997834263E-3</v>
      </c>
      <c r="Y430" s="12">
        <f t="shared" ca="1" si="56"/>
        <v>3.5765795105611176E-3</v>
      </c>
      <c r="Z430" s="12">
        <f t="shared" ca="1" si="56"/>
        <v>5.2713201983236591E-3</v>
      </c>
    </row>
    <row r="431" spans="13:26">
      <c r="M431" s="13">
        <v>428</v>
      </c>
      <c r="N431" s="15">
        <f t="shared" ca="1" si="51"/>
        <v>50</v>
      </c>
      <c r="O431" s="13">
        <v>428</v>
      </c>
      <c r="P431" s="19">
        <f t="shared" ca="1" si="52"/>
        <v>42734</v>
      </c>
      <c r="Q431" s="12">
        <f t="shared" ca="1" si="56"/>
        <v>3.9758333333333334E-4</v>
      </c>
      <c r="R431" s="12">
        <f t="shared" ca="1" si="56"/>
        <v>2.9691875786408417E-4</v>
      </c>
      <c r="S431" s="12">
        <f t="shared" ca="1" si="56"/>
        <v>6.4168917337914522E-4</v>
      </c>
      <c r="T431" s="12">
        <f t="shared" ca="1" si="56"/>
        <v>1.638235623849349E-3</v>
      </c>
      <c r="U431" s="12">
        <f t="shared" ca="1" si="56"/>
        <v>-1.1464242847030182E-3</v>
      </c>
      <c r="V431" s="12">
        <f t="shared" ca="1" si="56"/>
        <v>-1.4365171732482196E-3</v>
      </c>
      <c r="W431" s="12">
        <f t="shared" ca="1" si="56"/>
        <v>6.2562737648186317E-3</v>
      </c>
      <c r="X431" s="12">
        <f t="shared" ca="1" si="56"/>
        <v>1.8200754044233047E-2</v>
      </c>
      <c r="Y431" s="12">
        <f t="shared" ca="1" si="56"/>
        <v>2.2855106916108481E-2</v>
      </c>
      <c r="Z431" s="12">
        <f t="shared" ca="1" si="56"/>
        <v>-2.1905898397545198E-2</v>
      </c>
    </row>
    <row r="432" spans="13:26">
      <c r="M432" s="13">
        <v>429</v>
      </c>
      <c r="N432" s="15">
        <f t="shared" ca="1" si="51"/>
        <v>131</v>
      </c>
      <c r="O432" s="13">
        <v>429</v>
      </c>
      <c r="P432" s="19">
        <f t="shared" ca="1" si="52"/>
        <v>45198</v>
      </c>
      <c r="Q432" s="12">
        <f t="shared" ca="1" si="56"/>
        <v>4.5294999999999997E-3</v>
      </c>
      <c r="R432" s="12">
        <f t="shared" ca="1" si="56"/>
        <v>-8.7527777912765892E-5</v>
      </c>
      <c r="S432" s="12">
        <f t="shared" ca="1" si="56"/>
        <v>7.3954471452686299E-4</v>
      </c>
      <c r="T432" s="12">
        <f t="shared" ca="1" si="56"/>
        <v>-6.7481426476689865E-4</v>
      </c>
      <c r="U432" s="12">
        <f t="shared" ca="1" si="56"/>
        <v>-2.3814615369661118E-2</v>
      </c>
      <c r="V432" s="12">
        <f t="shared" ca="1" si="56"/>
        <v>-7.8838704615544763E-3</v>
      </c>
      <c r="W432" s="12">
        <f t="shared" ca="1" si="56"/>
        <v>-2.4496905181951245E-2</v>
      </c>
      <c r="X432" s="12">
        <f t="shared" ca="1" si="56"/>
        <v>-4.871929116215501E-2</v>
      </c>
      <c r="Y432" s="12">
        <f t="shared" ca="1" si="56"/>
        <v>-4.4467217232302625E-2</v>
      </c>
      <c r="Z432" s="12">
        <f t="shared" ca="1" si="56"/>
        <v>-4.7191254464768906E-2</v>
      </c>
    </row>
    <row r="433" spans="13:26">
      <c r="M433" s="13">
        <v>430</v>
      </c>
      <c r="N433" s="15">
        <f t="shared" ca="1" si="51"/>
        <v>36</v>
      </c>
      <c r="O433" s="13">
        <v>430</v>
      </c>
      <c r="P433" s="19">
        <f t="shared" ca="1" si="52"/>
        <v>42307</v>
      </c>
      <c r="Q433" s="12">
        <f t="shared" ca="1" si="56"/>
        <v>-1.6916666666666667E-5</v>
      </c>
      <c r="R433" s="12">
        <f t="shared" ca="1" si="56"/>
        <v>-9.7742671460165909E-4</v>
      </c>
      <c r="S433" s="12">
        <f t="shared" ca="1" si="56"/>
        <v>-4.927758109271041E-4</v>
      </c>
      <c r="T433" s="12">
        <f t="shared" ca="1" si="56"/>
        <v>1.940190683884957E-3</v>
      </c>
      <c r="U433" s="12">
        <f t="shared" ca="1" si="56"/>
        <v>-3.5650933433152288E-3</v>
      </c>
      <c r="V433" s="12">
        <f t="shared" ca="1" si="56"/>
        <v>-1.3467962852747872E-3</v>
      </c>
      <c r="W433" s="12">
        <f t="shared" ca="1" si="56"/>
        <v>5.3601883874283551E-3</v>
      </c>
      <c r="X433" s="12">
        <f t="shared" ca="1" si="56"/>
        <v>8.2983078389400333E-2</v>
      </c>
      <c r="Y433" s="12">
        <f t="shared" ca="1" si="56"/>
        <v>7.8309901891372435E-2</v>
      </c>
      <c r="Z433" s="12">
        <f t="shared" ca="1" si="56"/>
        <v>2.4231227972629998E-2</v>
      </c>
    </row>
    <row r="434" spans="13:26">
      <c r="M434" s="13">
        <v>431</v>
      </c>
      <c r="N434" s="15">
        <f t="shared" ca="1" si="51"/>
        <v>103</v>
      </c>
      <c r="O434" s="13">
        <v>431</v>
      </c>
      <c r="P434" s="19">
        <f t="shared" ca="1" si="52"/>
        <v>44347</v>
      </c>
      <c r="Q434" s="12">
        <f t="shared" ref="Q434:Z443" ca="1" si="57">INDEX(histrets,$N434,Q$1)</f>
        <v>2.0833333333333334E-6</v>
      </c>
      <c r="R434" s="12">
        <f t="shared" ca="1" si="57"/>
        <v>7.5601374570455349E-4</v>
      </c>
      <c r="S434" s="12">
        <f t="shared" ca="1" si="57"/>
        <v>7.7117116067437763E-4</v>
      </c>
      <c r="T434" s="12">
        <f t="shared" ca="1" si="57"/>
        <v>2.1318730865014235E-3</v>
      </c>
      <c r="U434" s="12">
        <f t="shared" ca="1" si="57"/>
        <v>2.9767087748440169E-3</v>
      </c>
      <c r="V434" s="12">
        <f t="shared" ca="1" si="57"/>
        <v>2.9418212628797846E-3</v>
      </c>
      <c r="W434" s="12">
        <f t="shared" ca="1" si="57"/>
        <v>7.0206864587414319E-3</v>
      </c>
      <c r="X434" s="12">
        <f t="shared" ca="1" si="57"/>
        <v>5.4865025818131574E-3</v>
      </c>
      <c r="Y434" s="12">
        <f t="shared" ca="1" si="57"/>
        <v>1.2569927452394714E-2</v>
      </c>
      <c r="Z434" s="12">
        <f t="shared" ca="1" si="57"/>
        <v>7.7857477969397237E-2</v>
      </c>
    </row>
    <row r="435" spans="13:26">
      <c r="M435" s="13">
        <v>432</v>
      </c>
      <c r="N435" s="15">
        <f t="shared" ca="1" si="51"/>
        <v>63</v>
      </c>
      <c r="O435" s="13">
        <v>432</v>
      </c>
      <c r="P435" s="19">
        <f t="shared" ca="1" si="52"/>
        <v>43131</v>
      </c>
      <c r="Q435" s="12">
        <f t="shared" ca="1" si="57"/>
        <v>1.1464166666666667E-3</v>
      </c>
      <c r="R435" s="12">
        <f t="shared" ca="1" si="57"/>
        <v>-2.8744273635203932E-3</v>
      </c>
      <c r="S435" s="12">
        <f t="shared" ca="1" si="57"/>
        <v>-2.2571798955052236E-3</v>
      </c>
      <c r="T435" s="12">
        <f t="shared" ca="1" si="57"/>
        <v>-1.7389948786749043E-3</v>
      </c>
      <c r="U435" s="12">
        <f t="shared" ca="1" si="57"/>
        <v>-1.3959378934221722E-2</v>
      </c>
      <c r="V435" s="12">
        <f t="shared" ca="1" si="57"/>
        <v>-7.9297322504744416E-3</v>
      </c>
      <c r="W435" s="12">
        <f t="shared" ca="1" si="57"/>
        <v>-9.2413589736451973E-3</v>
      </c>
      <c r="X435" s="12">
        <f t="shared" ca="1" si="57"/>
        <v>5.6178724645703726E-2</v>
      </c>
      <c r="Y435" s="12">
        <f t="shared" ca="1" si="57"/>
        <v>5.2195203118685862E-2</v>
      </c>
      <c r="Z435" s="12">
        <f t="shared" ca="1" si="57"/>
        <v>3.2499232422474877E-2</v>
      </c>
    </row>
    <row r="436" spans="13:26">
      <c r="M436" s="13">
        <v>433</v>
      </c>
      <c r="N436" s="15">
        <f t="shared" ca="1" si="51"/>
        <v>129</v>
      </c>
      <c r="O436" s="13">
        <v>433</v>
      </c>
      <c r="P436" s="19">
        <f t="shared" ca="1" si="52"/>
        <v>45138</v>
      </c>
      <c r="Q436" s="12">
        <f t="shared" ca="1" si="57"/>
        <v>4.4029999999999998E-3</v>
      </c>
      <c r="R436" s="12">
        <f t="shared" ca="1" si="57"/>
        <v>3.5600351757603121E-3</v>
      </c>
      <c r="S436" s="12">
        <f t="shared" ca="1" si="57"/>
        <v>3.4279797877487805E-3</v>
      </c>
      <c r="T436" s="12">
        <f t="shared" ca="1" si="57"/>
        <v>6.7704229871852206E-3</v>
      </c>
      <c r="U436" s="12">
        <f t="shared" ca="1" si="57"/>
        <v>-3.9619306898106554E-3</v>
      </c>
      <c r="V436" s="12">
        <f t="shared" ca="1" si="57"/>
        <v>2.6690047401789485E-4</v>
      </c>
      <c r="W436" s="12">
        <f t="shared" ca="1" si="57"/>
        <v>4.3345170855186854E-3</v>
      </c>
      <c r="X436" s="12">
        <f t="shared" ca="1" si="57"/>
        <v>3.1138913980379268E-2</v>
      </c>
      <c r="Y436" s="12">
        <f t="shared" ca="1" si="57"/>
        <v>3.2891543522813205E-2</v>
      </c>
      <c r="Z436" s="12">
        <f t="shared" ca="1" si="57"/>
        <v>2.3830984447859915E-2</v>
      </c>
    </row>
    <row r="437" spans="13:26">
      <c r="M437" s="13">
        <v>434</v>
      </c>
      <c r="N437" s="15">
        <f t="shared" ca="1" si="51"/>
        <v>5</v>
      </c>
      <c r="O437" s="13">
        <v>434</v>
      </c>
      <c r="P437" s="19">
        <f t="shared" ca="1" si="52"/>
        <v>41362</v>
      </c>
      <c r="Q437" s="12">
        <f t="shared" ca="1" si="57"/>
        <v>8.4500000000000008E-5</v>
      </c>
      <c r="R437" s="12">
        <f t="shared" ca="1" si="57"/>
        <v>2.3418729525115367E-4</v>
      </c>
      <c r="S437" s="12">
        <f t="shared" ca="1" si="57"/>
        <v>4.8135581072217271E-4</v>
      </c>
      <c r="T437" s="12">
        <f t="shared" ca="1" si="57"/>
        <v>1.2732568826077095E-3</v>
      </c>
      <c r="U437" s="12">
        <f t="shared" ca="1" si="57"/>
        <v>1.0737913451743797E-3</v>
      </c>
      <c r="V437" s="12">
        <f t="shared" ca="1" si="57"/>
        <v>7.7880569401389543E-4</v>
      </c>
      <c r="W437" s="12">
        <f t="shared" ca="1" si="57"/>
        <v>6.6103676205497841E-4</v>
      </c>
      <c r="X437" s="12">
        <f t="shared" ca="1" si="57"/>
        <v>3.5987799403174314E-2</v>
      </c>
      <c r="Y437" s="12">
        <f t="shared" ca="1" si="57"/>
        <v>2.0872770748231462E-2</v>
      </c>
      <c r="Z437" s="12">
        <f t="shared" ca="1" si="57"/>
        <v>1.1325580364773602E-2</v>
      </c>
    </row>
    <row r="438" spans="13:26">
      <c r="M438" s="13">
        <v>435</v>
      </c>
      <c r="N438" s="15">
        <f t="shared" ca="1" si="51"/>
        <v>24</v>
      </c>
      <c r="O438" s="13">
        <v>435</v>
      </c>
      <c r="P438" s="19">
        <f t="shared" ca="1" si="52"/>
        <v>41943</v>
      </c>
      <c r="Q438" s="12">
        <f t="shared" ca="1" si="57"/>
        <v>1.2666666666666667E-5</v>
      </c>
      <c r="R438" s="12">
        <f t="shared" ca="1" si="57"/>
        <v>2.7450503856620845E-3</v>
      </c>
      <c r="S438" s="12">
        <f t="shared" ca="1" si="57"/>
        <v>2.1854534088954214E-3</v>
      </c>
      <c r="T438" s="12">
        <f t="shared" ca="1" si="57"/>
        <v>2.1223615145111729E-3</v>
      </c>
      <c r="U438" s="12">
        <f t="shared" ca="1" si="57"/>
        <v>1.0856203181201174E-2</v>
      </c>
      <c r="V438" s="12">
        <f t="shared" ca="1" si="57"/>
        <v>6.3361069479148657E-3</v>
      </c>
      <c r="W438" s="12">
        <f t="shared" ca="1" si="57"/>
        <v>9.3323015351907124E-3</v>
      </c>
      <c r="X438" s="12">
        <f t="shared" ca="1" si="57"/>
        <v>2.3201456175308888E-2</v>
      </c>
      <c r="Y438" s="12">
        <f t="shared" ca="1" si="57"/>
        <v>5.6994483075345492E-3</v>
      </c>
      <c r="Z438" s="12">
        <f t="shared" ca="1" si="57"/>
        <v>-2.9143732152464574E-2</v>
      </c>
    </row>
    <row r="439" spans="13:26">
      <c r="M439" s="13">
        <v>436</v>
      </c>
      <c r="N439" s="15">
        <f t="shared" ca="1" si="51"/>
        <v>64</v>
      </c>
      <c r="O439" s="13">
        <v>436</v>
      </c>
      <c r="P439" s="19">
        <f t="shared" ca="1" si="52"/>
        <v>43159</v>
      </c>
      <c r="Q439" s="12">
        <f t="shared" ca="1" si="57"/>
        <v>1.2125833333333333E-3</v>
      </c>
      <c r="R439" s="12">
        <f t="shared" ca="1" si="57"/>
        <v>-3.7977924686849462E-4</v>
      </c>
      <c r="S439" s="12">
        <f t="shared" ca="1" si="57"/>
        <v>1.7365770487831611E-5</v>
      </c>
      <c r="T439" s="12">
        <f t="shared" ca="1" si="57"/>
        <v>-2.2637442459962909E-3</v>
      </c>
      <c r="U439" s="12">
        <f t="shared" ca="1" si="57"/>
        <v>-7.8760874663250657E-3</v>
      </c>
      <c r="V439" s="12">
        <f t="shared" ca="1" si="57"/>
        <v>-3.0430541002997025E-3</v>
      </c>
      <c r="W439" s="12">
        <f t="shared" ca="1" si="57"/>
        <v>-1.4964540778451663E-2</v>
      </c>
      <c r="X439" s="12">
        <f t="shared" ca="1" si="57"/>
        <v>-3.8947379604151844E-2</v>
      </c>
      <c r="Y439" s="12">
        <f t="shared" ca="1" si="57"/>
        <v>-4.3036453344418191E-2</v>
      </c>
      <c r="Z439" s="12">
        <f t="shared" ca="1" si="57"/>
        <v>-1.9945879239335773E-2</v>
      </c>
    </row>
    <row r="440" spans="13:26">
      <c r="M440" s="13">
        <v>437</v>
      </c>
      <c r="N440" s="15">
        <f t="shared" ca="1" si="51"/>
        <v>42</v>
      </c>
      <c r="O440" s="13">
        <v>437</v>
      </c>
      <c r="P440" s="19">
        <f t="shared" ca="1" si="52"/>
        <v>42489</v>
      </c>
      <c r="Q440" s="12">
        <f t="shared" ca="1" si="57"/>
        <v>1.6525000000000001E-4</v>
      </c>
      <c r="R440" s="12">
        <f t="shared" ca="1" si="57"/>
        <v>3.6216580311787538E-4</v>
      </c>
      <c r="S440" s="12">
        <f t="shared" ca="1" si="57"/>
        <v>2.4757090883142929E-4</v>
      </c>
      <c r="T440" s="12">
        <f t="shared" ca="1" si="57"/>
        <v>4.1174784036310808E-3</v>
      </c>
      <c r="U440" s="12">
        <f t="shared" ca="1" si="57"/>
        <v>-1.2004718966450723E-3</v>
      </c>
      <c r="V440" s="12">
        <f t="shared" ca="1" si="57"/>
        <v>2.7608070445017674E-4</v>
      </c>
      <c r="W440" s="12">
        <f t="shared" ca="1" si="57"/>
        <v>1.3602736367879897E-2</v>
      </c>
      <c r="X440" s="12">
        <f t="shared" ca="1" si="57"/>
        <v>2.69936982337593E-3</v>
      </c>
      <c r="Y440" s="12">
        <f t="shared" ca="1" si="57"/>
        <v>1.3761133898017253E-2</v>
      </c>
      <c r="Z440" s="12">
        <f t="shared" ca="1" si="57"/>
        <v>4.9304400730074915E-2</v>
      </c>
    </row>
    <row r="441" spans="13:26">
      <c r="M441" s="13">
        <v>438</v>
      </c>
      <c r="N441" s="15">
        <f t="shared" ca="1" si="51"/>
        <v>96</v>
      </c>
      <c r="O441" s="13">
        <v>438</v>
      </c>
      <c r="P441" s="19">
        <f t="shared" ca="1" si="52"/>
        <v>44134</v>
      </c>
      <c r="Q441" s="12">
        <f t="shared" ca="1" si="57"/>
        <v>7.6249999999999997E-5</v>
      </c>
      <c r="R441" s="12">
        <f t="shared" ca="1" si="57"/>
        <v>-4.2126561468813772E-4</v>
      </c>
      <c r="S441" s="12">
        <f t="shared" ca="1" si="57"/>
        <v>-6.7095641189895971E-5</v>
      </c>
      <c r="T441" s="12">
        <f t="shared" ca="1" si="57"/>
        <v>1.8149952186470308E-3</v>
      </c>
      <c r="U441" s="12">
        <f t="shared" ca="1" si="57"/>
        <v>-1.0096313199052798E-2</v>
      </c>
      <c r="V441" s="12">
        <f t="shared" ca="1" si="57"/>
        <v>-3.5705368143630345E-3</v>
      </c>
      <c r="W441" s="12">
        <f t="shared" ca="1" si="57"/>
        <v>-1.7153852038643835E-3</v>
      </c>
      <c r="X441" s="12">
        <f t="shared" ca="1" si="57"/>
        <v>-2.7665774606006499E-2</v>
      </c>
      <c r="Y441" s="12">
        <f t="shared" ca="1" si="57"/>
        <v>-3.1403261985324948E-2</v>
      </c>
      <c r="Z441" s="12">
        <f t="shared" ca="1" si="57"/>
        <v>-3.7172158530506261E-3</v>
      </c>
    </row>
    <row r="442" spans="13:26">
      <c r="M442" s="13">
        <v>439</v>
      </c>
      <c r="N442" s="15">
        <f t="shared" ca="1" si="51"/>
        <v>122</v>
      </c>
      <c r="O442" s="13">
        <v>439</v>
      </c>
      <c r="P442" s="19">
        <f t="shared" ca="1" si="52"/>
        <v>44925</v>
      </c>
      <c r="Q442" s="12">
        <f t="shared" ca="1" si="57"/>
        <v>3.5996666666666668E-3</v>
      </c>
      <c r="R442" s="12">
        <f t="shared" ca="1" si="57"/>
        <v>2.0455625090360918E-3</v>
      </c>
      <c r="S442" s="12">
        <f t="shared" ca="1" si="57"/>
        <v>2.5523556719058149E-3</v>
      </c>
      <c r="T442" s="12">
        <f t="shared" ca="1" si="57"/>
        <v>3.0386964971180763E-3</v>
      </c>
      <c r="U442" s="12">
        <f t="shared" ca="1" si="57"/>
        <v>-5.2423174935820605E-3</v>
      </c>
      <c r="V442" s="12">
        <f t="shared" ca="1" si="57"/>
        <v>1.4255618068126363E-3</v>
      </c>
      <c r="W442" s="12">
        <f t="shared" ca="1" si="57"/>
        <v>-2.1183511393275678E-3</v>
      </c>
      <c r="X442" s="12">
        <f t="shared" ca="1" si="57"/>
        <v>-5.8971449299161094E-2</v>
      </c>
      <c r="Y442" s="12">
        <f t="shared" ca="1" si="57"/>
        <v>-4.3441667983637688E-2</v>
      </c>
      <c r="Z442" s="12">
        <f t="shared" ca="1" si="57"/>
        <v>3.1382172664148555E-2</v>
      </c>
    </row>
    <row r="443" spans="13:26">
      <c r="M443" s="13">
        <v>440</v>
      </c>
      <c r="N443" s="15">
        <f t="shared" ca="1" si="51"/>
        <v>82</v>
      </c>
      <c r="O443" s="13">
        <v>440</v>
      </c>
      <c r="P443" s="19">
        <f t="shared" ca="1" si="52"/>
        <v>43707</v>
      </c>
      <c r="Q443" s="12">
        <f t="shared" ca="1" si="57"/>
        <v>1.7179999999999999E-3</v>
      </c>
      <c r="R443" s="12">
        <f t="shared" ca="1" si="57"/>
        <v>8.0651942026881418E-3</v>
      </c>
      <c r="S443" s="12">
        <f t="shared" ca="1" si="57"/>
        <v>7.2430967663801304E-3</v>
      </c>
      <c r="T443" s="12">
        <f t="shared" ca="1" si="57"/>
        <v>7.590990648397522E-3</v>
      </c>
      <c r="U443" s="12">
        <f t="shared" ca="1" si="57"/>
        <v>3.5535343864688151E-2</v>
      </c>
      <c r="V443" s="12">
        <f t="shared" ca="1" si="57"/>
        <v>2.2414536061881041E-2</v>
      </c>
      <c r="W443" s="12">
        <f t="shared" ca="1" si="57"/>
        <v>3.0361290462434187E-2</v>
      </c>
      <c r="X443" s="12">
        <f t="shared" ca="1" si="57"/>
        <v>-1.8091652742267761E-2</v>
      </c>
      <c r="Y443" s="12">
        <f t="shared" ca="1" si="57"/>
        <v>-2.2417670829600111E-2</v>
      </c>
      <c r="Z443" s="12">
        <f t="shared" ca="1" si="57"/>
        <v>7.5400698835745406E-2</v>
      </c>
    </row>
    <row r="444" spans="13:26">
      <c r="M444" s="13">
        <v>441</v>
      </c>
      <c r="N444" s="15">
        <f t="shared" ca="1" si="51"/>
        <v>87</v>
      </c>
      <c r="O444" s="13">
        <v>441</v>
      </c>
      <c r="P444" s="19">
        <f t="shared" ca="1" si="52"/>
        <v>43861</v>
      </c>
      <c r="Q444" s="12">
        <f t="shared" ref="Q444:Z453" ca="1" si="58">INDEX(histrets,$N444,Q$1)</f>
        <v>1.2863333333333333E-3</v>
      </c>
      <c r="R444" s="12">
        <f t="shared" ca="1" si="58"/>
        <v>5.4097992135349049E-3</v>
      </c>
      <c r="S444" s="12">
        <f t="shared" ca="1" si="58"/>
        <v>4.2842005056689114E-3</v>
      </c>
      <c r="T444" s="12">
        <f t="shared" ca="1" si="58"/>
        <v>5.7110103120057154E-3</v>
      </c>
      <c r="U444" s="12">
        <f t="shared" ca="1" si="58"/>
        <v>2.5643424492520994E-2</v>
      </c>
      <c r="V444" s="12">
        <f t="shared" ca="1" si="58"/>
        <v>1.565730710389257E-2</v>
      </c>
      <c r="W444" s="12">
        <f t="shared" ca="1" si="58"/>
        <v>2.3757911224389527E-2</v>
      </c>
      <c r="X444" s="12">
        <f t="shared" ca="1" si="58"/>
        <v>-1.6280898111292741E-3</v>
      </c>
      <c r="Y444" s="12">
        <f t="shared" ca="1" si="58"/>
        <v>-6.8094993788345715E-3</v>
      </c>
      <c r="Z444" s="12">
        <f t="shared" ca="1" si="58"/>
        <v>4.7381151673729915E-2</v>
      </c>
    </row>
    <row r="445" spans="13:26">
      <c r="M445" s="13">
        <v>442</v>
      </c>
      <c r="N445" s="15">
        <f t="shared" ca="1" si="51"/>
        <v>52</v>
      </c>
      <c r="O445" s="13">
        <v>442</v>
      </c>
      <c r="P445" s="19">
        <f t="shared" ca="1" si="52"/>
        <v>42794</v>
      </c>
      <c r="Q445" s="12">
        <f t="shared" ca="1" si="58"/>
        <v>4.2725000000000006E-4</v>
      </c>
      <c r="R445" s="12">
        <f t="shared" ca="1" si="58"/>
        <v>1.0199846529690415E-3</v>
      </c>
      <c r="S445" s="12">
        <f t="shared" ca="1" si="58"/>
        <v>1.1263017174716339E-3</v>
      </c>
      <c r="T445" s="12">
        <f t="shared" ca="1" si="58"/>
        <v>3.3637506960311203E-3</v>
      </c>
      <c r="U445" s="12">
        <f t="shared" ca="1" si="58"/>
        <v>5.1711262346592068E-3</v>
      </c>
      <c r="V445" s="12">
        <f t="shared" ca="1" si="58"/>
        <v>3.9337034794455494E-3</v>
      </c>
      <c r="W445" s="12">
        <f t="shared" ca="1" si="58"/>
        <v>1.1310662928395665E-2</v>
      </c>
      <c r="X445" s="12">
        <f t="shared" ca="1" si="58"/>
        <v>3.7198260541408734E-2</v>
      </c>
      <c r="Y445" s="12">
        <f t="shared" ca="1" si="58"/>
        <v>2.5831287659004554E-2</v>
      </c>
      <c r="Z445" s="12">
        <f t="shared" ca="1" si="58"/>
        <v>3.1155015197568359E-2</v>
      </c>
    </row>
    <row r="446" spans="13:26">
      <c r="M446" s="13">
        <v>443</v>
      </c>
      <c r="N446" s="15">
        <f t="shared" ca="1" si="51"/>
        <v>58</v>
      </c>
      <c r="O446" s="13">
        <v>443</v>
      </c>
      <c r="P446" s="19">
        <f t="shared" ca="1" si="52"/>
        <v>42978</v>
      </c>
      <c r="Q446" s="12">
        <f t="shared" ca="1" si="58"/>
        <v>8.9366666666666663E-4</v>
      </c>
      <c r="R446" s="12">
        <f t="shared" ca="1" si="58"/>
        <v>1.8943117647360896E-3</v>
      </c>
      <c r="S446" s="12">
        <f t="shared" ca="1" si="58"/>
        <v>1.7981749232471866E-3</v>
      </c>
      <c r="T446" s="12">
        <f t="shared" ca="1" si="58"/>
        <v>2.0281311493255405E-3</v>
      </c>
      <c r="U446" s="12">
        <f t="shared" ca="1" si="58"/>
        <v>1.1306736498137848E-2</v>
      </c>
      <c r="V446" s="12">
        <f t="shared" ca="1" si="58"/>
        <v>7.3344561192607571E-3</v>
      </c>
      <c r="W446" s="12">
        <f t="shared" ca="1" si="58"/>
        <v>8.4693578904266875E-3</v>
      </c>
      <c r="X446" s="12">
        <f t="shared" ca="1" si="58"/>
        <v>5.4649232886694321E-4</v>
      </c>
      <c r="Y446" s="12">
        <f t="shared" ca="1" si="58"/>
        <v>-6.9348834837590356E-4</v>
      </c>
      <c r="Z446" s="12">
        <f t="shared" ca="1" si="58"/>
        <v>4.0955066801109163E-2</v>
      </c>
    </row>
    <row r="447" spans="13:26">
      <c r="M447" s="13">
        <v>444</v>
      </c>
      <c r="N447" s="15">
        <f t="shared" ca="1" si="51"/>
        <v>99</v>
      </c>
      <c r="O447" s="13">
        <v>444</v>
      </c>
      <c r="P447" s="19">
        <f t="shared" ca="1" si="52"/>
        <v>44225</v>
      </c>
      <c r="Q447" s="12">
        <f t="shared" ca="1" si="58"/>
        <v>4.8583333333333333E-5</v>
      </c>
      <c r="R447" s="12">
        <f t="shared" ca="1" si="58"/>
        <v>1.5009428290868598E-4</v>
      </c>
      <c r="S447" s="12">
        <f t="shared" ca="1" si="58"/>
        <v>4.1806629045537669E-4</v>
      </c>
      <c r="T447" s="12">
        <f t="shared" ca="1" si="58"/>
        <v>5.7198793586965557E-4</v>
      </c>
      <c r="U447" s="12">
        <f t="shared" ca="1" si="58"/>
        <v>-1.1228896488291951E-2</v>
      </c>
      <c r="V447" s="12">
        <f t="shared" ca="1" si="58"/>
        <v>-2.711704697170525E-3</v>
      </c>
      <c r="W447" s="12">
        <f t="shared" ca="1" si="58"/>
        <v>-1.2198864959817701E-2</v>
      </c>
      <c r="X447" s="12">
        <f t="shared" ca="1" si="58"/>
        <v>-1.1136640158463607E-2</v>
      </c>
      <c r="Y447" s="12">
        <f t="shared" ca="1" si="58"/>
        <v>-1.0538876745327164E-2</v>
      </c>
      <c r="Z447" s="12">
        <f t="shared" ca="1" si="58"/>
        <v>-2.6712530816072722E-2</v>
      </c>
    </row>
    <row r="448" spans="13:26">
      <c r="M448" s="13">
        <v>445</v>
      </c>
      <c r="N448" s="15">
        <f t="shared" ca="1" si="51"/>
        <v>68</v>
      </c>
      <c r="O448" s="13">
        <v>445</v>
      </c>
      <c r="P448" s="19">
        <f t="shared" ca="1" si="52"/>
        <v>43280</v>
      </c>
      <c r="Q448" s="12">
        <f t="shared" ca="1" si="58"/>
        <v>1.5788333333333333E-3</v>
      </c>
      <c r="R448" s="12">
        <f t="shared" ca="1" si="58"/>
        <v>1.5495540537546759E-4</v>
      </c>
      <c r="S448" s="12">
        <f t="shared" ca="1" si="58"/>
        <v>1.7922851557128361E-4</v>
      </c>
      <c r="T448" s="12">
        <f t="shared" ca="1" si="58"/>
        <v>-1.5929184744356562E-5</v>
      </c>
      <c r="U448" s="12">
        <f t="shared" ca="1" si="58"/>
        <v>2.8901898968847206E-4</v>
      </c>
      <c r="V448" s="12">
        <f t="shared" ca="1" si="58"/>
        <v>-4.5804946934258073E-4</v>
      </c>
      <c r="W448" s="12">
        <f t="shared" ca="1" si="58"/>
        <v>-5.3952132169493572E-3</v>
      </c>
      <c r="X448" s="12">
        <f t="shared" ca="1" si="58"/>
        <v>4.8424002040461378E-3</v>
      </c>
      <c r="Y448" s="12">
        <f t="shared" ca="1" si="58"/>
        <v>-1.7296408845057787E-3</v>
      </c>
      <c r="Z448" s="12">
        <f t="shared" ca="1" si="58"/>
        <v>-3.5355907925237462E-2</v>
      </c>
    </row>
    <row r="449" spans="13:26">
      <c r="M449" s="13">
        <v>446</v>
      </c>
      <c r="N449" s="15">
        <f t="shared" ca="1" si="51"/>
        <v>37</v>
      </c>
      <c r="O449" s="13">
        <v>446</v>
      </c>
      <c r="P449" s="19">
        <f t="shared" ca="1" si="52"/>
        <v>42338</v>
      </c>
      <c r="Q449" s="12">
        <f t="shared" ca="1" si="58"/>
        <v>5.933333333333333E-5</v>
      </c>
      <c r="R449" s="12">
        <f t="shared" ca="1" si="58"/>
        <v>-2.4550406621516307E-3</v>
      </c>
      <c r="S449" s="12">
        <f t="shared" ca="1" si="58"/>
        <v>-1.9393666703364509E-3</v>
      </c>
      <c r="T449" s="12">
        <f t="shared" ca="1" si="58"/>
        <v>-7.1057840590915688E-4</v>
      </c>
      <c r="U449" s="12">
        <f t="shared" ca="1" si="58"/>
        <v>-4.225256655618348E-3</v>
      </c>
      <c r="V449" s="12">
        <f t="shared" ca="1" si="58"/>
        <v>-2.6917513626392164E-3</v>
      </c>
      <c r="W449" s="12">
        <f t="shared" ca="1" si="58"/>
        <v>-2.2383480101869635E-3</v>
      </c>
      <c r="X449" s="12">
        <f t="shared" ca="1" si="58"/>
        <v>5.0496306555847248E-4</v>
      </c>
      <c r="Y449" s="12">
        <f t="shared" ca="1" si="58"/>
        <v>-6.6830812521982974E-3</v>
      </c>
      <c r="Z449" s="12">
        <f t="shared" ca="1" si="58"/>
        <v>-6.7716769838281676E-2</v>
      </c>
    </row>
    <row r="450" spans="13:26">
      <c r="M450" s="13">
        <v>447</v>
      </c>
      <c r="N450" s="15">
        <f t="shared" ca="1" si="51"/>
        <v>54</v>
      </c>
      <c r="O450" s="13">
        <v>447</v>
      </c>
      <c r="P450" s="19">
        <f t="shared" ca="1" si="52"/>
        <v>42853</v>
      </c>
      <c r="Q450" s="12">
        <f t="shared" ca="1" si="58"/>
        <v>6.2633333333333334E-4</v>
      </c>
      <c r="R450" s="12">
        <f t="shared" ca="1" si="58"/>
        <v>1.3859044506840945E-3</v>
      </c>
      <c r="S450" s="12">
        <f t="shared" ca="1" si="58"/>
        <v>1.3466246663074166E-3</v>
      </c>
      <c r="T450" s="12">
        <f t="shared" ca="1" si="58"/>
        <v>2.5485326666316865E-3</v>
      </c>
      <c r="U450" s="12">
        <f t="shared" ca="1" si="58"/>
        <v>7.0034395590732323E-3</v>
      </c>
      <c r="V450" s="12">
        <f t="shared" ca="1" si="58"/>
        <v>5.0291985433685849E-3</v>
      </c>
      <c r="W450" s="12">
        <f t="shared" ca="1" si="58"/>
        <v>9.9762185769320944E-3</v>
      </c>
      <c r="X450" s="12">
        <f t="shared" ca="1" si="58"/>
        <v>9.0912169025529899E-3</v>
      </c>
      <c r="Y450" s="12">
        <f t="shared" ca="1" si="58"/>
        <v>1.3265432731470739E-2</v>
      </c>
      <c r="Z450" s="12">
        <f t="shared" ca="1" si="58"/>
        <v>1.5273775216138263E-2</v>
      </c>
    </row>
    <row r="451" spans="13:26">
      <c r="M451" s="13">
        <v>448</v>
      </c>
      <c r="N451" s="15">
        <f t="shared" ca="1" si="51"/>
        <v>14</v>
      </c>
      <c r="O451" s="13">
        <v>448</v>
      </c>
      <c r="P451" s="19">
        <f t="shared" ca="1" si="52"/>
        <v>41639</v>
      </c>
      <c r="Q451" s="12">
        <f t="shared" ca="1" si="58"/>
        <v>4.6499999999999999E-5</v>
      </c>
      <c r="R451" s="12">
        <f t="shared" ca="1" si="58"/>
        <v>-1.3626905157968494E-3</v>
      </c>
      <c r="S451" s="12">
        <f t="shared" ca="1" si="58"/>
        <v>-1.0449329264931029E-3</v>
      </c>
      <c r="T451" s="12">
        <f t="shared" ca="1" si="58"/>
        <v>-2.9149177684706373E-4</v>
      </c>
      <c r="U451" s="12">
        <f t="shared" ca="1" si="58"/>
        <v>-1.0392957075136766E-2</v>
      </c>
      <c r="V451" s="12">
        <f t="shared" ca="1" si="58"/>
        <v>-6.3905976357661043E-3</v>
      </c>
      <c r="W451" s="12">
        <f t="shared" ca="1" si="58"/>
        <v>-1.7959320051789129E-3</v>
      </c>
      <c r="X451" s="12">
        <f t="shared" ca="1" si="58"/>
        <v>2.3562833299184183E-2</v>
      </c>
      <c r="Y451" s="12">
        <f t="shared" ca="1" si="58"/>
        <v>2.0050109922501447E-2</v>
      </c>
      <c r="Z451" s="12">
        <f t="shared" ca="1" si="58"/>
        <v>-4.125743008736571E-2</v>
      </c>
    </row>
    <row r="452" spans="13:26">
      <c r="M452" s="13">
        <v>449</v>
      </c>
      <c r="N452" s="15">
        <f t="shared" ref="N452:N503" ca="1" si="59">RANDBETWEEN(1,numobs)</f>
        <v>118</v>
      </c>
      <c r="O452" s="13">
        <v>449</v>
      </c>
      <c r="P452" s="19">
        <f t="shared" ref="P452:P503" ca="1" si="60">INDEX(histdates,N452,1)</f>
        <v>44804</v>
      </c>
      <c r="Q452" s="12">
        <f t="shared" ca="1" si="58"/>
        <v>1.9306666666666669E-3</v>
      </c>
      <c r="R452" s="12">
        <f t="shared" ca="1" si="58"/>
        <v>-7.2039287934703156E-3</v>
      </c>
      <c r="S452" s="12">
        <f t="shared" ca="1" si="58"/>
        <v>-7.9638102833402558E-3</v>
      </c>
      <c r="T452" s="12">
        <f t="shared" ca="1" si="58"/>
        <v>-5.7503855963663142E-3</v>
      </c>
      <c r="U452" s="12">
        <f t="shared" ca="1" si="58"/>
        <v>-2.6175212402140158E-2</v>
      </c>
      <c r="V452" s="12">
        <f t="shared" ca="1" si="58"/>
        <v>-1.7493418533857663E-2</v>
      </c>
      <c r="W452" s="12">
        <f t="shared" ca="1" si="58"/>
        <v>-2.6611677035771941E-2</v>
      </c>
      <c r="X452" s="12">
        <f t="shared" ca="1" si="58"/>
        <v>-4.2440119216810457E-2</v>
      </c>
      <c r="Y452" s="12">
        <f t="shared" ca="1" si="58"/>
        <v>-4.3348128620688264E-2</v>
      </c>
      <c r="Z452" s="12">
        <f t="shared" ca="1" si="58"/>
        <v>-3.1088258944245051E-2</v>
      </c>
    </row>
    <row r="453" spans="13:26">
      <c r="M453" s="13">
        <v>450</v>
      </c>
      <c r="N453" s="15">
        <f t="shared" ca="1" si="59"/>
        <v>123</v>
      </c>
      <c r="O453" s="13">
        <v>450</v>
      </c>
      <c r="P453" s="19">
        <f t="shared" ca="1" si="60"/>
        <v>44957</v>
      </c>
      <c r="Q453" s="12">
        <f t="shared" ca="1" si="58"/>
        <v>3.6190833333333335E-3</v>
      </c>
      <c r="R453" s="12">
        <f t="shared" ca="1" si="58"/>
        <v>6.8529912993722242E-3</v>
      </c>
      <c r="S453" s="12">
        <f t="shared" ca="1" si="58"/>
        <v>7.4985009837649219E-3</v>
      </c>
      <c r="T453" s="12">
        <f t="shared" ca="1" si="58"/>
        <v>1.0432522821833157E-2</v>
      </c>
      <c r="U453" s="12">
        <f t="shared" ca="1" si="58"/>
        <v>2.5942010417448813E-2</v>
      </c>
      <c r="V453" s="12">
        <f t="shared" ca="1" si="58"/>
        <v>1.4634042651866963E-2</v>
      </c>
      <c r="W453" s="12">
        <f t="shared" ca="1" si="58"/>
        <v>3.889132644369897E-2</v>
      </c>
      <c r="X453" s="12">
        <f t="shared" ca="1" si="58"/>
        <v>6.1752832400052027E-2</v>
      </c>
      <c r="Y453" s="12">
        <f t="shared" ca="1" si="58"/>
        <v>7.004675931440163E-2</v>
      </c>
      <c r="Z453" s="12">
        <f t="shared" ca="1" si="58"/>
        <v>5.720332013903362E-2</v>
      </c>
    </row>
    <row r="454" spans="13:26">
      <c r="M454" s="13">
        <v>451</v>
      </c>
      <c r="N454" s="15">
        <f t="shared" ca="1" si="59"/>
        <v>47</v>
      </c>
      <c r="O454" s="13">
        <v>451</v>
      </c>
      <c r="P454" s="19">
        <f t="shared" ca="1" si="60"/>
        <v>42643</v>
      </c>
      <c r="Q454" s="12">
        <f t="shared" ref="Q454:Z463" ca="1" si="61">INDEX(histrets,$N454,Q$1)</f>
        <v>2.7483333333333331E-4</v>
      </c>
      <c r="R454" s="12">
        <f t="shared" ca="1" si="61"/>
        <v>1.1621035875981622E-3</v>
      </c>
      <c r="S454" s="12">
        <f t="shared" ca="1" si="61"/>
        <v>1.515090379294648E-3</v>
      </c>
      <c r="T454" s="12">
        <f t="shared" ca="1" si="61"/>
        <v>7.7099427012439214E-4</v>
      </c>
      <c r="U454" s="12">
        <f t="shared" ca="1" si="61"/>
        <v>-1.8386753168915249E-3</v>
      </c>
      <c r="V454" s="12">
        <f t="shared" ca="1" si="61"/>
        <v>6.9919808022667063E-4</v>
      </c>
      <c r="W454" s="12">
        <f t="shared" ca="1" si="61"/>
        <v>-2.8800244945604847E-3</v>
      </c>
      <c r="X454" s="12">
        <f t="shared" ca="1" si="61"/>
        <v>-1.2344825997834263E-3</v>
      </c>
      <c r="Y454" s="12">
        <f t="shared" ca="1" si="61"/>
        <v>3.5765795105611176E-3</v>
      </c>
      <c r="Z454" s="12">
        <f t="shared" ca="1" si="61"/>
        <v>5.2713201983236591E-3</v>
      </c>
    </row>
    <row r="455" spans="13:26">
      <c r="M455" s="13">
        <v>452</v>
      </c>
      <c r="N455" s="15">
        <f t="shared" ca="1" si="59"/>
        <v>49</v>
      </c>
      <c r="O455" s="13">
        <v>452</v>
      </c>
      <c r="P455" s="19">
        <f t="shared" ca="1" si="60"/>
        <v>42704</v>
      </c>
      <c r="Q455" s="12">
        <f t="shared" ca="1" si="61"/>
        <v>2.4941666666666667E-4</v>
      </c>
      <c r="R455" s="12">
        <f t="shared" ca="1" si="61"/>
        <v>-3.9680668767997362E-3</v>
      </c>
      <c r="S455" s="12">
        <f t="shared" ca="1" si="61"/>
        <v>-3.9652254703520518E-3</v>
      </c>
      <c r="T455" s="12">
        <f t="shared" ca="1" si="61"/>
        <v>-4.234892489187625E-3</v>
      </c>
      <c r="U455" s="12">
        <f t="shared" ca="1" si="61"/>
        <v>-2.7309126741589806E-2</v>
      </c>
      <c r="V455" s="12">
        <f t="shared" ca="1" si="61"/>
        <v>-1.4909534956887072E-2</v>
      </c>
      <c r="W455" s="12">
        <f t="shared" ca="1" si="61"/>
        <v>-2.6791531353187459E-2</v>
      </c>
      <c r="X455" s="12">
        <f t="shared" ca="1" si="61"/>
        <v>3.4174446769983158E-2</v>
      </c>
      <c r="Y455" s="12">
        <f t="shared" ca="1" si="61"/>
        <v>1.2519811700139494E-2</v>
      </c>
      <c r="Z455" s="12">
        <f t="shared" ca="1" si="61"/>
        <v>-8.143531604043186E-2</v>
      </c>
    </row>
    <row r="456" spans="13:26">
      <c r="M456" s="13">
        <v>453</v>
      </c>
      <c r="N456" s="15">
        <f t="shared" ca="1" si="59"/>
        <v>3</v>
      </c>
      <c r="O456" s="13">
        <v>453</v>
      </c>
      <c r="P456" s="19">
        <f t="shared" ca="1" si="60"/>
        <v>41305</v>
      </c>
      <c r="Q456" s="12">
        <f t="shared" ca="1" si="61"/>
        <v>3.3833333333333334E-5</v>
      </c>
      <c r="R456" s="12">
        <f t="shared" ca="1" si="61"/>
        <v>1.1015399528546688E-4</v>
      </c>
      <c r="S456" s="12">
        <f t="shared" ca="1" si="61"/>
        <v>2.6974540434498984E-4</v>
      </c>
      <c r="T456" s="12">
        <f t="shared" ca="1" si="61"/>
        <v>2.0272989942340391E-3</v>
      </c>
      <c r="U456" s="12">
        <f t="shared" ca="1" si="61"/>
        <v>-9.5016863564771903E-3</v>
      </c>
      <c r="V456" s="12">
        <f t="shared" ca="1" si="61"/>
        <v>-4.3280887137527868E-3</v>
      </c>
      <c r="W456" s="12">
        <f t="shared" ca="1" si="61"/>
        <v>-7.1759738369659987E-3</v>
      </c>
      <c r="X456" s="12">
        <f t="shared" ca="1" si="61"/>
        <v>5.0428063581991145E-2</v>
      </c>
      <c r="Y456" s="12">
        <f t="shared" ca="1" si="61"/>
        <v>5.0033619723571121E-2</v>
      </c>
      <c r="Z456" s="12">
        <f t="shared" ca="1" si="61"/>
        <v>-6.9537708538514043E-3</v>
      </c>
    </row>
    <row r="457" spans="13:26">
      <c r="M457" s="13">
        <v>454</v>
      </c>
      <c r="N457" s="15">
        <f t="shared" ca="1" si="59"/>
        <v>76</v>
      </c>
      <c r="O457" s="13">
        <v>454</v>
      </c>
      <c r="P457" s="19">
        <f t="shared" ca="1" si="60"/>
        <v>43524</v>
      </c>
      <c r="Q457" s="12">
        <f t="shared" ca="1" si="61"/>
        <v>1.9865833333333333E-3</v>
      </c>
      <c r="R457" s="12">
        <f t="shared" ca="1" si="61"/>
        <v>1.0051696844186608E-3</v>
      </c>
      <c r="S457" s="12">
        <f t="shared" ca="1" si="61"/>
        <v>1.2578004850634095E-3</v>
      </c>
      <c r="T457" s="12">
        <f t="shared" ca="1" si="61"/>
        <v>3.5059253369462695E-3</v>
      </c>
      <c r="U457" s="12">
        <f t="shared" ca="1" si="61"/>
        <v>-2.7752785488605047E-3</v>
      </c>
      <c r="V457" s="12">
        <f t="shared" ca="1" si="61"/>
        <v>3.5532293312900975E-4</v>
      </c>
      <c r="W457" s="12">
        <f t="shared" ca="1" si="61"/>
        <v>3.595733609209395E-3</v>
      </c>
      <c r="X457" s="12">
        <f t="shared" ca="1" si="61"/>
        <v>2.9728930143116061E-2</v>
      </c>
      <c r="Y457" s="12">
        <f t="shared" ca="1" si="61"/>
        <v>2.8272261633037532E-2</v>
      </c>
      <c r="Z457" s="12">
        <f t="shared" ca="1" si="61"/>
        <v>-6.0018921475875064E-3</v>
      </c>
    </row>
    <row r="458" spans="13:26">
      <c r="M458" s="13">
        <v>455</v>
      </c>
      <c r="N458" s="15">
        <f t="shared" ca="1" si="59"/>
        <v>60</v>
      </c>
      <c r="O458" s="13">
        <v>455</v>
      </c>
      <c r="P458" s="19">
        <f t="shared" ca="1" si="60"/>
        <v>43039</v>
      </c>
      <c r="Q458" s="12">
        <f t="shared" ca="1" si="61"/>
        <v>8.6708333333333331E-4</v>
      </c>
      <c r="R458" s="12">
        <f t="shared" ca="1" si="61"/>
        <v>-6.0763206382963286E-4</v>
      </c>
      <c r="S458" s="12">
        <f t="shared" ca="1" si="61"/>
        <v>-2.4603997481442708E-4</v>
      </c>
      <c r="T458" s="12">
        <f t="shared" ca="1" si="61"/>
        <v>8.7847160110299249E-4</v>
      </c>
      <c r="U458" s="12">
        <f t="shared" ca="1" si="61"/>
        <v>-1.0979014398193598E-3</v>
      </c>
      <c r="V458" s="12">
        <f t="shared" ca="1" si="61"/>
        <v>1.9835188819050664E-4</v>
      </c>
      <c r="W458" s="12">
        <f t="shared" ca="1" si="61"/>
        <v>4.0358258169133077E-3</v>
      </c>
      <c r="X458" s="12">
        <f t="shared" ca="1" si="61"/>
        <v>2.2188174774546043E-2</v>
      </c>
      <c r="Y458" s="12">
        <f t="shared" ca="1" si="61"/>
        <v>1.8120016995326393E-2</v>
      </c>
      <c r="Z458" s="12">
        <f t="shared" ca="1" si="61"/>
        <v>-6.4778277007228047E-3</v>
      </c>
    </row>
    <row r="459" spans="13:26">
      <c r="M459" s="13">
        <v>456</v>
      </c>
      <c r="N459" s="15">
        <f t="shared" ca="1" si="59"/>
        <v>29</v>
      </c>
      <c r="O459" s="13">
        <v>456</v>
      </c>
      <c r="P459" s="19">
        <f t="shared" ca="1" si="60"/>
        <v>42094</v>
      </c>
      <c r="Q459" s="12">
        <f t="shared" ca="1" si="61"/>
        <v>8.4166666666666668E-6</v>
      </c>
      <c r="R459" s="12">
        <f t="shared" ca="1" si="61"/>
        <v>2.3251483239266069E-3</v>
      </c>
      <c r="S459" s="12">
        <f t="shared" ca="1" si="61"/>
        <v>2.0836010795528548E-3</v>
      </c>
      <c r="T459" s="12">
        <f t="shared" ca="1" si="61"/>
        <v>1.9926700417953747E-3</v>
      </c>
      <c r="U459" s="12">
        <f t="shared" ca="1" si="61"/>
        <v>6.5880564035545319E-3</v>
      </c>
      <c r="V459" s="12">
        <f t="shared" ca="1" si="61"/>
        <v>4.8404638795114252E-3</v>
      </c>
      <c r="W459" s="12">
        <f t="shared" ca="1" si="61"/>
        <v>3.7165680952275792E-3</v>
      </c>
      <c r="X459" s="12">
        <f t="shared" ca="1" si="61"/>
        <v>-1.7396056070325572E-2</v>
      </c>
      <c r="Y459" s="12">
        <f t="shared" ca="1" si="61"/>
        <v>-1.807813363717381E-2</v>
      </c>
      <c r="Z459" s="12">
        <f t="shared" ca="1" si="61"/>
        <v>-2.4406930546168049E-2</v>
      </c>
    </row>
    <row r="460" spans="13:26">
      <c r="M460" s="13">
        <v>457</v>
      </c>
      <c r="N460" s="15">
        <f t="shared" ca="1" si="59"/>
        <v>16</v>
      </c>
      <c r="O460" s="13">
        <v>457</v>
      </c>
      <c r="P460" s="19">
        <f t="shared" ca="1" si="60"/>
        <v>41698</v>
      </c>
      <c r="Q460" s="12">
        <f t="shared" ca="1" si="61"/>
        <v>1.6916666666666667E-5</v>
      </c>
      <c r="R460" s="12">
        <f t="shared" ca="1" si="61"/>
        <v>9.038801092022819E-4</v>
      </c>
      <c r="S460" s="12">
        <f t="shared" ca="1" si="61"/>
        <v>8.8386385418104396E-4</v>
      </c>
      <c r="T460" s="12">
        <f t="shared" ca="1" si="61"/>
        <v>2.6635238508452286E-3</v>
      </c>
      <c r="U460" s="12">
        <f t="shared" ca="1" si="61"/>
        <v>3.1205105942291311E-3</v>
      </c>
      <c r="V460" s="12">
        <f t="shared" ca="1" si="61"/>
        <v>2.7924214282957216E-3</v>
      </c>
      <c r="W460" s="12">
        <f t="shared" ca="1" si="61"/>
        <v>1.0973285355480922E-2</v>
      </c>
      <c r="X460" s="12">
        <f t="shared" ca="1" si="61"/>
        <v>4.3117037568930705E-2</v>
      </c>
      <c r="Y460" s="12">
        <f t="shared" ca="1" si="61"/>
        <v>4.8133828810229984E-2</v>
      </c>
      <c r="Z460" s="12">
        <f t="shared" ca="1" si="61"/>
        <v>6.5758707966734997E-2</v>
      </c>
    </row>
    <row r="461" spans="13:26">
      <c r="M461" s="13">
        <v>458</v>
      </c>
      <c r="N461" s="15">
        <f t="shared" ca="1" si="59"/>
        <v>108</v>
      </c>
      <c r="O461" s="13">
        <v>458</v>
      </c>
      <c r="P461" s="19">
        <f t="shared" ca="1" si="60"/>
        <v>44498</v>
      </c>
      <c r="Q461" s="12">
        <f t="shared" ca="1" si="61"/>
        <v>2.7500000000000001E-5</v>
      </c>
      <c r="R461" s="12">
        <f t="shared" ca="1" si="61"/>
        <v>-3.0397106151245357E-3</v>
      </c>
      <c r="S461" s="12">
        <f t="shared" ca="1" si="61"/>
        <v>-2.7381247848330403E-3</v>
      </c>
      <c r="T461" s="12">
        <f t="shared" ca="1" si="61"/>
        <v>-3.2666890866690501E-3</v>
      </c>
      <c r="U461" s="12">
        <f t="shared" ca="1" si="61"/>
        <v>3.1127562849819768E-4</v>
      </c>
      <c r="V461" s="12">
        <f t="shared" ca="1" si="61"/>
        <v>-3.2191243321966212E-3</v>
      </c>
      <c r="W461" s="12">
        <f t="shared" ca="1" si="61"/>
        <v>2.4950726425574388E-3</v>
      </c>
      <c r="X461" s="12">
        <f t="shared" ca="1" si="61"/>
        <v>6.9143873301234615E-2</v>
      </c>
      <c r="Y461" s="12">
        <f t="shared" ca="1" si="61"/>
        <v>5.5920308654293871E-2</v>
      </c>
      <c r="Z461" s="12">
        <f t="shared" ca="1" si="61"/>
        <v>1.5043114488175524E-2</v>
      </c>
    </row>
    <row r="462" spans="13:26">
      <c r="M462" s="13">
        <v>459</v>
      </c>
      <c r="N462" s="15">
        <f t="shared" ca="1" si="59"/>
        <v>9</v>
      </c>
      <c r="O462" s="13">
        <v>459</v>
      </c>
      <c r="P462" s="19">
        <f t="shared" ca="1" si="60"/>
        <v>41486</v>
      </c>
      <c r="Q462" s="12">
        <f t="shared" ca="1" si="61"/>
        <v>2.5333333333333334E-5</v>
      </c>
      <c r="R462" s="12">
        <f t="shared" ca="1" si="61"/>
        <v>1.5896724164516929E-3</v>
      </c>
      <c r="S462" s="12">
        <f t="shared" ca="1" si="61"/>
        <v>1.6320780788763312E-3</v>
      </c>
      <c r="T462" s="12">
        <f t="shared" ca="1" si="61"/>
        <v>4.1877250782442754E-3</v>
      </c>
      <c r="U462" s="12">
        <f t="shared" ca="1" si="61"/>
        <v>-1.9451251847627526E-3</v>
      </c>
      <c r="V462" s="12">
        <f t="shared" ca="1" si="61"/>
        <v>1.4120337701157837E-3</v>
      </c>
      <c r="W462" s="12">
        <f t="shared" ca="1" si="61"/>
        <v>7.3868715089695502E-3</v>
      </c>
      <c r="X462" s="12">
        <f t="shared" ca="1" si="61"/>
        <v>4.9462111213487203E-2</v>
      </c>
      <c r="Y462" s="12">
        <f t="shared" ca="1" si="61"/>
        <v>5.1871228767744526E-2</v>
      </c>
      <c r="Z462" s="12">
        <f t="shared" ca="1" si="61"/>
        <v>7.333965152730193E-2</v>
      </c>
    </row>
    <row r="463" spans="13:26">
      <c r="M463" s="13">
        <v>460</v>
      </c>
      <c r="N463" s="15">
        <f t="shared" ca="1" si="59"/>
        <v>43</v>
      </c>
      <c r="O463" s="13">
        <v>460</v>
      </c>
      <c r="P463" s="19">
        <f t="shared" ca="1" si="60"/>
        <v>42521</v>
      </c>
      <c r="Q463" s="12">
        <f t="shared" ca="1" si="61"/>
        <v>1.7374999999999999E-4</v>
      </c>
      <c r="R463" s="12">
        <f t="shared" ca="1" si="61"/>
        <v>-1.0628856830331435E-3</v>
      </c>
      <c r="S463" s="12">
        <f t="shared" ca="1" si="61"/>
        <v>-5.5927657376853013E-4</v>
      </c>
      <c r="T463" s="12">
        <f t="shared" ca="1" si="61"/>
        <v>1.5459070746159931E-4</v>
      </c>
      <c r="U463" s="12">
        <f t="shared" ca="1" si="61"/>
        <v>3.748514902548461E-4</v>
      </c>
      <c r="V463" s="12">
        <f t="shared" ca="1" si="61"/>
        <v>3.9650403269497758E-4</v>
      </c>
      <c r="W463" s="12">
        <f t="shared" ca="1" si="61"/>
        <v>-6.4936379649593867E-4</v>
      </c>
      <c r="X463" s="12">
        <f t="shared" ca="1" si="61"/>
        <v>1.5329492083474561E-2</v>
      </c>
      <c r="Y463" s="12">
        <f t="shared" ca="1" si="61"/>
        <v>2.2803447450323588E-3</v>
      </c>
      <c r="Z463" s="12">
        <f t="shared" ca="1" si="61"/>
        <v>-6.0454724668156157E-2</v>
      </c>
    </row>
    <row r="464" spans="13:26">
      <c r="M464" s="13">
        <v>461</v>
      </c>
      <c r="N464" s="15">
        <f t="shared" ca="1" si="59"/>
        <v>89</v>
      </c>
      <c r="O464" s="13">
        <v>461</v>
      </c>
      <c r="P464" s="19">
        <f t="shared" ca="1" si="60"/>
        <v>43921</v>
      </c>
      <c r="Q464" s="12">
        <f t="shared" ref="Q464:Z473" ca="1" si="62">INDEX(histrets,$N464,Q$1)</f>
        <v>1.0558333333333333E-3</v>
      </c>
      <c r="R464" s="12">
        <f t="shared" ca="1" si="62"/>
        <v>1.3718685826674903E-2</v>
      </c>
      <c r="S464" s="12">
        <f t="shared" ca="1" si="62"/>
        <v>8.1095810185372041E-3</v>
      </c>
      <c r="T464" s="12">
        <f t="shared" ca="1" si="62"/>
        <v>-2.7939758182719765E-2</v>
      </c>
      <c r="U464" s="12">
        <f t="shared" ca="1" si="62"/>
        <v>3.2641882382009157E-2</v>
      </c>
      <c r="V464" s="12">
        <f t="shared" ca="1" si="62"/>
        <v>9.480625065106052E-3</v>
      </c>
      <c r="W464" s="12">
        <f t="shared" ca="1" si="62"/>
        <v>-7.4740274503774518E-2</v>
      </c>
      <c r="X464" s="12">
        <f t="shared" ca="1" si="62"/>
        <v>-0.12511932083595656</v>
      </c>
      <c r="Y464" s="12">
        <f t="shared" ca="1" si="62"/>
        <v>-0.13469118965774918</v>
      </c>
      <c r="Z464" s="12">
        <f t="shared" ca="1" si="62"/>
        <v>-5.366748860117676E-3</v>
      </c>
    </row>
    <row r="465" spans="13:26">
      <c r="M465" s="13">
        <v>462</v>
      </c>
      <c r="N465" s="15">
        <f t="shared" ca="1" si="59"/>
        <v>93</v>
      </c>
      <c r="O465" s="13">
        <v>462</v>
      </c>
      <c r="P465" s="19">
        <f t="shared" ca="1" si="60"/>
        <v>44043</v>
      </c>
      <c r="Q465" s="12">
        <f t="shared" ca="1" si="62"/>
        <v>1.0775E-4</v>
      </c>
      <c r="R465" s="12">
        <f t="shared" ca="1" si="62"/>
        <v>1.0103463581248029E-3</v>
      </c>
      <c r="S465" s="12">
        <f t="shared" ca="1" si="62"/>
        <v>1.4125780096754248E-3</v>
      </c>
      <c r="T465" s="12">
        <f t="shared" ca="1" si="62"/>
        <v>4.9928822698981357E-3</v>
      </c>
      <c r="U465" s="12">
        <f t="shared" ca="1" si="62"/>
        <v>1.2115901614529578E-2</v>
      </c>
      <c r="V465" s="12">
        <f t="shared" ca="1" si="62"/>
        <v>4.0932956725081571E-3</v>
      </c>
      <c r="W465" s="12">
        <f t="shared" ca="1" si="62"/>
        <v>3.1507368893236354E-2</v>
      </c>
      <c r="X465" s="12">
        <f t="shared" ca="1" si="62"/>
        <v>5.5101296975444303E-2</v>
      </c>
      <c r="Y465" s="12">
        <f t="shared" ca="1" si="62"/>
        <v>4.6866413236503091E-2</v>
      </c>
      <c r="Z465" s="12">
        <f t="shared" ca="1" si="62"/>
        <v>0.10943536070433924</v>
      </c>
    </row>
    <row r="466" spans="13:26">
      <c r="M466" s="13">
        <v>463</v>
      </c>
      <c r="N466" s="15">
        <f t="shared" ca="1" si="59"/>
        <v>50</v>
      </c>
      <c r="O466" s="13">
        <v>463</v>
      </c>
      <c r="P466" s="19">
        <f t="shared" ca="1" si="60"/>
        <v>42734</v>
      </c>
      <c r="Q466" s="12">
        <f t="shared" ca="1" si="62"/>
        <v>3.9758333333333334E-4</v>
      </c>
      <c r="R466" s="12">
        <f t="shared" ca="1" si="62"/>
        <v>2.9691875786408417E-4</v>
      </c>
      <c r="S466" s="12">
        <f t="shared" ca="1" si="62"/>
        <v>6.4168917337914522E-4</v>
      </c>
      <c r="T466" s="12">
        <f t="shared" ca="1" si="62"/>
        <v>1.638235623849349E-3</v>
      </c>
      <c r="U466" s="12">
        <f t="shared" ca="1" si="62"/>
        <v>-1.1464242847030182E-3</v>
      </c>
      <c r="V466" s="12">
        <f t="shared" ca="1" si="62"/>
        <v>-1.4365171732482196E-3</v>
      </c>
      <c r="W466" s="12">
        <f t="shared" ca="1" si="62"/>
        <v>6.2562737648186317E-3</v>
      </c>
      <c r="X466" s="12">
        <f t="shared" ca="1" si="62"/>
        <v>1.8200754044233047E-2</v>
      </c>
      <c r="Y466" s="12">
        <f t="shared" ca="1" si="62"/>
        <v>2.2855106916108481E-2</v>
      </c>
      <c r="Z466" s="12">
        <f t="shared" ca="1" si="62"/>
        <v>-2.1905898397545198E-2</v>
      </c>
    </row>
    <row r="467" spans="13:26">
      <c r="M467" s="13">
        <v>464</v>
      </c>
      <c r="N467" s="15">
        <f t="shared" ca="1" si="59"/>
        <v>100</v>
      </c>
      <c r="O467" s="13">
        <v>464</v>
      </c>
      <c r="P467" s="19">
        <f t="shared" ca="1" si="60"/>
        <v>44253</v>
      </c>
      <c r="Q467" s="12">
        <f t="shared" ca="1" si="62"/>
        <v>4.0166666666666669E-5</v>
      </c>
      <c r="R467" s="12">
        <f t="shared" ca="1" si="62"/>
        <v>-8.032788309566552E-4</v>
      </c>
      <c r="S467" s="12">
        <f t="shared" ca="1" si="62"/>
        <v>-6.6979138910350233E-4</v>
      </c>
      <c r="T467" s="12">
        <f t="shared" ca="1" si="62"/>
        <v>3.9661953240144321E-4</v>
      </c>
      <c r="U467" s="12">
        <f t="shared" ca="1" si="62"/>
        <v>-2.2862166673725981E-2</v>
      </c>
      <c r="V467" s="12">
        <f t="shared" ca="1" si="62"/>
        <v>-9.3254001979963252E-3</v>
      </c>
      <c r="W467" s="12">
        <f t="shared" ca="1" si="62"/>
        <v>-1.9555030410549623E-2</v>
      </c>
      <c r="X467" s="12">
        <f t="shared" ca="1" si="62"/>
        <v>2.6091474971999817E-2</v>
      </c>
      <c r="Y467" s="12">
        <f t="shared" ca="1" si="62"/>
        <v>2.4503229151403794E-2</v>
      </c>
      <c r="Z467" s="12">
        <f t="shared" ca="1" si="62"/>
        <v>-6.1488918355749211E-2</v>
      </c>
    </row>
    <row r="468" spans="13:26">
      <c r="M468" s="13">
        <v>465</v>
      </c>
      <c r="N468" s="15">
        <f t="shared" ca="1" si="59"/>
        <v>81</v>
      </c>
      <c r="O468" s="13">
        <v>465</v>
      </c>
      <c r="P468" s="19">
        <f t="shared" ca="1" si="60"/>
        <v>43677</v>
      </c>
      <c r="Q468" s="12">
        <f t="shared" ca="1" si="62"/>
        <v>1.7390000000000001E-3</v>
      </c>
      <c r="R468" s="12">
        <f t="shared" ca="1" si="62"/>
        <v>-1.1790413866580307E-3</v>
      </c>
      <c r="S468" s="12">
        <f t="shared" ca="1" si="62"/>
        <v>-4.6832241463723445E-4</v>
      </c>
      <c r="T468" s="12">
        <f t="shared" ca="1" si="62"/>
        <v>1.2056677051768272E-3</v>
      </c>
      <c r="U468" s="12">
        <f t="shared" ca="1" si="62"/>
        <v>-1.0532070272051275E-3</v>
      </c>
      <c r="V468" s="12">
        <f t="shared" ca="1" si="62"/>
        <v>-9.7982933382922965E-5</v>
      </c>
      <c r="W468" s="12">
        <f t="shared" ca="1" si="62"/>
        <v>6.5538327166687615E-3</v>
      </c>
      <c r="X468" s="12">
        <f t="shared" ca="1" si="62"/>
        <v>1.3128195366039375E-2</v>
      </c>
      <c r="Y468" s="12">
        <f t="shared" ca="1" si="62"/>
        <v>4.2279707117773846E-3</v>
      </c>
      <c r="Z468" s="12">
        <f t="shared" ca="1" si="62"/>
        <v>3.0009577524741093E-3</v>
      </c>
    </row>
    <row r="469" spans="13:26">
      <c r="M469" s="13">
        <v>466</v>
      </c>
      <c r="N469" s="15">
        <f t="shared" ca="1" si="59"/>
        <v>64</v>
      </c>
      <c r="O469" s="13">
        <v>466</v>
      </c>
      <c r="P469" s="19">
        <f t="shared" ca="1" si="60"/>
        <v>43159</v>
      </c>
      <c r="Q469" s="12">
        <f t="shared" ca="1" si="62"/>
        <v>1.2125833333333333E-3</v>
      </c>
      <c r="R469" s="12">
        <f t="shared" ca="1" si="62"/>
        <v>-3.7977924686849462E-4</v>
      </c>
      <c r="S469" s="12">
        <f t="shared" ca="1" si="62"/>
        <v>1.7365770487831611E-5</v>
      </c>
      <c r="T469" s="12">
        <f t="shared" ca="1" si="62"/>
        <v>-2.2637442459962909E-3</v>
      </c>
      <c r="U469" s="12">
        <f t="shared" ca="1" si="62"/>
        <v>-7.8760874663250657E-3</v>
      </c>
      <c r="V469" s="12">
        <f t="shared" ca="1" si="62"/>
        <v>-3.0430541002997025E-3</v>
      </c>
      <c r="W469" s="12">
        <f t="shared" ca="1" si="62"/>
        <v>-1.4964540778451663E-2</v>
      </c>
      <c r="X469" s="12">
        <f t="shared" ca="1" si="62"/>
        <v>-3.8947379604151844E-2</v>
      </c>
      <c r="Y469" s="12">
        <f t="shared" ca="1" si="62"/>
        <v>-4.3036453344418191E-2</v>
      </c>
      <c r="Z469" s="12">
        <f t="shared" ca="1" si="62"/>
        <v>-1.9945879239335773E-2</v>
      </c>
    </row>
    <row r="470" spans="13:26">
      <c r="M470" s="13">
        <v>467</v>
      </c>
      <c r="N470" s="15">
        <f t="shared" ca="1" si="59"/>
        <v>14</v>
      </c>
      <c r="O470" s="13">
        <v>467</v>
      </c>
      <c r="P470" s="19">
        <f t="shared" ca="1" si="60"/>
        <v>41639</v>
      </c>
      <c r="Q470" s="12">
        <f t="shared" ca="1" si="62"/>
        <v>4.6499999999999999E-5</v>
      </c>
      <c r="R470" s="12">
        <f t="shared" ca="1" si="62"/>
        <v>-1.3626905157968494E-3</v>
      </c>
      <c r="S470" s="12">
        <f t="shared" ca="1" si="62"/>
        <v>-1.0449329264931029E-3</v>
      </c>
      <c r="T470" s="12">
        <f t="shared" ca="1" si="62"/>
        <v>-2.9149177684706373E-4</v>
      </c>
      <c r="U470" s="12">
        <f t="shared" ca="1" si="62"/>
        <v>-1.0392957075136766E-2</v>
      </c>
      <c r="V470" s="12">
        <f t="shared" ca="1" si="62"/>
        <v>-6.3905976357661043E-3</v>
      </c>
      <c r="W470" s="12">
        <f t="shared" ca="1" si="62"/>
        <v>-1.7959320051789129E-3</v>
      </c>
      <c r="X470" s="12">
        <f t="shared" ca="1" si="62"/>
        <v>2.3562833299184183E-2</v>
      </c>
      <c r="Y470" s="12">
        <f t="shared" ca="1" si="62"/>
        <v>2.0050109922501447E-2</v>
      </c>
      <c r="Z470" s="12">
        <f t="shared" ca="1" si="62"/>
        <v>-4.125743008736571E-2</v>
      </c>
    </row>
    <row r="471" spans="13:26">
      <c r="M471" s="13">
        <v>468</v>
      </c>
      <c r="N471" s="15">
        <f t="shared" ca="1" si="59"/>
        <v>46</v>
      </c>
      <c r="O471" s="13">
        <v>468</v>
      </c>
      <c r="P471" s="19">
        <f t="shared" ca="1" si="60"/>
        <v>42613</v>
      </c>
      <c r="Q471" s="12">
        <f t="shared" ca="1" si="62"/>
        <v>2.1133333333333334E-4</v>
      </c>
      <c r="R471" s="12">
        <f t="shared" ca="1" si="62"/>
        <v>-1.6602050811351798E-3</v>
      </c>
      <c r="S471" s="12">
        <f t="shared" ca="1" si="62"/>
        <v>-8.8058716350547517E-4</v>
      </c>
      <c r="T471" s="12">
        <f t="shared" ca="1" si="62"/>
        <v>3.1979744558774392E-4</v>
      </c>
      <c r="U471" s="12">
        <f t="shared" ca="1" si="62"/>
        <v>-5.7267215803793459E-3</v>
      </c>
      <c r="V471" s="12">
        <f t="shared" ca="1" si="62"/>
        <v>-1.9741681522077448E-3</v>
      </c>
      <c r="W471" s="12">
        <f t="shared" ca="1" si="62"/>
        <v>2.7415164014816806E-3</v>
      </c>
      <c r="X471" s="12">
        <f t="shared" ca="1" si="62"/>
        <v>-1.2191755612808164E-3</v>
      </c>
      <c r="Y471" s="12">
        <f t="shared" ca="1" si="62"/>
        <v>-1.3183953908432189E-3</v>
      </c>
      <c r="Z471" s="12">
        <f t="shared" ca="1" si="62"/>
        <v>-3.1311053223610164E-2</v>
      </c>
    </row>
    <row r="472" spans="13:26">
      <c r="M472" s="13">
        <v>469</v>
      </c>
      <c r="N472" s="15">
        <f t="shared" ca="1" si="59"/>
        <v>44</v>
      </c>
      <c r="O472" s="13">
        <v>469</v>
      </c>
      <c r="P472" s="19">
        <f t="shared" ca="1" si="60"/>
        <v>42551</v>
      </c>
      <c r="Q472" s="12">
        <f t="shared" ca="1" si="62"/>
        <v>2.3741666666666665E-4</v>
      </c>
      <c r="R472" s="12">
        <f t="shared" ca="1" si="62"/>
        <v>5.9906889937983987E-3</v>
      </c>
      <c r="S472" s="12">
        <f t="shared" ca="1" si="62"/>
        <v>4.4449665516266279E-3</v>
      </c>
      <c r="T472" s="12">
        <f t="shared" ca="1" si="62"/>
        <v>6.0790218284707542E-3</v>
      </c>
      <c r="U472" s="12">
        <f t="shared" ca="1" si="62"/>
        <v>2.3245915429732422E-2</v>
      </c>
      <c r="V472" s="12">
        <f t="shared" ca="1" si="62"/>
        <v>1.2764522849498583E-2</v>
      </c>
      <c r="W472" s="12">
        <f t="shared" ca="1" si="62"/>
        <v>2.179508100404437E-2</v>
      </c>
      <c r="X472" s="12">
        <f t="shared" ca="1" si="62"/>
        <v>9.0607355409733081E-4</v>
      </c>
      <c r="Y472" s="12">
        <f t="shared" ca="1" si="62"/>
        <v>-1.2767151754736861E-2</v>
      </c>
      <c r="Z472" s="12">
        <f t="shared" ca="1" si="62"/>
        <v>8.768811763060258E-2</v>
      </c>
    </row>
    <row r="473" spans="13:26">
      <c r="M473" s="13">
        <v>470</v>
      </c>
      <c r="N473" s="15">
        <f t="shared" ca="1" si="59"/>
        <v>89</v>
      </c>
      <c r="O473" s="13">
        <v>470</v>
      </c>
      <c r="P473" s="19">
        <f t="shared" ca="1" si="60"/>
        <v>43921</v>
      </c>
      <c r="Q473" s="12">
        <f t="shared" ca="1" si="62"/>
        <v>1.0558333333333333E-3</v>
      </c>
      <c r="R473" s="12">
        <f t="shared" ca="1" si="62"/>
        <v>1.3718685826674903E-2</v>
      </c>
      <c r="S473" s="12">
        <f t="shared" ca="1" si="62"/>
        <v>8.1095810185372041E-3</v>
      </c>
      <c r="T473" s="12">
        <f t="shared" ca="1" si="62"/>
        <v>-2.7939758182719765E-2</v>
      </c>
      <c r="U473" s="12">
        <f t="shared" ca="1" si="62"/>
        <v>3.2641882382009157E-2</v>
      </c>
      <c r="V473" s="12">
        <f t="shared" ca="1" si="62"/>
        <v>9.480625065106052E-3</v>
      </c>
      <c r="W473" s="12">
        <f t="shared" ca="1" si="62"/>
        <v>-7.4740274503774518E-2</v>
      </c>
      <c r="X473" s="12">
        <f t="shared" ca="1" si="62"/>
        <v>-0.12511932083595656</v>
      </c>
      <c r="Y473" s="12">
        <f t="shared" ca="1" si="62"/>
        <v>-0.13469118965774918</v>
      </c>
      <c r="Z473" s="12">
        <f t="shared" ca="1" si="62"/>
        <v>-5.366748860117676E-3</v>
      </c>
    </row>
    <row r="474" spans="13:26">
      <c r="M474" s="13">
        <v>471</v>
      </c>
      <c r="N474" s="15">
        <f t="shared" ca="1" si="59"/>
        <v>21</v>
      </c>
      <c r="O474" s="13">
        <v>471</v>
      </c>
      <c r="P474" s="19">
        <f t="shared" ca="1" si="60"/>
        <v>41851</v>
      </c>
      <c r="Q474" s="12">
        <f t="shared" ref="Q474:Z483" ca="1" si="63">INDEX(histrets,$N474,Q$1)</f>
        <v>1.6916666666666667E-5</v>
      </c>
      <c r="R474" s="12">
        <f t="shared" ca="1" si="63"/>
        <v>-7.8093230899733967E-4</v>
      </c>
      <c r="S474" s="12">
        <f t="shared" ca="1" si="63"/>
        <v>-7.1441213336875808E-4</v>
      </c>
      <c r="T474" s="12">
        <f t="shared" ca="1" si="63"/>
        <v>-8.9675605808192671E-4</v>
      </c>
      <c r="U474" s="12">
        <f t="shared" ca="1" si="63"/>
        <v>-1.4961171557231756E-3</v>
      </c>
      <c r="V474" s="12">
        <f t="shared" ca="1" si="63"/>
        <v>-9.0742118232678415E-4</v>
      </c>
      <c r="W474" s="12">
        <f t="shared" ca="1" si="63"/>
        <v>-1.1757998723708196E-3</v>
      </c>
      <c r="X474" s="12">
        <f t="shared" ca="1" si="63"/>
        <v>-1.5079863077291922E-2</v>
      </c>
      <c r="Y474" s="12">
        <f t="shared" ca="1" si="63"/>
        <v>-1.6674123274942443E-2</v>
      </c>
      <c r="Z474" s="12">
        <f t="shared" ca="1" si="63"/>
        <v>-3.3706764708098191E-2</v>
      </c>
    </row>
    <row r="475" spans="13:26">
      <c r="M475" s="13">
        <v>472</v>
      </c>
      <c r="N475" s="15">
        <f t="shared" ca="1" si="59"/>
        <v>64</v>
      </c>
      <c r="O475" s="13">
        <v>472</v>
      </c>
      <c r="P475" s="19">
        <f t="shared" ca="1" si="60"/>
        <v>43159</v>
      </c>
      <c r="Q475" s="12">
        <f t="shared" ca="1" si="63"/>
        <v>1.2125833333333333E-3</v>
      </c>
      <c r="R475" s="12">
        <f t="shared" ca="1" si="63"/>
        <v>-3.7977924686849462E-4</v>
      </c>
      <c r="S475" s="12">
        <f t="shared" ca="1" si="63"/>
        <v>1.7365770487831611E-5</v>
      </c>
      <c r="T475" s="12">
        <f t="shared" ca="1" si="63"/>
        <v>-2.2637442459962909E-3</v>
      </c>
      <c r="U475" s="12">
        <f t="shared" ca="1" si="63"/>
        <v>-7.8760874663250657E-3</v>
      </c>
      <c r="V475" s="12">
        <f t="shared" ca="1" si="63"/>
        <v>-3.0430541002997025E-3</v>
      </c>
      <c r="W475" s="12">
        <f t="shared" ca="1" si="63"/>
        <v>-1.4964540778451663E-2</v>
      </c>
      <c r="X475" s="12">
        <f t="shared" ca="1" si="63"/>
        <v>-3.8947379604151844E-2</v>
      </c>
      <c r="Y475" s="12">
        <f t="shared" ca="1" si="63"/>
        <v>-4.3036453344418191E-2</v>
      </c>
      <c r="Z475" s="12">
        <f t="shared" ca="1" si="63"/>
        <v>-1.9945879239335773E-2</v>
      </c>
    </row>
    <row r="476" spans="13:26">
      <c r="M476" s="13">
        <v>473</v>
      </c>
      <c r="N476" s="15">
        <f t="shared" ca="1" si="59"/>
        <v>127</v>
      </c>
      <c r="O476" s="13">
        <v>473</v>
      </c>
      <c r="P476" s="19">
        <f t="shared" ca="1" si="60"/>
        <v>45077</v>
      </c>
      <c r="Q476" s="12">
        <f t="shared" ca="1" si="63"/>
        <v>4.191833333333333E-3</v>
      </c>
      <c r="R476" s="12">
        <f t="shared" ca="1" si="63"/>
        <v>-3.4479770869045856E-3</v>
      </c>
      <c r="S476" s="12">
        <f t="shared" ca="1" si="63"/>
        <v>-3.2227731683034389E-3</v>
      </c>
      <c r="T476" s="12">
        <f t="shared" ca="1" si="63"/>
        <v>-1.7737598295631818E-3</v>
      </c>
      <c r="U476" s="12">
        <f t="shared" ca="1" si="63"/>
        <v>-1.2280652613657628E-2</v>
      </c>
      <c r="V476" s="12">
        <f t="shared" ca="1" si="63"/>
        <v>-5.1693738650140375E-3</v>
      </c>
      <c r="W476" s="12">
        <f t="shared" ca="1" si="63"/>
        <v>-1.3282449996727785E-2</v>
      </c>
      <c r="X476" s="12">
        <f t="shared" ca="1" si="63"/>
        <v>2.4823239348792381E-3</v>
      </c>
      <c r="Y476" s="12">
        <f t="shared" ca="1" si="63"/>
        <v>-1.247209909976621E-2</v>
      </c>
      <c r="Z476" s="12">
        <f t="shared" ca="1" si="63"/>
        <v>-1.370351758793964E-2</v>
      </c>
    </row>
    <row r="477" spans="13:26">
      <c r="M477" s="13">
        <v>474</v>
      </c>
      <c r="N477" s="15">
        <f t="shared" ca="1" si="59"/>
        <v>54</v>
      </c>
      <c r="O477" s="13">
        <v>474</v>
      </c>
      <c r="P477" s="19">
        <f t="shared" ca="1" si="60"/>
        <v>42853</v>
      </c>
      <c r="Q477" s="12">
        <f t="shared" ca="1" si="63"/>
        <v>6.2633333333333334E-4</v>
      </c>
      <c r="R477" s="12">
        <f t="shared" ca="1" si="63"/>
        <v>1.3859044506840945E-3</v>
      </c>
      <c r="S477" s="12">
        <f t="shared" ca="1" si="63"/>
        <v>1.3466246663074166E-3</v>
      </c>
      <c r="T477" s="12">
        <f t="shared" ca="1" si="63"/>
        <v>2.5485326666316865E-3</v>
      </c>
      <c r="U477" s="12">
        <f t="shared" ca="1" si="63"/>
        <v>7.0034395590732323E-3</v>
      </c>
      <c r="V477" s="12">
        <f t="shared" ca="1" si="63"/>
        <v>5.0291985433685849E-3</v>
      </c>
      <c r="W477" s="12">
        <f t="shared" ca="1" si="63"/>
        <v>9.9762185769320944E-3</v>
      </c>
      <c r="X477" s="12">
        <f t="shared" ca="1" si="63"/>
        <v>9.0912169025529899E-3</v>
      </c>
      <c r="Y477" s="12">
        <f t="shared" ca="1" si="63"/>
        <v>1.3265432731470739E-2</v>
      </c>
      <c r="Z477" s="12">
        <f t="shared" ca="1" si="63"/>
        <v>1.5273775216138263E-2</v>
      </c>
    </row>
    <row r="478" spans="13:26">
      <c r="M478" s="13">
        <v>475</v>
      </c>
      <c r="N478" s="15">
        <f t="shared" ca="1" si="59"/>
        <v>72</v>
      </c>
      <c r="O478" s="13">
        <v>475</v>
      </c>
      <c r="P478" s="19">
        <f t="shared" ca="1" si="60"/>
        <v>43404</v>
      </c>
      <c r="Q478" s="12">
        <f t="shared" ca="1" si="63"/>
        <v>1.8303333333333333E-3</v>
      </c>
      <c r="R478" s="12">
        <f t="shared" ca="1" si="63"/>
        <v>1.5164006202290636E-3</v>
      </c>
      <c r="S478" s="12">
        <f t="shared" ca="1" si="63"/>
        <v>1.2362527596325723E-3</v>
      </c>
      <c r="T478" s="12">
        <f t="shared" ca="1" si="63"/>
        <v>2.1380012441407636E-4</v>
      </c>
      <c r="U478" s="12">
        <f t="shared" ca="1" si="63"/>
        <v>-5.2709561006659689E-3</v>
      </c>
      <c r="V478" s="12">
        <f t="shared" ca="1" si="63"/>
        <v>-1.2742312416149648E-3</v>
      </c>
      <c r="W478" s="12">
        <f t="shared" ca="1" si="63"/>
        <v>-1.3513314082477024E-2</v>
      </c>
      <c r="X478" s="12">
        <f t="shared" ca="1" si="63"/>
        <v>-6.9403358979814644E-2</v>
      </c>
      <c r="Y478" s="12">
        <f t="shared" ca="1" si="63"/>
        <v>-7.4189220745326301E-2</v>
      </c>
      <c r="Z478" s="12">
        <f t="shared" ca="1" si="63"/>
        <v>2.0052398226521495E-2</v>
      </c>
    </row>
    <row r="479" spans="13:26">
      <c r="M479" s="13">
        <v>476</v>
      </c>
      <c r="N479" s="15">
        <f t="shared" ca="1" si="59"/>
        <v>3</v>
      </c>
      <c r="O479" s="13">
        <v>476</v>
      </c>
      <c r="P479" s="19">
        <f t="shared" ca="1" si="60"/>
        <v>41305</v>
      </c>
      <c r="Q479" s="12">
        <f t="shared" ca="1" si="63"/>
        <v>3.3833333333333334E-5</v>
      </c>
      <c r="R479" s="12">
        <f t="shared" ca="1" si="63"/>
        <v>1.1015399528546688E-4</v>
      </c>
      <c r="S479" s="12">
        <f t="shared" ca="1" si="63"/>
        <v>2.6974540434498984E-4</v>
      </c>
      <c r="T479" s="12">
        <f t="shared" ca="1" si="63"/>
        <v>2.0272989942340391E-3</v>
      </c>
      <c r="U479" s="12">
        <f t="shared" ca="1" si="63"/>
        <v>-9.5016863564771903E-3</v>
      </c>
      <c r="V479" s="12">
        <f t="shared" ca="1" si="63"/>
        <v>-4.3280887137527868E-3</v>
      </c>
      <c r="W479" s="12">
        <f t="shared" ca="1" si="63"/>
        <v>-7.1759738369659987E-3</v>
      </c>
      <c r="X479" s="12">
        <f t="shared" ca="1" si="63"/>
        <v>5.0428063581991145E-2</v>
      </c>
      <c r="Y479" s="12">
        <f t="shared" ca="1" si="63"/>
        <v>5.0033619723571121E-2</v>
      </c>
      <c r="Z479" s="12">
        <f t="shared" ca="1" si="63"/>
        <v>-6.9537708538514043E-3</v>
      </c>
    </row>
    <row r="480" spans="13:26">
      <c r="M480" s="13">
        <v>477</v>
      </c>
      <c r="N480" s="15">
        <f t="shared" ca="1" si="59"/>
        <v>41</v>
      </c>
      <c r="O480" s="13">
        <v>477</v>
      </c>
      <c r="P480" s="19">
        <f t="shared" ca="1" si="60"/>
        <v>42460</v>
      </c>
      <c r="Q480" s="12">
        <f t="shared" ca="1" si="63"/>
        <v>2.6283333333333334E-4</v>
      </c>
      <c r="R480" s="12">
        <f t="shared" ca="1" si="63"/>
        <v>1.7450488010437581E-3</v>
      </c>
      <c r="S480" s="12">
        <f t="shared" ca="1" si="63"/>
        <v>2.0434531973680947E-3</v>
      </c>
      <c r="T480" s="12">
        <f t="shared" ca="1" si="63"/>
        <v>8.4586985427637096E-3</v>
      </c>
      <c r="U480" s="12">
        <f t="shared" ca="1" si="63"/>
        <v>1.3902308915594297E-3</v>
      </c>
      <c r="V480" s="12">
        <f t="shared" ca="1" si="63"/>
        <v>2.4232475161714007E-3</v>
      </c>
      <c r="W480" s="12">
        <f t="shared" ca="1" si="63"/>
        <v>2.7141723803574269E-2</v>
      </c>
      <c r="X480" s="12">
        <f t="shared" ca="1" si="63"/>
        <v>6.5991108718941094E-2</v>
      </c>
      <c r="Y480" s="12">
        <f t="shared" ca="1" si="63"/>
        <v>6.5248162774614205E-2</v>
      </c>
      <c r="Z480" s="12">
        <f t="shared" ca="1" si="63"/>
        <v>-4.7793197542526089E-3</v>
      </c>
    </row>
    <row r="481" spans="13:26">
      <c r="M481" s="13">
        <v>478</v>
      </c>
      <c r="N481" s="15">
        <f t="shared" ca="1" si="59"/>
        <v>92</v>
      </c>
      <c r="O481" s="13">
        <v>478</v>
      </c>
      <c r="P481" s="19">
        <f t="shared" ca="1" si="60"/>
        <v>44012</v>
      </c>
      <c r="Q481" s="12">
        <f t="shared" ca="1" si="63"/>
        <v>1.0383333333333334E-4</v>
      </c>
      <c r="R481" s="12">
        <f t="shared" ca="1" si="63"/>
        <v>2.5720205318457978E-4</v>
      </c>
      <c r="S481" s="12">
        <f t="shared" ca="1" si="63"/>
        <v>3.4943001969378606E-4</v>
      </c>
      <c r="T481" s="12">
        <f t="shared" ca="1" si="63"/>
        <v>8.0694229120292782E-3</v>
      </c>
      <c r="U481" s="12">
        <f t="shared" ca="1" si="63"/>
        <v>1.0868782264197296E-3</v>
      </c>
      <c r="V481" s="12">
        <f t="shared" ca="1" si="63"/>
        <v>2.0532032618281182E-3</v>
      </c>
      <c r="W481" s="12">
        <f t="shared" ca="1" si="63"/>
        <v>2.0152707876929243E-2</v>
      </c>
      <c r="X481" s="12">
        <f t="shared" ca="1" si="63"/>
        <v>1.8388403283502663E-2</v>
      </c>
      <c r="Y481" s="12">
        <f t="shared" ca="1" si="63"/>
        <v>2.5099167551259738E-2</v>
      </c>
      <c r="Z481" s="12">
        <f t="shared" ca="1" si="63"/>
        <v>2.9296005825680371E-2</v>
      </c>
    </row>
    <row r="482" spans="13:26">
      <c r="M482" s="13">
        <v>479</v>
      </c>
      <c r="N482" s="15">
        <f t="shared" ca="1" si="59"/>
        <v>88</v>
      </c>
      <c r="O482" s="13">
        <v>479</v>
      </c>
      <c r="P482" s="19">
        <f t="shared" ca="1" si="60"/>
        <v>43889</v>
      </c>
      <c r="Q482" s="12">
        <f t="shared" ca="1" si="63"/>
        <v>1.2818333333333334E-3</v>
      </c>
      <c r="R482" s="12">
        <f t="shared" ca="1" si="63"/>
        <v>8.7077755112952016E-3</v>
      </c>
      <c r="S482" s="12">
        <f t="shared" ca="1" si="63"/>
        <v>6.9867636458949001E-3</v>
      </c>
      <c r="T482" s="12">
        <f t="shared" ca="1" si="63"/>
        <v>5.7640709532034151E-3</v>
      </c>
      <c r="U482" s="12">
        <f t="shared" ca="1" si="63"/>
        <v>2.7281550152716161E-2</v>
      </c>
      <c r="V482" s="12">
        <f t="shared" ca="1" si="63"/>
        <v>1.6583845828477273E-2</v>
      </c>
      <c r="W482" s="12">
        <f t="shared" ca="1" si="63"/>
        <v>1.2903863943770189E-2</v>
      </c>
      <c r="X482" s="12">
        <f t="shared" ca="1" si="63"/>
        <v>-8.4110469009648137E-2</v>
      </c>
      <c r="Y482" s="12">
        <f t="shared" ca="1" si="63"/>
        <v>-8.5932864016120103E-2</v>
      </c>
      <c r="Z482" s="12">
        <f t="shared" ca="1" si="63"/>
        <v>-2.1835435072616871E-3</v>
      </c>
    </row>
    <row r="483" spans="13:26">
      <c r="M483" s="13">
        <v>480</v>
      </c>
      <c r="N483" s="15">
        <f t="shared" ca="1" si="59"/>
        <v>91</v>
      </c>
      <c r="O483" s="13">
        <v>480</v>
      </c>
      <c r="P483" s="19">
        <f t="shared" ca="1" si="60"/>
        <v>43980</v>
      </c>
      <c r="Q483" s="12">
        <f t="shared" ca="1" si="63"/>
        <v>6.5666666666666659E-5</v>
      </c>
      <c r="R483" s="12">
        <f t="shared" ca="1" si="63"/>
        <v>6.5332407328955178E-4</v>
      </c>
      <c r="S483" s="12">
        <f t="shared" ca="1" si="63"/>
        <v>1.1219188398201574E-3</v>
      </c>
      <c r="T483" s="12">
        <f t="shared" ca="1" si="63"/>
        <v>1.1510566044761195E-2</v>
      </c>
      <c r="U483" s="12">
        <f t="shared" ca="1" si="63"/>
        <v>-3.0809051435478629E-3</v>
      </c>
      <c r="V483" s="12">
        <f t="shared" ca="1" si="63"/>
        <v>1.2924211926443885E-3</v>
      </c>
      <c r="W483" s="12">
        <f t="shared" ca="1" si="63"/>
        <v>1.7481872879328675E-2</v>
      </c>
      <c r="X483" s="12">
        <f t="shared" ca="1" si="63"/>
        <v>4.528177501261843E-2</v>
      </c>
      <c r="Y483" s="12">
        <f t="shared" ca="1" si="63"/>
        <v>4.6291740750663779E-2</v>
      </c>
      <c r="Z483" s="12">
        <f t="shared" ca="1" si="63"/>
        <v>2.5953157426623186E-2</v>
      </c>
    </row>
    <row r="484" spans="13:26">
      <c r="M484" s="13">
        <v>481</v>
      </c>
      <c r="N484" s="15">
        <f t="shared" ca="1" si="59"/>
        <v>93</v>
      </c>
      <c r="O484" s="13">
        <v>481</v>
      </c>
      <c r="P484" s="19">
        <f t="shared" ca="1" si="60"/>
        <v>44043</v>
      </c>
      <c r="Q484" s="12">
        <f t="shared" ref="Q484:Z493" ca="1" si="64">INDEX(histrets,$N484,Q$1)</f>
        <v>1.0775E-4</v>
      </c>
      <c r="R484" s="12">
        <f t="shared" ca="1" si="64"/>
        <v>1.0103463581248029E-3</v>
      </c>
      <c r="S484" s="12">
        <f t="shared" ca="1" si="64"/>
        <v>1.4125780096754248E-3</v>
      </c>
      <c r="T484" s="12">
        <f t="shared" ca="1" si="64"/>
        <v>4.9928822698981357E-3</v>
      </c>
      <c r="U484" s="12">
        <f t="shared" ca="1" si="64"/>
        <v>1.2115901614529578E-2</v>
      </c>
      <c r="V484" s="12">
        <f t="shared" ca="1" si="64"/>
        <v>4.0932956725081571E-3</v>
      </c>
      <c r="W484" s="12">
        <f t="shared" ca="1" si="64"/>
        <v>3.1507368893236354E-2</v>
      </c>
      <c r="X484" s="12">
        <f t="shared" ca="1" si="64"/>
        <v>5.5101296975444303E-2</v>
      </c>
      <c r="Y484" s="12">
        <f t="shared" ca="1" si="64"/>
        <v>4.6866413236503091E-2</v>
      </c>
      <c r="Z484" s="12">
        <f t="shared" ca="1" si="64"/>
        <v>0.10943536070433924</v>
      </c>
    </row>
    <row r="485" spans="13:26">
      <c r="M485" s="13">
        <v>482</v>
      </c>
      <c r="N485" s="15">
        <f t="shared" ca="1" si="59"/>
        <v>46</v>
      </c>
      <c r="O485" s="13">
        <v>482</v>
      </c>
      <c r="P485" s="19">
        <f t="shared" ca="1" si="60"/>
        <v>42613</v>
      </c>
      <c r="Q485" s="12">
        <f t="shared" ca="1" si="64"/>
        <v>2.1133333333333334E-4</v>
      </c>
      <c r="R485" s="12">
        <f t="shared" ca="1" si="64"/>
        <v>-1.6602050811351798E-3</v>
      </c>
      <c r="S485" s="12">
        <f t="shared" ca="1" si="64"/>
        <v>-8.8058716350547517E-4</v>
      </c>
      <c r="T485" s="12">
        <f t="shared" ca="1" si="64"/>
        <v>3.1979744558774392E-4</v>
      </c>
      <c r="U485" s="12">
        <f t="shared" ca="1" si="64"/>
        <v>-5.7267215803793459E-3</v>
      </c>
      <c r="V485" s="12">
        <f t="shared" ca="1" si="64"/>
        <v>-1.9741681522077448E-3</v>
      </c>
      <c r="W485" s="12">
        <f t="shared" ca="1" si="64"/>
        <v>2.7415164014816806E-3</v>
      </c>
      <c r="X485" s="12">
        <f t="shared" ca="1" si="64"/>
        <v>-1.2191755612808164E-3</v>
      </c>
      <c r="Y485" s="12">
        <f t="shared" ca="1" si="64"/>
        <v>-1.3183953908432189E-3</v>
      </c>
      <c r="Z485" s="12">
        <f t="shared" ca="1" si="64"/>
        <v>-3.1311053223610164E-2</v>
      </c>
    </row>
    <row r="486" spans="13:26">
      <c r="M486" s="13">
        <v>483</v>
      </c>
      <c r="N486" s="15">
        <f t="shared" ca="1" si="59"/>
        <v>38</v>
      </c>
      <c r="O486" s="13">
        <v>483</v>
      </c>
      <c r="P486" s="19">
        <f t="shared" ca="1" si="60"/>
        <v>42369</v>
      </c>
      <c r="Q486" s="12">
        <f t="shared" ca="1" si="64"/>
        <v>1.3983333333333334E-4</v>
      </c>
      <c r="R486" s="12">
        <f t="shared" ca="1" si="64"/>
        <v>-9.365642487412229E-4</v>
      </c>
      <c r="S486" s="12">
        <f t="shared" ca="1" si="64"/>
        <v>-1.2589213561818857E-3</v>
      </c>
      <c r="T486" s="12">
        <f t="shared" ca="1" si="64"/>
        <v>-2.4958607185572301E-3</v>
      </c>
      <c r="U486" s="12">
        <f t="shared" ca="1" si="64"/>
        <v>-1.5686691398054675E-3</v>
      </c>
      <c r="V486" s="12">
        <f t="shared" ca="1" si="64"/>
        <v>-2.4794726558212687E-3</v>
      </c>
      <c r="W486" s="12">
        <f t="shared" ca="1" si="64"/>
        <v>-8.6713379184790718E-3</v>
      </c>
      <c r="X486" s="12">
        <f t="shared" ca="1" si="64"/>
        <v>-1.7530198374358763E-2</v>
      </c>
      <c r="Y486" s="12">
        <f t="shared" ca="1" si="64"/>
        <v>-1.8655571293673345E-2</v>
      </c>
      <c r="Z486" s="12">
        <f t="shared" ca="1" si="64"/>
        <v>-3.4467537590278097E-3</v>
      </c>
    </row>
    <row r="487" spans="13:26">
      <c r="M487" s="13">
        <v>484</v>
      </c>
      <c r="N487" s="15">
        <f t="shared" ca="1" si="59"/>
        <v>107</v>
      </c>
      <c r="O487" s="13">
        <v>484</v>
      </c>
      <c r="P487" s="19">
        <f t="shared" ca="1" si="60"/>
        <v>44469</v>
      </c>
      <c r="Q487" s="12">
        <f t="shared" ca="1" si="64"/>
        <v>2.9583333333333332E-5</v>
      </c>
      <c r="R487" s="12">
        <f t="shared" ca="1" si="64"/>
        <v>-1.0048513877685128E-3</v>
      </c>
      <c r="S487" s="12">
        <f t="shared" ca="1" si="64"/>
        <v>-7.6437253088035284E-4</v>
      </c>
      <c r="T487" s="12">
        <f t="shared" ca="1" si="64"/>
        <v>-2.8779840011450286E-4</v>
      </c>
      <c r="U487" s="12">
        <f t="shared" ca="1" si="64"/>
        <v>-1.2014615583012089E-2</v>
      </c>
      <c r="V487" s="12">
        <f t="shared" ca="1" si="64"/>
        <v>-6.0025556246581235E-3</v>
      </c>
      <c r="W487" s="12">
        <f t="shared" ca="1" si="64"/>
        <v>-1.0569251398916846E-2</v>
      </c>
      <c r="X487" s="12">
        <f t="shared" ca="1" si="64"/>
        <v>-4.7569140421166334E-2</v>
      </c>
      <c r="Y487" s="12">
        <f t="shared" ca="1" si="64"/>
        <v>-4.2895570375793834E-2</v>
      </c>
      <c r="Z487" s="12">
        <f t="shared" ca="1" si="64"/>
        <v>-3.124689846825679E-2</v>
      </c>
    </row>
    <row r="488" spans="13:26">
      <c r="M488" s="13">
        <v>485</v>
      </c>
      <c r="N488" s="15">
        <f t="shared" ca="1" si="59"/>
        <v>109</v>
      </c>
      <c r="O488" s="13">
        <v>485</v>
      </c>
      <c r="P488" s="19">
        <f t="shared" ca="1" si="60"/>
        <v>44530</v>
      </c>
      <c r="Q488" s="12">
        <f t="shared" ca="1" si="64"/>
        <v>4.0166666666666669E-5</v>
      </c>
      <c r="R488" s="12">
        <f t="shared" ca="1" si="64"/>
        <v>1.9179953936432348E-4</v>
      </c>
      <c r="S488" s="12">
        <f t="shared" ca="1" si="64"/>
        <v>-4.641756393909402E-4</v>
      </c>
      <c r="T488" s="12">
        <f t="shared" ca="1" si="64"/>
        <v>-1.5428627549128882E-3</v>
      </c>
      <c r="U488" s="12">
        <f t="shared" ca="1" si="64"/>
        <v>8.9050093712257361E-3</v>
      </c>
      <c r="V488" s="12">
        <f t="shared" ca="1" si="64"/>
        <v>1.7489296007073829E-3</v>
      </c>
      <c r="W488" s="12">
        <f t="shared" ca="1" si="64"/>
        <v>9.181251245917732E-4</v>
      </c>
      <c r="X488" s="12">
        <f t="shared" ca="1" si="64"/>
        <v>-8.3337314184714906E-3</v>
      </c>
      <c r="Y488" s="12">
        <f t="shared" ca="1" si="64"/>
        <v>-2.2972032267310816E-2</v>
      </c>
      <c r="Z488" s="12">
        <f t="shared" ca="1" si="64"/>
        <v>-4.9680942928597149E-3</v>
      </c>
    </row>
    <row r="489" spans="13:26">
      <c r="M489" s="13">
        <v>486</v>
      </c>
      <c r="N489" s="15">
        <f t="shared" ca="1" si="59"/>
        <v>111</v>
      </c>
      <c r="O489" s="13">
        <v>486</v>
      </c>
      <c r="P489" s="19">
        <f t="shared" ca="1" si="60"/>
        <v>44592</v>
      </c>
      <c r="Q489" s="12">
        <f t="shared" ca="1" si="64"/>
        <v>2.5333333333333334E-5</v>
      </c>
      <c r="R489" s="12">
        <f t="shared" ca="1" si="64"/>
        <v>-6.5472663058070424E-3</v>
      </c>
      <c r="S489" s="12">
        <f t="shared" ca="1" si="64"/>
        <v>-6.7111001230306666E-3</v>
      </c>
      <c r="T489" s="12">
        <f t="shared" ca="1" si="64"/>
        <v>-7.4958829530974436E-3</v>
      </c>
      <c r="U489" s="12">
        <f t="shared" ca="1" si="64"/>
        <v>-1.8864479239942833E-2</v>
      </c>
      <c r="V489" s="12">
        <f t="shared" ca="1" si="64"/>
        <v>-1.2502210150905135E-2</v>
      </c>
      <c r="W489" s="12">
        <f t="shared" ca="1" si="64"/>
        <v>-3.124768304575265E-2</v>
      </c>
      <c r="X489" s="12">
        <f t="shared" ca="1" si="64"/>
        <v>-5.2585089106999772E-2</v>
      </c>
      <c r="Y489" s="12">
        <f t="shared" ca="1" si="64"/>
        <v>-5.343268156683878E-2</v>
      </c>
      <c r="Z489" s="12">
        <f t="shared" ca="1" si="64"/>
        <v>-1.7510387054450072E-2</v>
      </c>
    </row>
    <row r="490" spans="13:26">
      <c r="M490" s="13">
        <v>487</v>
      </c>
      <c r="N490" s="15">
        <f t="shared" ca="1" si="59"/>
        <v>127</v>
      </c>
      <c r="O490" s="13">
        <v>487</v>
      </c>
      <c r="P490" s="19">
        <f t="shared" ca="1" si="60"/>
        <v>45077</v>
      </c>
      <c r="Q490" s="12">
        <f t="shared" ca="1" si="64"/>
        <v>4.191833333333333E-3</v>
      </c>
      <c r="R490" s="12">
        <f t="shared" ca="1" si="64"/>
        <v>-3.4479770869045856E-3</v>
      </c>
      <c r="S490" s="12">
        <f t="shared" ca="1" si="64"/>
        <v>-3.2227731683034389E-3</v>
      </c>
      <c r="T490" s="12">
        <f t="shared" ca="1" si="64"/>
        <v>-1.7737598295631818E-3</v>
      </c>
      <c r="U490" s="12">
        <f t="shared" ca="1" si="64"/>
        <v>-1.2280652613657628E-2</v>
      </c>
      <c r="V490" s="12">
        <f t="shared" ca="1" si="64"/>
        <v>-5.1693738650140375E-3</v>
      </c>
      <c r="W490" s="12">
        <f t="shared" ca="1" si="64"/>
        <v>-1.3282449996727785E-2</v>
      </c>
      <c r="X490" s="12">
        <f t="shared" ca="1" si="64"/>
        <v>2.4823239348792381E-3</v>
      </c>
      <c r="Y490" s="12">
        <f t="shared" ca="1" si="64"/>
        <v>-1.247209909976621E-2</v>
      </c>
      <c r="Z490" s="12">
        <f t="shared" ca="1" si="64"/>
        <v>-1.370351758793964E-2</v>
      </c>
    </row>
    <row r="491" spans="13:26">
      <c r="M491" s="13">
        <v>488</v>
      </c>
      <c r="N491" s="15">
        <f t="shared" ca="1" si="59"/>
        <v>1</v>
      </c>
      <c r="O491" s="13">
        <v>488</v>
      </c>
      <c r="P491" s="19">
        <f t="shared" ca="1" si="60"/>
        <v>41243</v>
      </c>
      <c r="Q491" s="12">
        <f t="shared" ca="1" si="64"/>
        <v>8.8750000000000002E-5</v>
      </c>
      <c r="R491" s="12">
        <f t="shared" ca="1" si="64"/>
        <v>8.9025510352636061E-4</v>
      </c>
      <c r="S491" s="12">
        <f t="shared" ca="1" si="64"/>
        <v>7.4010668307344929E-4</v>
      </c>
      <c r="T491" s="12">
        <f t="shared" ca="1" si="64"/>
        <v>8.6192379333893676E-4</v>
      </c>
      <c r="U491" s="12">
        <f t="shared" ca="1" si="64"/>
        <v>5.7531373731054547E-3</v>
      </c>
      <c r="V491" s="12">
        <f t="shared" ca="1" si="64"/>
        <v>3.7147171217664088E-3</v>
      </c>
      <c r="W491" s="12">
        <f t="shared" ca="1" si="64"/>
        <v>-8.2135255640869431E-4</v>
      </c>
      <c r="X491" s="12">
        <f t="shared" ca="1" si="64"/>
        <v>2.8467029231815655E-3</v>
      </c>
      <c r="Y491" s="12">
        <f t="shared" ca="1" si="64"/>
        <v>1.0733603786342139E-2</v>
      </c>
      <c r="Z491" s="12">
        <f t="shared" ca="1" si="64"/>
        <v>-3.2952663237730828E-3</v>
      </c>
    </row>
    <row r="492" spans="13:26">
      <c r="M492" s="13">
        <v>489</v>
      </c>
      <c r="N492" s="15">
        <f t="shared" ca="1" si="59"/>
        <v>3</v>
      </c>
      <c r="O492" s="13">
        <v>489</v>
      </c>
      <c r="P492" s="19">
        <f t="shared" ca="1" si="60"/>
        <v>41305</v>
      </c>
      <c r="Q492" s="12">
        <f t="shared" ca="1" si="64"/>
        <v>3.3833333333333334E-5</v>
      </c>
      <c r="R492" s="12">
        <f t="shared" ca="1" si="64"/>
        <v>1.1015399528546688E-4</v>
      </c>
      <c r="S492" s="12">
        <f t="shared" ca="1" si="64"/>
        <v>2.6974540434498984E-4</v>
      </c>
      <c r="T492" s="12">
        <f t="shared" ca="1" si="64"/>
        <v>2.0272989942340391E-3</v>
      </c>
      <c r="U492" s="12">
        <f t="shared" ca="1" si="64"/>
        <v>-9.5016863564771903E-3</v>
      </c>
      <c r="V492" s="12">
        <f t="shared" ca="1" si="64"/>
        <v>-4.3280887137527868E-3</v>
      </c>
      <c r="W492" s="12">
        <f t="shared" ca="1" si="64"/>
        <v>-7.1759738369659987E-3</v>
      </c>
      <c r="X492" s="12">
        <f t="shared" ca="1" si="64"/>
        <v>5.0428063581991145E-2</v>
      </c>
      <c r="Y492" s="12">
        <f t="shared" ca="1" si="64"/>
        <v>5.0033619723571121E-2</v>
      </c>
      <c r="Z492" s="12">
        <f t="shared" ca="1" si="64"/>
        <v>-6.9537708538514043E-3</v>
      </c>
    </row>
    <row r="493" spans="13:26">
      <c r="M493" s="13">
        <v>490</v>
      </c>
      <c r="N493" s="15">
        <f t="shared" ca="1" si="59"/>
        <v>20</v>
      </c>
      <c r="O493" s="13">
        <v>490</v>
      </c>
      <c r="P493" s="19">
        <f t="shared" ca="1" si="60"/>
        <v>41820</v>
      </c>
      <c r="Q493" s="12">
        <f t="shared" ca="1" si="64"/>
        <v>2.5333333333333334E-5</v>
      </c>
      <c r="R493" s="12">
        <f t="shared" ca="1" si="64"/>
        <v>-4.440508980227964E-4</v>
      </c>
      <c r="S493" s="12">
        <f t="shared" ca="1" si="64"/>
        <v>-7.9459610050347518E-4</v>
      </c>
      <c r="T493" s="12">
        <f t="shared" ca="1" si="64"/>
        <v>4.9249367416459577E-4</v>
      </c>
      <c r="U493" s="12">
        <f t="shared" ca="1" si="64"/>
        <v>-1.5609181018162444E-3</v>
      </c>
      <c r="V493" s="12">
        <f t="shared" ca="1" si="64"/>
        <v>-6.5739502465411714E-4</v>
      </c>
      <c r="W493" s="12">
        <f t="shared" ca="1" si="64"/>
        <v>1.6740210267067734E-3</v>
      </c>
      <c r="X493" s="12">
        <f t="shared" ca="1" si="64"/>
        <v>1.9058313448431896E-2</v>
      </c>
      <c r="Y493" s="12">
        <f t="shared" ca="1" si="64"/>
        <v>1.6464744225095806E-2</v>
      </c>
      <c r="Z493" s="12">
        <f t="shared" ca="1" si="64"/>
        <v>6.2135906792138762E-2</v>
      </c>
    </row>
    <row r="494" spans="13:26">
      <c r="M494" s="13">
        <v>491</v>
      </c>
      <c r="N494" s="15">
        <f t="shared" ca="1" si="59"/>
        <v>76</v>
      </c>
      <c r="O494" s="13">
        <v>491</v>
      </c>
      <c r="P494" s="19">
        <f t="shared" ca="1" si="60"/>
        <v>43524</v>
      </c>
      <c r="Q494" s="12">
        <f t="shared" ref="Q494:Z503" ca="1" si="65">INDEX(histrets,$N494,Q$1)</f>
        <v>1.9865833333333333E-3</v>
      </c>
      <c r="R494" s="12">
        <f t="shared" ca="1" si="65"/>
        <v>1.0051696844186608E-3</v>
      </c>
      <c r="S494" s="12">
        <f t="shared" ca="1" si="65"/>
        <v>1.2578004850634095E-3</v>
      </c>
      <c r="T494" s="12">
        <f t="shared" ca="1" si="65"/>
        <v>3.5059253369462695E-3</v>
      </c>
      <c r="U494" s="12">
        <f t="shared" ca="1" si="65"/>
        <v>-2.7752785488605047E-3</v>
      </c>
      <c r="V494" s="12">
        <f t="shared" ca="1" si="65"/>
        <v>3.5532293312900975E-4</v>
      </c>
      <c r="W494" s="12">
        <f t="shared" ca="1" si="65"/>
        <v>3.595733609209395E-3</v>
      </c>
      <c r="X494" s="12">
        <f t="shared" ca="1" si="65"/>
        <v>2.9728930143116061E-2</v>
      </c>
      <c r="Y494" s="12">
        <f t="shared" ca="1" si="65"/>
        <v>2.8272261633037532E-2</v>
      </c>
      <c r="Z494" s="12">
        <f t="shared" ca="1" si="65"/>
        <v>-6.0018921475875064E-3</v>
      </c>
    </row>
    <row r="495" spans="13:26">
      <c r="M495" s="13">
        <v>492</v>
      </c>
      <c r="N495" s="15">
        <f t="shared" ca="1" si="59"/>
        <v>42</v>
      </c>
      <c r="O495" s="13">
        <v>492</v>
      </c>
      <c r="P495" s="19">
        <f t="shared" ca="1" si="60"/>
        <v>42489</v>
      </c>
      <c r="Q495" s="12">
        <f t="shared" ca="1" si="65"/>
        <v>1.6525000000000001E-4</v>
      </c>
      <c r="R495" s="12">
        <f t="shared" ca="1" si="65"/>
        <v>3.6216580311787538E-4</v>
      </c>
      <c r="S495" s="12">
        <f t="shared" ca="1" si="65"/>
        <v>2.4757090883142929E-4</v>
      </c>
      <c r="T495" s="12">
        <f t="shared" ca="1" si="65"/>
        <v>4.1174784036310808E-3</v>
      </c>
      <c r="U495" s="12">
        <f t="shared" ca="1" si="65"/>
        <v>-1.2004718966450723E-3</v>
      </c>
      <c r="V495" s="12">
        <f t="shared" ca="1" si="65"/>
        <v>2.7608070445017674E-4</v>
      </c>
      <c r="W495" s="12">
        <f t="shared" ca="1" si="65"/>
        <v>1.3602736367879897E-2</v>
      </c>
      <c r="X495" s="12">
        <f t="shared" ca="1" si="65"/>
        <v>2.69936982337593E-3</v>
      </c>
      <c r="Y495" s="12">
        <f t="shared" ca="1" si="65"/>
        <v>1.3761133898017253E-2</v>
      </c>
      <c r="Z495" s="12">
        <f t="shared" ca="1" si="65"/>
        <v>4.9304400730074915E-2</v>
      </c>
    </row>
    <row r="496" spans="13:26">
      <c r="M496" s="13">
        <v>493</v>
      </c>
      <c r="N496" s="15">
        <f t="shared" ca="1" si="59"/>
        <v>7</v>
      </c>
      <c r="O496" s="13">
        <v>493</v>
      </c>
      <c r="P496" s="19">
        <f t="shared" ca="1" si="60"/>
        <v>41425</v>
      </c>
      <c r="Q496" s="12">
        <f t="shared" ca="1" si="65"/>
        <v>3.8000000000000002E-5</v>
      </c>
      <c r="R496" s="12">
        <f t="shared" ca="1" si="65"/>
        <v>-1.4332694370678967E-3</v>
      </c>
      <c r="S496" s="12">
        <f t="shared" ca="1" si="65"/>
        <v>-1.2679342756223289E-3</v>
      </c>
      <c r="T496" s="12">
        <f t="shared" ca="1" si="65"/>
        <v>-1.2016687372311541E-3</v>
      </c>
      <c r="U496" s="12">
        <f t="shared" ca="1" si="65"/>
        <v>-2.0148458119876533E-2</v>
      </c>
      <c r="V496" s="12">
        <f t="shared" ca="1" si="65"/>
        <v>-1.1394651714774939E-2</v>
      </c>
      <c r="W496" s="12">
        <f t="shared" ca="1" si="65"/>
        <v>-2.2811171118688689E-2</v>
      </c>
      <c r="X496" s="12">
        <f t="shared" ca="1" si="65"/>
        <v>2.0762783477406455E-2</v>
      </c>
      <c r="Y496" s="12">
        <f t="shared" ca="1" si="65"/>
        <v>-2.8520330049995879E-3</v>
      </c>
      <c r="Z496" s="12">
        <f t="shared" ca="1" si="65"/>
        <v>-6.0208165448869533E-2</v>
      </c>
    </row>
    <row r="497" spans="13:26">
      <c r="M497" s="13">
        <v>494</v>
      </c>
      <c r="N497" s="15">
        <f t="shared" ca="1" si="59"/>
        <v>86</v>
      </c>
      <c r="O497" s="13">
        <v>494</v>
      </c>
      <c r="P497" s="19">
        <f t="shared" ca="1" si="60"/>
        <v>43830</v>
      </c>
      <c r="Q497" s="12">
        <f t="shared" ca="1" si="65"/>
        <v>1.3059999999999999E-3</v>
      </c>
      <c r="R497" s="12">
        <f t="shared" ca="1" si="65"/>
        <v>2.1205151268308686E-3</v>
      </c>
      <c r="S497" s="12">
        <f t="shared" ca="1" si="65"/>
        <v>2.0915015047420216E-3</v>
      </c>
      <c r="T497" s="12">
        <f t="shared" ca="1" si="65"/>
        <v>3.4688001557421355E-3</v>
      </c>
      <c r="U497" s="12">
        <f t="shared" ca="1" si="65"/>
        <v>-6.162005891732214E-3</v>
      </c>
      <c r="V497" s="12">
        <f t="shared" ca="1" si="65"/>
        <v>-2.0535388229255824E-3</v>
      </c>
      <c r="W497" s="12">
        <f t="shared" ca="1" si="65"/>
        <v>3.1502213769212251E-3</v>
      </c>
      <c r="X497" s="12">
        <f t="shared" ca="1" si="65"/>
        <v>2.8589803182446305E-2</v>
      </c>
      <c r="Y497" s="12">
        <f t="shared" ca="1" si="65"/>
        <v>2.8884157992548731E-2</v>
      </c>
      <c r="Z497" s="12">
        <f t="shared" ca="1" si="65"/>
        <v>3.640077050232926E-2</v>
      </c>
    </row>
    <row r="498" spans="13:26">
      <c r="M498" s="13">
        <v>495</v>
      </c>
      <c r="N498" s="15">
        <f t="shared" ca="1" si="59"/>
        <v>54</v>
      </c>
      <c r="O498" s="13">
        <v>495</v>
      </c>
      <c r="P498" s="19">
        <f t="shared" ca="1" si="60"/>
        <v>42853</v>
      </c>
      <c r="Q498" s="12">
        <f t="shared" ca="1" si="65"/>
        <v>6.2633333333333334E-4</v>
      </c>
      <c r="R498" s="12">
        <f t="shared" ca="1" si="65"/>
        <v>1.3859044506840945E-3</v>
      </c>
      <c r="S498" s="12">
        <f t="shared" ca="1" si="65"/>
        <v>1.3466246663074166E-3</v>
      </c>
      <c r="T498" s="12">
        <f t="shared" ca="1" si="65"/>
        <v>2.5485326666316865E-3</v>
      </c>
      <c r="U498" s="12">
        <f t="shared" ca="1" si="65"/>
        <v>7.0034395590732323E-3</v>
      </c>
      <c r="V498" s="12">
        <f t="shared" ca="1" si="65"/>
        <v>5.0291985433685849E-3</v>
      </c>
      <c r="W498" s="12">
        <f t="shared" ca="1" si="65"/>
        <v>9.9762185769320944E-3</v>
      </c>
      <c r="X498" s="12">
        <f t="shared" ca="1" si="65"/>
        <v>9.0912169025529899E-3</v>
      </c>
      <c r="Y498" s="12">
        <f t="shared" ca="1" si="65"/>
        <v>1.3265432731470739E-2</v>
      </c>
      <c r="Z498" s="12">
        <f t="shared" ca="1" si="65"/>
        <v>1.5273775216138263E-2</v>
      </c>
    </row>
    <row r="499" spans="13:26">
      <c r="M499" s="13">
        <v>496</v>
      </c>
      <c r="N499" s="15">
        <f t="shared" ca="1" si="59"/>
        <v>12</v>
      </c>
      <c r="O499" s="13">
        <v>496</v>
      </c>
      <c r="P499" s="19">
        <f t="shared" ca="1" si="60"/>
        <v>41578</v>
      </c>
      <c r="Q499" s="12">
        <f t="shared" ca="1" si="65"/>
        <v>4.25E-6</v>
      </c>
      <c r="R499" s="12">
        <f t="shared" ca="1" si="65"/>
        <v>1.0262168533272664E-3</v>
      </c>
      <c r="S499" s="12">
        <f t="shared" ca="1" si="65"/>
        <v>1.6937705168518224E-3</v>
      </c>
      <c r="T499" s="12">
        <f t="shared" ca="1" si="65"/>
        <v>3.8961680711877555E-3</v>
      </c>
      <c r="U499" s="12">
        <f t="shared" ca="1" si="65"/>
        <v>5.4804354642623565E-3</v>
      </c>
      <c r="V499" s="12">
        <f t="shared" ca="1" si="65"/>
        <v>4.7594010612186377E-3</v>
      </c>
      <c r="W499" s="12">
        <f t="shared" ca="1" si="65"/>
        <v>1.4968260558051671E-2</v>
      </c>
      <c r="X499" s="12">
        <f t="shared" ca="1" si="65"/>
        <v>4.4595759864410889E-2</v>
      </c>
      <c r="Y499" s="12">
        <f t="shared" ca="1" si="65"/>
        <v>3.8343687446150909E-2</v>
      </c>
      <c r="Z499" s="12">
        <f t="shared" ca="1" si="65"/>
        <v>-4.4919979232974638E-3</v>
      </c>
    </row>
    <row r="500" spans="13:26">
      <c r="M500" s="13">
        <v>497</v>
      </c>
      <c r="N500" s="15">
        <f t="shared" ca="1" si="59"/>
        <v>79</v>
      </c>
      <c r="O500" s="13">
        <v>497</v>
      </c>
      <c r="P500" s="19">
        <f t="shared" ca="1" si="60"/>
        <v>43616</v>
      </c>
      <c r="Q500" s="12">
        <f t="shared" ca="1" si="65"/>
        <v>2.0082500000000001E-3</v>
      </c>
      <c r="R500" s="12">
        <f t="shared" ca="1" si="65"/>
        <v>7.0972646150306851E-3</v>
      </c>
      <c r="S500" s="12">
        <f t="shared" ca="1" si="65"/>
        <v>6.6454558664943431E-3</v>
      </c>
      <c r="T500" s="12">
        <f t="shared" ca="1" si="65"/>
        <v>5.5851148528454075E-3</v>
      </c>
      <c r="U500" s="12">
        <f t="shared" ca="1" si="65"/>
        <v>2.4430574842440933E-2</v>
      </c>
      <c r="V500" s="12">
        <f t="shared" ca="1" si="65"/>
        <v>1.5931915178023504E-2</v>
      </c>
      <c r="W500" s="12">
        <f t="shared" ca="1" si="65"/>
        <v>1.4346665352576782E-2</v>
      </c>
      <c r="X500" s="12">
        <f t="shared" ca="1" si="65"/>
        <v>-6.5777726481161536E-2</v>
      </c>
      <c r="Y500" s="12">
        <f t="shared" ca="1" si="65"/>
        <v>-6.0780200764686709E-2</v>
      </c>
      <c r="Z500" s="12">
        <f t="shared" ca="1" si="65"/>
        <v>1.7179185527412599E-2</v>
      </c>
    </row>
    <row r="501" spans="13:26">
      <c r="M501" s="13">
        <v>498</v>
      </c>
      <c r="N501" s="15">
        <f t="shared" ca="1" si="59"/>
        <v>85</v>
      </c>
      <c r="O501" s="13">
        <v>498</v>
      </c>
      <c r="P501" s="19">
        <f t="shared" ca="1" si="60"/>
        <v>43798</v>
      </c>
      <c r="Q501" s="12">
        <f t="shared" ca="1" si="65"/>
        <v>1.2700000000000001E-3</v>
      </c>
      <c r="R501" s="12">
        <f t="shared" ca="1" si="65"/>
        <v>-3.1985221522146112E-4</v>
      </c>
      <c r="S501" s="12">
        <f t="shared" ca="1" si="65"/>
        <v>3.6057863500360554E-4</v>
      </c>
      <c r="T501" s="12">
        <f t="shared" ca="1" si="65"/>
        <v>9.0396543563886489E-4</v>
      </c>
      <c r="U501" s="12">
        <f t="shared" ca="1" si="65"/>
        <v>-3.0761312252364226E-3</v>
      </c>
      <c r="V501" s="12">
        <f t="shared" ca="1" si="65"/>
        <v>-1.2057464260430972E-3</v>
      </c>
      <c r="W501" s="12">
        <f t="shared" ca="1" si="65"/>
        <v>2.1668924942224166E-3</v>
      </c>
      <c r="X501" s="12">
        <f t="shared" ca="1" si="65"/>
        <v>3.404706409091518E-2</v>
      </c>
      <c r="Y501" s="12">
        <f t="shared" ca="1" si="65"/>
        <v>2.6294699421991252E-2</v>
      </c>
      <c r="Z501" s="12">
        <f t="shared" ca="1" si="65"/>
        <v>-3.2392811585007175E-2</v>
      </c>
    </row>
    <row r="502" spans="13:26">
      <c r="M502" s="13">
        <v>499</v>
      </c>
      <c r="N502" s="15">
        <f t="shared" ca="1" si="59"/>
        <v>8</v>
      </c>
      <c r="O502" s="13">
        <v>499</v>
      </c>
      <c r="P502" s="19">
        <f t="shared" ca="1" si="60"/>
        <v>41453</v>
      </c>
      <c r="Q502" s="12">
        <f t="shared" ca="1" si="65"/>
        <v>2.1083333333333332E-5</v>
      </c>
      <c r="R502" s="12">
        <f t="shared" ca="1" si="65"/>
        <v>-7.0885763849148908E-4</v>
      </c>
      <c r="S502" s="12">
        <f t="shared" ca="1" si="65"/>
        <v>-1.0936482084691335E-3</v>
      </c>
      <c r="T502" s="12">
        <f t="shared" ca="1" si="65"/>
        <v>-4.1132390946674313E-3</v>
      </c>
      <c r="U502" s="12">
        <f t="shared" ca="1" si="65"/>
        <v>-1.2550513797482843E-2</v>
      </c>
      <c r="V502" s="12">
        <f t="shared" ca="1" si="65"/>
        <v>-1.3296303543348209E-2</v>
      </c>
      <c r="W502" s="12">
        <f t="shared" ca="1" si="65"/>
        <v>-2.759722730309111E-2</v>
      </c>
      <c r="X502" s="12">
        <f t="shared" ca="1" si="65"/>
        <v>-1.499932545960736E-2</v>
      </c>
      <c r="Y502" s="12">
        <f t="shared" ca="1" si="65"/>
        <v>-2.6074609526268278E-2</v>
      </c>
      <c r="Z502" s="12">
        <f t="shared" ca="1" si="65"/>
        <v>-0.11044098573281447</v>
      </c>
    </row>
    <row r="503" spans="13:26">
      <c r="M503" s="13">
        <v>500</v>
      </c>
      <c r="N503" s="15">
        <f t="shared" ca="1" si="59"/>
        <v>31</v>
      </c>
      <c r="O503" s="13">
        <v>500</v>
      </c>
      <c r="P503" s="19">
        <f t="shared" ca="1" si="60"/>
        <v>42153</v>
      </c>
      <c r="Q503" s="12">
        <f t="shared" ca="1" si="65"/>
        <v>0</v>
      </c>
      <c r="R503" s="12">
        <f t="shared" ca="1" si="65"/>
        <v>7.428156879896175E-4</v>
      </c>
      <c r="S503" s="12">
        <f t="shared" ca="1" si="65"/>
        <v>6.6009191619720298E-4</v>
      </c>
      <c r="T503" s="12">
        <f t="shared" ca="1" si="65"/>
        <v>1.1060849460915456E-3</v>
      </c>
      <c r="U503" s="12">
        <f t="shared" ca="1" si="65"/>
        <v>-2.3382848175917958E-3</v>
      </c>
      <c r="V503" s="12">
        <f t="shared" ca="1" si="65"/>
        <v>-2.9557347784758825E-5</v>
      </c>
      <c r="W503" s="12">
        <f t="shared" ca="1" si="65"/>
        <v>-5.0527397229136461E-3</v>
      </c>
      <c r="X503" s="12">
        <f t="shared" ca="1" si="65"/>
        <v>1.0491438545008114E-2</v>
      </c>
      <c r="Y503" s="12">
        <f t="shared" ca="1" si="65"/>
        <v>5.1169590643262985E-4</v>
      </c>
      <c r="Z503" s="12">
        <f t="shared" ca="1" si="65"/>
        <v>5.2432939030877534E-3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2:X139"/>
  <sheetViews>
    <sheetView showGridLines="0" zoomScale="75" zoomScaleNormal="75" workbookViewId="0">
      <selection activeCell="P28" sqref="P28"/>
    </sheetView>
  </sheetViews>
  <sheetFormatPr baseColWidth="10" defaultColWidth="9" defaultRowHeight="14"/>
  <cols>
    <col min="1" max="1" width="3.5" style="2" customWidth="1"/>
    <col min="2" max="2" width="14.6640625" style="2" customWidth="1"/>
    <col min="3" max="12" width="10.6640625" style="2" customWidth="1"/>
    <col min="13" max="13" width="9" style="2"/>
    <col min="14" max="14" width="10.6640625" style="2" bestFit="1" customWidth="1"/>
    <col min="15" max="24" width="10.6640625" style="2" customWidth="1"/>
    <col min="25" max="16384" width="9" style="2"/>
  </cols>
  <sheetData>
    <row r="2" spans="2:24">
      <c r="B2" s="3" t="s">
        <v>0</v>
      </c>
      <c r="C2" s="3"/>
      <c r="D2" s="3"/>
      <c r="E2" s="3"/>
      <c r="F2" s="3"/>
      <c r="G2" s="3"/>
      <c r="H2" s="3"/>
      <c r="I2" s="3"/>
      <c r="J2" s="3"/>
      <c r="K2" s="3"/>
      <c r="L2" s="3"/>
    </row>
    <row r="3" spans="2:24">
      <c r="B3" s="4" t="s">
        <v>10</v>
      </c>
      <c r="C3" s="5" t="s">
        <v>1</v>
      </c>
      <c r="D3" s="5" t="s">
        <v>2</v>
      </c>
      <c r="E3" s="5" t="s">
        <v>12</v>
      </c>
      <c r="F3" s="5" t="s">
        <v>13</v>
      </c>
      <c r="G3" s="5" t="s">
        <v>3</v>
      </c>
      <c r="H3" s="5" t="s">
        <v>14</v>
      </c>
      <c r="I3" s="5" t="s">
        <v>4</v>
      </c>
      <c r="J3" s="5" t="s">
        <v>5</v>
      </c>
      <c r="K3" s="5" t="s">
        <v>15</v>
      </c>
      <c r="L3" s="5" t="s">
        <v>16</v>
      </c>
      <c r="N3" s="14" t="s">
        <v>7</v>
      </c>
    </row>
    <row r="4" spans="2:24">
      <c r="B4" s="4" t="s">
        <v>11</v>
      </c>
      <c r="C4" s="6">
        <v>5.44</v>
      </c>
      <c r="D4" s="6">
        <v>5.12</v>
      </c>
      <c r="E4" s="6">
        <v>5.3</v>
      </c>
      <c r="F4" s="6">
        <v>5.86</v>
      </c>
      <c r="G4" s="6">
        <v>4.8499999999999996</v>
      </c>
      <c r="H4" s="6">
        <v>5.18</v>
      </c>
      <c r="I4" s="6">
        <v>6.07</v>
      </c>
      <c r="J4" s="6">
        <v>7.5</v>
      </c>
      <c r="K4" s="6">
        <v>8.25</v>
      </c>
      <c r="L4" s="6">
        <v>3.5</v>
      </c>
      <c r="N4" s="15">
        <f>ROWS(histrets)</f>
        <v>131</v>
      </c>
    </row>
    <row r="5" spans="2:24">
      <c r="B5" s="7"/>
      <c r="C5" s="20">
        <v>2.6</v>
      </c>
      <c r="D5" s="20">
        <v>3.3</v>
      </c>
      <c r="E5" s="20">
        <v>3.6</v>
      </c>
      <c r="F5" s="20">
        <v>4.2</v>
      </c>
      <c r="G5" s="20">
        <v>3.5</v>
      </c>
      <c r="H5" s="20">
        <v>4.5</v>
      </c>
      <c r="I5" s="20">
        <v>5.5</v>
      </c>
      <c r="J5" s="20">
        <v>7.5</v>
      </c>
      <c r="K5" s="20">
        <v>8.25</v>
      </c>
      <c r="L5" s="20">
        <v>3.5</v>
      </c>
    </row>
    <row r="6" spans="2:24">
      <c r="B6" s="3" t="s">
        <v>18</v>
      </c>
      <c r="C6" s="3"/>
      <c r="D6" s="3"/>
      <c r="E6" s="3"/>
      <c r="F6" s="3"/>
      <c r="G6" s="3"/>
      <c r="H6" s="3"/>
      <c r="I6" s="3"/>
      <c r="J6" s="3"/>
      <c r="K6" s="3"/>
      <c r="L6" s="3"/>
    </row>
    <row r="7" spans="2:24">
      <c r="B7" s="4" t="s">
        <v>6</v>
      </c>
      <c r="C7" s="5" t="s">
        <v>1</v>
      </c>
      <c r="D7" s="5" t="s">
        <v>2</v>
      </c>
      <c r="E7" s="5" t="s">
        <v>12</v>
      </c>
      <c r="F7" s="5" t="s">
        <v>13</v>
      </c>
      <c r="G7" s="5" t="s">
        <v>3</v>
      </c>
      <c r="H7" s="5" t="s">
        <v>14</v>
      </c>
      <c r="I7" s="5" t="s">
        <v>4</v>
      </c>
      <c r="J7" s="5" t="s">
        <v>5</v>
      </c>
      <c r="K7" s="5" t="s">
        <v>15</v>
      </c>
      <c r="L7" s="5" t="s">
        <v>16</v>
      </c>
      <c r="N7" s="10" t="s">
        <v>17</v>
      </c>
      <c r="O7" s="10"/>
      <c r="P7" s="10"/>
      <c r="Q7" s="10"/>
      <c r="R7" s="10"/>
      <c r="S7" s="10"/>
      <c r="T7" s="10"/>
      <c r="U7" s="10"/>
      <c r="V7" s="10"/>
      <c r="W7" s="10"/>
      <c r="X7" s="10"/>
    </row>
    <row r="8" spans="2:24">
      <c r="B8" s="4">
        <v>41213</v>
      </c>
      <c r="C8" s="8">
        <v>0.1065</v>
      </c>
      <c r="D8" s="6">
        <v>1133.383</v>
      </c>
      <c r="E8" s="6">
        <v>1225.499</v>
      </c>
      <c r="F8" s="6">
        <v>1555.8219999999999</v>
      </c>
      <c r="G8" s="6">
        <v>1489.6220000000001</v>
      </c>
      <c r="H8" s="6">
        <v>1406.029</v>
      </c>
      <c r="I8" s="6">
        <v>2452.0529999999999</v>
      </c>
      <c r="J8" s="6">
        <v>1412.16</v>
      </c>
      <c r="K8" s="6">
        <v>1301.52</v>
      </c>
      <c r="L8" s="6">
        <v>1720.65</v>
      </c>
      <c r="N8" s="9" t="s">
        <v>6</v>
      </c>
      <c r="O8" s="9" t="str">
        <f t="array" ref="O8:X8">assetnames</f>
        <v>US.CASH</v>
      </c>
      <c r="P8" s="9" t="str">
        <v>US.GOVT.13</v>
      </c>
      <c r="Q8" s="9" t="str">
        <v>US.AGCY.13</v>
      </c>
      <c r="R8" s="9" t="str">
        <v>US.CORP.13</v>
      </c>
      <c r="S8" s="9" t="str">
        <v>US.GOVT</v>
      </c>
      <c r="T8" s="9" t="str">
        <v>US.AGCY</v>
      </c>
      <c r="U8" s="9" t="str">
        <v>US.CORP</v>
      </c>
      <c r="V8" s="9" t="str">
        <v>US.EQ</v>
      </c>
      <c r="W8" s="9" t="str">
        <v>GL.EQ</v>
      </c>
      <c r="X8" s="9" t="str">
        <v>GOLD</v>
      </c>
    </row>
    <row r="9" spans="2:24">
      <c r="B9" s="4">
        <v>41243</v>
      </c>
      <c r="C9" s="8">
        <v>7.6100000000000001E-2</v>
      </c>
      <c r="D9" s="6">
        <v>1134.3920000000001</v>
      </c>
      <c r="E9" s="6">
        <v>1226.4059999999999</v>
      </c>
      <c r="F9" s="6">
        <v>1557.163</v>
      </c>
      <c r="G9" s="6">
        <v>1498.192</v>
      </c>
      <c r="H9" s="6">
        <v>1411.252</v>
      </c>
      <c r="I9" s="6">
        <v>2450.0390000000002</v>
      </c>
      <c r="J9" s="6">
        <v>1416.18</v>
      </c>
      <c r="K9" s="6">
        <v>1315.49</v>
      </c>
      <c r="L9" s="6">
        <v>1714.98</v>
      </c>
      <c r="M9" s="13">
        <v>1</v>
      </c>
      <c r="N9" s="11">
        <f>B9</f>
        <v>41243</v>
      </c>
      <c r="O9" s="12">
        <f>C8/1200</f>
        <v>8.8750000000000002E-5</v>
      </c>
      <c r="P9" s="12">
        <f>D9/D8-1</f>
        <v>8.9025510352636061E-4</v>
      </c>
      <c r="Q9" s="12">
        <f t="shared" ref="Q9:X9" si="0">E9/E8-1</f>
        <v>7.4010668307344929E-4</v>
      </c>
      <c r="R9" s="12">
        <f t="shared" si="0"/>
        <v>8.6192379333893676E-4</v>
      </c>
      <c r="S9" s="12">
        <f t="shared" si="0"/>
        <v>5.7531373731054547E-3</v>
      </c>
      <c r="T9" s="12">
        <f t="shared" si="0"/>
        <v>3.7147171217664088E-3</v>
      </c>
      <c r="U9" s="12">
        <f t="shared" si="0"/>
        <v>-8.2135255640869431E-4</v>
      </c>
      <c r="V9" s="12">
        <f t="shared" si="0"/>
        <v>2.8467029231815655E-3</v>
      </c>
      <c r="W9" s="12">
        <f t="shared" si="0"/>
        <v>1.0733603786342139E-2</v>
      </c>
      <c r="X9" s="12">
        <f t="shared" si="0"/>
        <v>-3.2952663237730828E-3</v>
      </c>
    </row>
    <row r="10" spans="2:24">
      <c r="B10" s="4">
        <v>41274</v>
      </c>
      <c r="C10" s="8">
        <v>4.0599999999999997E-2</v>
      </c>
      <c r="D10" s="6">
        <v>1134.7750000000001</v>
      </c>
      <c r="E10" s="6">
        <v>1227.0830000000001</v>
      </c>
      <c r="F10" s="6">
        <v>1560.204</v>
      </c>
      <c r="G10" s="6">
        <v>1490.788</v>
      </c>
      <c r="H10" s="6">
        <v>1408.9359999999999</v>
      </c>
      <c r="I10" s="6">
        <v>2449.5630000000001</v>
      </c>
      <c r="J10" s="6">
        <v>1426.19</v>
      </c>
      <c r="K10" s="6">
        <v>1338.5</v>
      </c>
      <c r="L10" s="6">
        <v>1675.35</v>
      </c>
      <c r="M10" s="13">
        <v>2</v>
      </c>
      <c r="N10" s="11">
        <f t="shared" ref="N10:N73" si="1">B10</f>
        <v>41274</v>
      </c>
      <c r="O10" s="12">
        <f t="shared" ref="O10:O73" si="2">C9/1200</f>
        <v>6.3416666666666672E-5</v>
      </c>
      <c r="P10" s="12">
        <f t="shared" ref="P10:P73" si="3">D10/D9-1</f>
        <v>3.3762579425800077E-4</v>
      </c>
      <c r="Q10" s="12">
        <f t="shared" ref="Q10:Q73" si="4">E10/E9-1</f>
        <v>5.5201947805216811E-4</v>
      </c>
      <c r="R10" s="12">
        <f t="shared" ref="R10:R73" si="5">F10/F9-1</f>
        <v>1.9529105173961003E-3</v>
      </c>
      <c r="S10" s="12">
        <f t="shared" ref="S10:S73" si="6">G10/G9-1</f>
        <v>-4.9419567051486313E-3</v>
      </c>
      <c r="T10" s="12">
        <f t="shared" ref="T10:T73" si="7">H10/H9-1</f>
        <v>-1.6410959913608636E-3</v>
      </c>
      <c r="U10" s="12">
        <f t="shared" ref="U10:U73" si="8">I10/I9-1</f>
        <v>-1.9428262162357601E-4</v>
      </c>
      <c r="V10" s="12">
        <f t="shared" ref="V10:V73" si="9">J10/J9-1</f>
        <v>7.0683105254980561E-3</v>
      </c>
      <c r="W10" s="12">
        <f t="shared" ref="W10:W73" si="10">K10/K9-1</f>
        <v>1.7491581083854735E-2</v>
      </c>
      <c r="X10" s="12">
        <f t="shared" ref="X10:X73" si="11">L10/L9-1</f>
        <v>-2.3108141202812904E-2</v>
      </c>
    </row>
    <row r="11" spans="2:24">
      <c r="B11" s="4">
        <v>41305</v>
      </c>
      <c r="C11" s="8">
        <v>7.0999999999999994E-2</v>
      </c>
      <c r="D11" s="6">
        <v>1134.9000000000001</v>
      </c>
      <c r="E11" s="6">
        <v>1227.414</v>
      </c>
      <c r="F11" s="6">
        <v>1563.367</v>
      </c>
      <c r="G11" s="6">
        <v>1476.623</v>
      </c>
      <c r="H11" s="6">
        <v>1402.838</v>
      </c>
      <c r="I11" s="6">
        <v>2431.9850000000001</v>
      </c>
      <c r="J11" s="6">
        <v>1498.11</v>
      </c>
      <c r="K11" s="6">
        <v>1405.47</v>
      </c>
      <c r="L11" s="6">
        <v>1663.7</v>
      </c>
      <c r="M11" s="13">
        <v>3</v>
      </c>
      <c r="N11" s="11">
        <f t="shared" si="1"/>
        <v>41305</v>
      </c>
      <c r="O11" s="12">
        <f t="shared" si="2"/>
        <v>3.3833333333333334E-5</v>
      </c>
      <c r="P11" s="12">
        <f t="shared" si="3"/>
        <v>1.1015399528546688E-4</v>
      </c>
      <c r="Q11" s="12">
        <f t="shared" si="4"/>
        <v>2.6974540434498984E-4</v>
      </c>
      <c r="R11" s="12">
        <f t="shared" si="5"/>
        <v>2.0272989942340391E-3</v>
      </c>
      <c r="S11" s="12">
        <f t="shared" si="6"/>
        <v>-9.5016863564771903E-3</v>
      </c>
      <c r="T11" s="12">
        <f t="shared" si="7"/>
        <v>-4.3280887137527868E-3</v>
      </c>
      <c r="U11" s="12">
        <f t="shared" si="8"/>
        <v>-7.1759738369659987E-3</v>
      </c>
      <c r="V11" s="12">
        <f t="shared" si="9"/>
        <v>5.0428063581991145E-2</v>
      </c>
      <c r="W11" s="12">
        <f t="shared" si="10"/>
        <v>5.0033619723571121E-2</v>
      </c>
      <c r="X11" s="12">
        <f t="shared" si="11"/>
        <v>-6.9537708538514043E-3</v>
      </c>
    </row>
    <row r="12" spans="2:24">
      <c r="B12" s="4">
        <v>41333</v>
      </c>
      <c r="C12" s="8">
        <v>0.1014</v>
      </c>
      <c r="D12" s="6">
        <v>1135.8430000000001</v>
      </c>
      <c r="E12" s="6">
        <v>1227.7819999999999</v>
      </c>
      <c r="F12" s="6">
        <v>1566.848</v>
      </c>
      <c r="G12" s="6">
        <v>1485.3910000000001</v>
      </c>
      <c r="H12" s="6">
        <v>1408.567</v>
      </c>
      <c r="I12" s="6">
        <v>2449.183</v>
      </c>
      <c r="J12" s="6">
        <v>1514.68</v>
      </c>
      <c r="K12" s="6">
        <v>1405.18</v>
      </c>
      <c r="L12" s="6">
        <v>1579.61</v>
      </c>
      <c r="M12" s="13">
        <v>4</v>
      </c>
      <c r="N12" s="11">
        <f t="shared" si="1"/>
        <v>41333</v>
      </c>
      <c r="O12" s="12">
        <f t="shared" si="2"/>
        <v>5.9166666666666664E-5</v>
      </c>
      <c r="P12" s="12">
        <f t="shared" si="3"/>
        <v>8.3091021235359719E-4</v>
      </c>
      <c r="Q12" s="12">
        <f t="shared" si="4"/>
        <v>2.998173395447612E-4</v>
      </c>
      <c r="R12" s="12">
        <f t="shared" si="5"/>
        <v>2.2266045016940961E-3</v>
      </c>
      <c r="S12" s="12">
        <f t="shared" si="6"/>
        <v>5.9378731064057E-3</v>
      </c>
      <c r="T12" s="12">
        <f t="shared" si="7"/>
        <v>4.0838642808365133E-3</v>
      </c>
      <c r="U12" s="12">
        <f t="shared" si="8"/>
        <v>7.0715896685218382E-3</v>
      </c>
      <c r="V12" s="12">
        <f t="shared" si="9"/>
        <v>1.1060603026480154E-2</v>
      </c>
      <c r="W12" s="12">
        <f t="shared" si="10"/>
        <v>-2.0633667029534841E-4</v>
      </c>
      <c r="X12" s="12">
        <f t="shared" si="11"/>
        <v>-5.0543968263509154E-2</v>
      </c>
    </row>
    <row r="13" spans="2:24">
      <c r="B13" s="4">
        <v>41362</v>
      </c>
      <c r="C13" s="8">
        <v>7.0999999999999994E-2</v>
      </c>
      <c r="D13" s="6">
        <v>1136.1089999999999</v>
      </c>
      <c r="E13" s="6">
        <v>1228.373</v>
      </c>
      <c r="F13" s="6">
        <v>1568.8430000000001</v>
      </c>
      <c r="G13" s="6">
        <v>1486.9860000000001</v>
      </c>
      <c r="H13" s="6">
        <v>1409.664</v>
      </c>
      <c r="I13" s="6">
        <v>2450.8020000000001</v>
      </c>
      <c r="J13" s="6">
        <v>1569.19</v>
      </c>
      <c r="K13" s="6">
        <v>1434.51</v>
      </c>
      <c r="L13" s="6">
        <v>1597.5</v>
      </c>
      <c r="M13" s="13">
        <v>5</v>
      </c>
      <c r="N13" s="11">
        <f t="shared" si="1"/>
        <v>41362</v>
      </c>
      <c r="O13" s="12">
        <f t="shared" si="2"/>
        <v>8.4500000000000008E-5</v>
      </c>
      <c r="P13" s="12">
        <f t="shared" si="3"/>
        <v>2.3418729525115367E-4</v>
      </c>
      <c r="Q13" s="12">
        <f t="shared" si="4"/>
        <v>4.8135581072217271E-4</v>
      </c>
      <c r="R13" s="12">
        <f t="shared" si="5"/>
        <v>1.2732568826077095E-3</v>
      </c>
      <c r="S13" s="12">
        <f t="shared" si="6"/>
        <v>1.0737913451743797E-3</v>
      </c>
      <c r="T13" s="12">
        <f t="shared" si="7"/>
        <v>7.7880569401389543E-4</v>
      </c>
      <c r="U13" s="12">
        <f t="shared" si="8"/>
        <v>6.6103676205497841E-4</v>
      </c>
      <c r="V13" s="12">
        <f t="shared" si="9"/>
        <v>3.5987799403174314E-2</v>
      </c>
      <c r="W13" s="12">
        <f t="shared" si="10"/>
        <v>2.0872770748231462E-2</v>
      </c>
      <c r="X13" s="12">
        <f t="shared" si="11"/>
        <v>1.1325580364773602E-2</v>
      </c>
    </row>
    <row r="14" spans="2:24">
      <c r="B14" s="4">
        <v>41394</v>
      </c>
      <c r="C14" s="8">
        <v>4.5600000000000002E-2</v>
      </c>
      <c r="D14" s="6">
        <v>1137.26</v>
      </c>
      <c r="E14" s="6">
        <v>1229.559</v>
      </c>
      <c r="F14" s="6">
        <v>1573.645</v>
      </c>
      <c r="G14" s="6">
        <v>1502.646</v>
      </c>
      <c r="H14" s="6">
        <v>1416.454</v>
      </c>
      <c r="I14" s="6">
        <v>2492.4630000000002</v>
      </c>
      <c r="J14" s="6">
        <v>1597.57</v>
      </c>
      <c r="K14" s="6">
        <v>1476.14</v>
      </c>
      <c r="L14" s="6">
        <v>1476.71</v>
      </c>
      <c r="M14" s="13">
        <v>6</v>
      </c>
      <c r="N14" s="11">
        <f t="shared" si="1"/>
        <v>41394</v>
      </c>
      <c r="O14" s="12">
        <f t="shared" si="2"/>
        <v>5.9166666666666664E-5</v>
      </c>
      <c r="P14" s="12">
        <f t="shared" si="3"/>
        <v>1.0131070170205092E-3</v>
      </c>
      <c r="Q14" s="12">
        <f t="shared" si="4"/>
        <v>9.6550477745749319E-4</v>
      </c>
      <c r="R14" s="12">
        <f t="shared" si="5"/>
        <v>3.0608544003447591E-3</v>
      </c>
      <c r="S14" s="12">
        <f t="shared" si="6"/>
        <v>1.0531370167573773E-2</v>
      </c>
      <c r="T14" s="12">
        <f t="shared" si="7"/>
        <v>4.8167506583127739E-3</v>
      </c>
      <c r="U14" s="12">
        <f t="shared" si="8"/>
        <v>1.699892524977531E-2</v>
      </c>
      <c r="V14" s="12">
        <f t="shared" si="9"/>
        <v>1.8085763992887971E-2</v>
      </c>
      <c r="W14" s="12">
        <f t="shared" si="10"/>
        <v>2.9020362353695761E-2</v>
      </c>
      <c r="X14" s="12">
        <f t="shared" si="11"/>
        <v>-7.5611893583724554E-2</v>
      </c>
    </row>
    <row r="15" spans="2:24">
      <c r="B15" s="4">
        <v>41425</v>
      </c>
      <c r="C15" s="8">
        <v>2.53E-2</v>
      </c>
      <c r="D15" s="6">
        <v>1135.6300000000001</v>
      </c>
      <c r="E15" s="6">
        <v>1228</v>
      </c>
      <c r="F15" s="6">
        <v>1571.7539999999999</v>
      </c>
      <c r="G15" s="6">
        <v>1472.37</v>
      </c>
      <c r="H15" s="6">
        <v>1400.3140000000001</v>
      </c>
      <c r="I15" s="6">
        <v>2435.607</v>
      </c>
      <c r="J15" s="6">
        <v>1630.74</v>
      </c>
      <c r="K15" s="6">
        <v>1471.93</v>
      </c>
      <c r="L15" s="6">
        <v>1387.8</v>
      </c>
      <c r="M15" s="13">
        <v>7</v>
      </c>
      <c r="N15" s="11">
        <f t="shared" si="1"/>
        <v>41425</v>
      </c>
      <c r="O15" s="12">
        <f t="shared" si="2"/>
        <v>3.8000000000000002E-5</v>
      </c>
      <c r="P15" s="12">
        <f t="shared" si="3"/>
        <v>-1.4332694370678967E-3</v>
      </c>
      <c r="Q15" s="12">
        <f t="shared" si="4"/>
        <v>-1.2679342756223289E-3</v>
      </c>
      <c r="R15" s="12">
        <f t="shared" si="5"/>
        <v>-1.2016687372311541E-3</v>
      </c>
      <c r="S15" s="12">
        <f t="shared" si="6"/>
        <v>-2.0148458119876533E-2</v>
      </c>
      <c r="T15" s="12">
        <f t="shared" si="7"/>
        <v>-1.1394651714774939E-2</v>
      </c>
      <c r="U15" s="12">
        <f t="shared" si="8"/>
        <v>-2.2811171118688689E-2</v>
      </c>
      <c r="V15" s="12">
        <f t="shared" si="9"/>
        <v>2.0762783477406455E-2</v>
      </c>
      <c r="W15" s="12">
        <f t="shared" si="10"/>
        <v>-2.8520330049995879E-3</v>
      </c>
      <c r="X15" s="12">
        <f t="shared" si="11"/>
        <v>-6.0208165448869533E-2</v>
      </c>
    </row>
    <row r="16" spans="2:24">
      <c r="B16" s="4">
        <v>41453</v>
      </c>
      <c r="C16" s="8">
        <v>3.04E-2</v>
      </c>
      <c r="D16" s="6">
        <v>1134.825</v>
      </c>
      <c r="E16" s="6">
        <v>1226.6569999999999</v>
      </c>
      <c r="F16" s="6">
        <v>1565.289</v>
      </c>
      <c r="G16" s="6">
        <v>1453.8910000000001</v>
      </c>
      <c r="H16" s="6">
        <v>1381.6949999999999</v>
      </c>
      <c r="I16" s="6">
        <v>2368.3910000000001</v>
      </c>
      <c r="J16" s="6">
        <v>1606.28</v>
      </c>
      <c r="K16" s="6">
        <v>1433.55</v>
      </c>
      <c r="L16" s="6">
        <v>1234.53</v>
      </c>
      <c r="M16" s="13">
        <v>8</v>
      </c>
      <c r="N16" s="11">
        <f t="shared" si="1"/>
        <v>41453</v>
      </c>
      <c r="O16" s="12">
        <f t="shared" si="2"/>
        <v>2.1083333333333332E-5</v>
      </c>
      <c r="P16" s="12">
        <f t="shared" si="3"/>
        <v>-7.0885763849148908E-4</v>
      </c>
      <c r="Q16" s="12">
        <f t="shared" si="4"/>
        <v>-1.0936482084691335E-3</v>
      </c>
      <c r="R16" s="12">
        <f t="shared" si="5"/>
        <v>-4.1132390946674313E-3</v>
      </c>
      <c r="S16" s="12">
        <f t="shared" si="6"/>
        <v>-1.2550513797482843E-2</v>
      </c>
      <c r="T16" s="12">
        <f t="shared" si="7"/>
        <v>-1.3296303543348209E-2</v>
      </c>
      <c r="U16" s="12">
        <f t="shared" si="8"/>
        <v>-2.759722730309111E-2</v>
      </c>
      <c r="V16" s="12">
        <f t="shared" si="9"/>
        <v>-1.499932545960736E-2</v>
      </c>
      <c r="W16" s="12">
        <f t="shared" si="10"/>
        <v>-2.6074609526268278E-2</v>
      </c>
      <c r="X16" s="12">
        <f t="shared" si="11"/>
        <v>-0.11044098573281447</v>
      </c>
    </row>
    <row r="17" spans="2:24">
      <c r="B17" s="4">
        <v>41486</v>
      </c>
      <c r="C17" s="8">
        <v>3.5499999999999997E-2</v>
      </c>
      <c r="D17" s="6">
        <v>1136.6289999999999</v>
      </c>
      <c r="E17" s="6">
        <v>1228.6590000000001</v>
      </c>
      <c r="F17" s="6">
        <v>1571.8440000000001</v>
      </c>
      <c r="G17" s="6">
        <v>1451.0630000000001</v>
      </c>
      <c r="H17" s="6">
        <v>1383.646</v>
      </c>
      <c r="I17" s="6">
        <v>2385.886</v>
      </c>
      <c r="J17" s="6">
        <v>1685.73</v>
      </c>
      <c r="K17" s="6">
        <v>1507.91</v>
      </c>
      <c r="L17" s="6">
        <v>1325.07</v>
      </c>
      <c r="M17" s="13">
        <v>9</v>
      </c>
      <c r="N17" s="11">
        <f t="shared" si="1"/>
        <v>41486</v>
      </c>
      <c r="O17" s="12">
        <f t="shared" si="2"/>
        <v>2.5333333333333334E-5</v>
      </c>
      <c r="P17" s="12">
        <f t="shared" si="3"/>
        <v>1.5896724164516929E-3</v>
      </c>
      <c r="Q17" s="12">
        <f t="shared" si="4"/>
        <v>1.6320780788763312E-3</v>
      </c>
      <c r="R17" s="12">
        <f t="shared" si="5"/>
        <v>4.1877250782442754E-3</v>
      </c>
      <c r="S17" s="12">
        <f t="shared" si="6"/>
        <v>-1.9451251847627526E-3</v>
      </c>
      <c r="T17" s="12">
        <f t="shared" si="7"/>
        <v>1.4120337701157837E-3</v>
      </c>
      <c r="U17" s="12">
        <f t="shared" si="8"/>
        <v>7.3868715089695502E-3</v>
      </c>
      <c r="V17" s="12">
        <f t="shared" si="9"/>
        <v>4.9462111213487203E-2</v>
      </c>
      <c r="W17" s="12">
        <f t="shared" si="10"/>
        <v>5.1871228767744526E-2</v>
      </c>
      <c r="X17" s="12">
        <f t="shared" si="11"/>
        <v>7.333965152730193E-2</v>
      </c>
    </row>
    <row r="18" spans="2:24">
      <c r="B18" s="4">
        <v>41516</v>
      </c>
      <c r="C18" s="8">
        <v>2.0299999999999999E-2</v>
      </c>
      <c r="D18" s="6">
        <v>1135.5940000000001</v>
      </c>
      <c r="E18" s="6">
        <v>1227.885</v>
      </c>
      <c r="F18" s="6">
        <v>1572.11</v>
      </c>
      <c r="G18" s="6">
        <v>1443.242</v>
      </c>
      <c r="H18" s="6">
        <v>1377.809</v>
      </c>
      <c r="I18" s="6">
        <v>2369.9360000000001</v>
      </c>
      <c r="J18" s="6">
        <v>1632.97</v>
      </c>
      <c r="K18" s="6">
        <v>1472.74</v>
      </c>
      <c r="L18" s="6">
        <v>1395.27</v>
      </c>
      <c r="M18" s="13">
        <v>10</v>
      </c>
      <c r="N18" s="11">
        <f t="shared" si="1"/>
        <v>41516</v>
      </c>
      <c r="O18" s="12">
        <f t="shared" si="2"/>
        <v>2.9583333333333332E-5</v>
      </c>
      <c r="P18" s="12">
        <f t="shared" si="3"/>
        <v>-9.1058735963966964E-4</v>
      </c>
      <c r="Q18" s="12">
        <f t="shared" si="4"/>
        <v>-6.2995509738672517E-4</v>
      </c>
      <c r="R18" s="12">
        <f t="shared" si="5"/>
        <v>1.6922798954599472E-4</v>
      </c>
      <c r="S18" s="12">
        <f t="shared" si="6"/>
        <v>-5.3898417918450958E-3</v>
      </c>
      <c r="T18" s="12">
        <f t="shared" si="7"/>
        <v>-4.2185645750429934E-3</v>
      </c>
      <c r="U18" s="12">
        <f t="shared" si="8"/>
        <v>-6.6851475720129949E-3</v>
      </c>
      <c r="V18" s="12">
        <f t="shared" si="9"/>
        <v>-3.1298013323604601E-2</v>
      </c>
      <c r="W18" s="12">
        <f t="shared" si="10"/>
        <v>-2.33236731635178E-2</v>
      </c>
      <c r="X18" s="12">
        <f t="shared" si="11"/>
        <v>5.2978333220131901E-2</v>
      </c>
    </row>
    <row r="19" spans="2:24">
      <c r="B19" s="4">
        <v>41547</v>
      </c>
      <c r="C19" s="8">
        <v>5.1000000000000004E-3</v>
      </c>
      <c r="D19" s="6">
        <v>1138.1610000000001</v>
      </c>
      <c r="E19" s="6">
        <v>1230.3910000000001</v>
      </c>
      <c r="F19" s="6">
        <v>1578.4739999999999</v>
      </c>
      <c r="G19" s="6">
        <v>1454.2639999999999</v>
      </c>
      <c r="H19" s="6">
        <v>1386.519</v>
      </c>
      <c r="I19" s="6">
        <v>2389.4560000000001</v>
      </c>
      <c r="J19" s="6">
        <v>1681.55</v>
      </c>
      <c r="K19" s="6">
        <v>1543.67</v>
      </c>
      <c r="L19" s="6">
        <v>1329.03</v>
      </c>
      <c r="M19" s="13">
        <v>11</v>
      </c>
      <c r="N19" s="11">
        <f t="shared" si="1"/>
        <v>41547</v>
      </c>
      <c r="O19" s="12">
        <f t="shared" si="2"/>
        <v>1.6916666666666667E-5</v>
      </c>
      <c r="P19" s="12">
        <f t="shared" si="3"/>
        <v>2.2604909853345401E-3</v>
      </c>
      <c r="Q19" s="12">
        <f t="shared" si="4"/>
        <v>2.0409077397314235E-3</v>
      </c>
      <c r="R19" s="12">
        <f t="shared" si="5"/>
        <v>4.0480627945882475E-3</v>
      </c>
      <c r="S19" s="12">
        <f t="shared" si="6"/>
        <v>7.6369728708005624E-3</v>
      </c>
      <c r="T19" s="12">
        <f t="shared" si="7"/>
        <v>6.3216309372344792E-3</v>
      </c>
      <c r="U19" s="12">
        <f t="shared" si="8"/>
        <v>8.2365093403367062E-3</v>
      </c>
      <c r="V19" s="12">
        <f t="shared" si="9"/>
        <v>2.9749474883188354E-2</v>
      </c>
      <c r="W19" s="12">
        <f t="shared" si="10"/>
        <v>4.816192946480724E-2</v>
      </c>
      <c r="X19" s="12">
        <f t="shared" si="11"/>
        <v>-4.7474682319551098E-2</v>
      </c>
    </row>
    <row r="20" spans="2:24">
      <c r="B20" s="4">
        <v>41578</v>
      </c>
      <c r="C20" s="8">
        <v>3.5499999999999997E-2</v>
      </c>
      <c r="D20" s="6">
        <v>1139.329</v>
      </c>
      <c r="E20" s="6">
        <v>1232.4749999999999</v>
      </c>
      <c r="F20" s="6">
        <v>1584.624</v>
      </c>
      <c r="G20" s="6">
        <v>1462.2339999999999</v>
      </c>
      <c r="H20" s="6">
        <v>1393.1179999999999</v>
      </c>
      <c r="I20" s="6">
        <v>2425.2220000000002</v>
      </c>
      <c r="J20" s="6">
        <v>1756.54</v>
      </c>
      <c r="K20" s="6">
        <v>1602.86</v>
      </c>
      <c r="L20" s="6">
        <v>1323.06</v>
      </c>
      <c r="M20" s="13">
        <v>12</v>
      </c>
      <c r="N20" s="11">
        <f t="shared" si="1"/>
        <v>41578</v>
      </c>
      <c r="O20" s="12">
        <f t="shared" si="2"/>
        <v>4.25E-6</v>
      </c>
      <c r="P20" s="12">
        <f t="shared" si="3"/>
        <v>1.0262168533272664E-3</v>
      </c>
      <c r="Q20" s="12">
        <f t="shared" si="4"/>
        <v>1.6937705168518224E-3</v>
      </c>
      <c r="R20" s="12">
        <f t="shared" si="5"/>
        <v>3.8961680711877555E-3</v>
      </c>
      <c r="S20" s="12">
        <f t="shared" si="6"/>
        <v>5.4804354642623565E-3</v>
      </c>
      <c r="T20" s="12">
        <f t="shared" si="7"/>
        <v>4.7594010612186377E-3</v>
      </c>
      <c r="U20" s="12">
        <f t="shared" si="8"/>
        <v>1.4968260558051671E-2</v>
      </c>
      <c r="V20" s="12">
        <f t="shared" si="9"/>
        <v>4.4595759864410889E-2</v>
      </c>
      <c r="W20" s="12">
        <f t="shared" si="10"/>
        <v>3.8343687446150909E-2</v>
      </c>
      <c r="X20" s="12">
        <f t="shared" si="11"/>
        <v>-4.4919979232974638E-3</v>
      </c>
    </row>
    <row r="21" spans="2:24">
      <c r="B21" s="4">
        <v>41607</v>
      </c>
      <c r="C21" s="8">
        <v>5.5800000000000002E-2</v>
      </c>
      <c r="D21" s="6">
        <v>1140.3910000000001</v>
      </c>
      <c r="E21" s="6">
        <v>1233.5719999999999</v>
      </c>
      <c r="F21" s="6">
        <v>1588.3810000000001</v>
      </c>
      <c r="G21" s="6">
        <v>1455.9860000000001</v>
      </c>
      <c r="H21" s="6">
        <v>1392.671</v>
      </c>
      <c r="I21" s="6">
        <v>2418.2429999999999</v>
      </c>
      <c r="J21" s="6">
        <v>1805.81</v>
      </c>
      <c r="K21" s="6">
        <v>1628.42</v>
      </c>
      <c r="L21" s="6">
        <v>1253.3499999999999</v>
      </c>
      <c r="M21" s="13">
        <v>13</v>
      </c>
      <c r="N21" s="11">
        <f t="shared" si="1"/>
        <v>41607</v>
      </c>
      <c r="O21" s="12">
        <f t="shared" si="2"/>
        <v>2.9583333333333332E-5</v>
      </c>
      <c r="P21" s="12">
        <f t="shared" si="3"/>
        <v>9.3212759439986748E-4</v>
      </c>
      <c r="Q21" s="12">
        <f t="shared" si="4"/>
        <v>8.90078906265801E-4</v>
      </c>
      <c r="R21" s="12">
        <f t="shared" si="5"/>
        <v>2.3709094397157404E-3</v>
      </c>
      <c r="S21" s="12">
        <f t="shared" si="6"/>
        <v>-4.2729139111795655E-3</v>
      </c>
      <c r="T21" s="12">
        <f t="shared" si="7"/>
        <v>-3.2086298504496735E-4</v>
      </c>
      <c r="U21" s="12">
        <f t="shared" si="8"/>
        <v>-2.8776747035942352E-3</v>
      </c>
      <c r="V21" s="12">
        <f t="shared" si="9"/>
        <v>2.804946087194149E-2</v>
      </c>
      <c r="W21" s="12">
        <f t="shared" si="10"/>
        <v>1.5946495639045377E-2</v>
      </c>
      <c r="X21" s="12">
        <f t="shared" si="11"/>
        <v>-5.2688464619896291E-2</v>
      </c>
    </row>
    <row r="22" spans="2:24">
      <c r="B22" s="4">
        <v>41639</v>
      </c>
      <c r="C22" s="8">
        <v>6.59E-2</v>
      </c>
      <c r="D22" s="6">
        <v>1138.837</v>
      </c>
      <c r="E22" s="6">
        <v>1232.2829999999999</v>
      </c>
      <c r="F22" s="6">
        <v>1587.9179999999999</v>
      </c>
      <c r="G22" s="6">
        <v>1440.854</v>
      </c>
      <c r="H22" s="6">
        <v>1383.771</v>
      </c>
      <c r="I22" s="6">
        <v>2413.9</v>
      </c>
      <c r="J22" s="6">
        <v>1848.36</v>
      </c>
      <c r="K22" s="6">
        <v>1661.07</v>
      </c>
      <c r="L22" s="6">
        <v>1201.6400000000001</v>
      </c>
      <c r="M22" s="13">
        <v>14</v>
      </c>
      <c r="N22" s="11">
        <f t="shared" si="1"/>
        <v>41639</v>
      </c>
      <c r="O22" s="12">
        <f t="shared" si="2"/>
        <v>4.6499999999999999E-5</v>
      </c>
      <c r="P22" s="12">
        <f t="shared" si="3"/>
        <v>-1.3626905157968494E-3</v>
      </c>
      <c r="Q22" s="12">
        <f t="shared" si="4"/>
        <v>-1.0449329264931029E-3</v>
      </c>
      <c r="R22" s="12">
        <f t="shared" si="5"/>
        <v>-2.9149177684706373E-4</v>
      </c>
      <c r="S22" s="12">
        <f t="shared" si="6"/>
        <v>-1.0392957075136766E-2</v>
      </c>
      <c r="T22" s="12">
        <f t="shared" si="7"/>
        <v>-6.3905976357661043E-3</v>
      </c>
      <c r="U22" s="12">
        <f t="shared" si="8"/>
        <v>-1.7959320051789129E-3</v>
      </c>
      <c r="V22" s="12">
        <f t="shared" si="9"/>
        <v>2.3562833299184183E-2</v>
      </c>
      <c r="W22" s="12">
        <f t="shared" si="10"/>
        <v>2.0050109922501447E-2</v>
      </c>
      <c r="X22" s="12">
        <f t="shared" si="11"/>
        <v>-4.125743008736571E-2</v>
      </c>
    </row>
    <row r="23" spans="2:24">
      <c r="B23" s="4">
        <v>41670</v>
      </c>
      <c r="C23" s="8">
        <v>2.0299999999999999E-2</v>
      </c>
      <c r="D23" s="6">
        <v>1140.6379999999999</v>
      </c>
      <c r="E23" s="6">
        <v>1234.3530000000001</v>
      </c>
      <c r="F23" s="6">
        <v>1592.627</v>
      </c>
      <c r="G23" s="6">
        <v>1463.8630000000001</v>
      </c>
      <c r="H23" s="6">
        <v>1398.7860000000001</v>
      </c>
      <c r="I23" s="6">
        <v>2456.9670000000001</v>
      </c>
      <c r="J23" s="6">
        <v>1782.59</v>
      </c>
      <c r="K23" s="6">
        <v>1598.46</v>
      </c>
      <c r="L23" s="6">
        <v>1244.55</v>
      </c>
      <c r="M23" s="13">
        <v>15</v>
      </c>
      <c r="N23" s="11">
        <f t="shared" si="1"/>
        <v>41670</v>
      </c>
      <c r="O23" s="12">
        <f t="shared" si="2"/>
        <v>5.4916666666666669E-5</v>
      </c>
      <c r="P23" s="12">
        <f t="shared" si="3"/>
        <v>1.5814379055123506E-3</v>
      </c>
      <c r="Q23" s="12">
        <f t="shared" si="4"/>
        <v>1.679808939992089E-3</v>
      </c>
      <c r="R23" s="12">
        <f t="shared" si="5"/>
        <v>2.9655183705961097E-3</v>
      </c>
      <c r="S23" s="12">
        <f t="shared" si="6"/>
        <v>1.5969001717037301E-2</v>
      </c>
      <c r="T23" s="12">
        <f t="shared" si="7"/>
        <v>1.085078383634297E-2</v>
      </c>
      <c r="U23" s="12">
        <f t="shared" si="8"/>
        <v>1.7841252744521308E-2</v>
      </c>
      <c r="V23" s="12">
        <f t="shared" si="9"/>
        <v>-3.5582895107013734E-2</v>
      </c>
      <c r="W23" s="12">
        <f t="shared" si="10"/>
        <v>-3.7692571655619567E-2</v>
      </c>
      <c r="X23" s="12">
        <f t="shared" si="11"/>
        <v>3.5709530308578152E-2</v>
      </c>
    </row>
    <row r="24" spans="2:24">
      <c r="B24" s="4">
        <v>41698</v>
      </c>
      <c r="C24" s="8">
        <v>4.5600000000000002E-2</v>
      </c>
      <c r="D24" s="6">
        <v>1141.6690000000001</v>
      </c>
      <c r="E24" s="6">
        <v>1235.444</v>
      </c>
      <c r="F24" s="6">
        <v>1596.8689999999999</v>
      </c>
      <c r="G24" s="6">
        <v>1468.431</v>
      </c>
      <c r="H24" s="6">
        <v>1402.692</v>
      </c>
      <c r="I24" s="6">
        <v>2483.9279999999999</v>
      </c>
      <c r="J24" s="6">
        <v>1859.45</v>
      </c>
      <c r="K24" s="6">
        <v>1675.4</v>
      </c>
      <c r="L24" s="6">
        <v>1326.39</v>
      </c>
      <c r="M24" s="13">
        <v>16</v>
      </c>
      <c r="N24" s="11">
        <f t="shared" si="1"/>
        <v>41698</v>
      </c>
      <c r="O24" s="12">
        <f t="shared" si="2"/>
        <v>1.6916666666666667E-5</v>
      </c>
      <c r="P24" s="12">
        <f t="shared" si="3"/>
        <v>9.038801092022819E-4</v>
      </c>
      <c r="Q24" s="12">
        <f t="shared" si="4"/>
        <v>8.8386385418104396E-4</v>
      </c>
      <c r="R24" s="12">
        <f t="shared" si="5"/>
        <v>2.6635238508452286E-3</v>
      </c>
      <c r="S24" s="12">
        <f t="shared" si="6"/>
        <v>3.1205105942291311E-3</v>
      </c>
      <c r="T24" s="12">
        <f t="shared" si="7"/>
        <v>2.7924214282957216E-3</v>
      </c>
      <c r="U24" s="12">
        <f t="shared" si="8"/>
        <v>1.0973285355480922E-2</v>
      </c>
      <c r="V24" s="12">
        <f t="shared" si="9"/>
        <v>4.3117037568930705E-2</v>
      </c>
      <c r="W24" s="12">
        <f t="shared" si="10"/>
        <v>4.8133828810229984E-2</v>
      </c>
      <c r="X24" s="12">
        <f t="shared" si="11"/>
        <v>6.5758707966734997E-2</v>
      </c>
    </row>
    <row r="25" spans="2:24">
      <c r="B25" s="4">
        <v>41729</v>
      </c>
      <c r="C25" s="8">
        <v>3.04E-2</v>
      </c>
      <c r="D25" s="6">
        <v>1140.405</v>
      </c>
      <c r="E25" s="6">
        <v>1234.375</v>
      </c>
      <c r="F25" s="6">
        <v>1596.4059999999999</v>
      </c>
      <c r="G25" s="6">
        <v>1464.2929999999999</v>
      </c>
      <c r="H25" s="6">
        <v>1400.8679999999999</v>
      </c>
      <c r="I25" s="6">
        <v>2485.6950000000002</v>
      </c>
      <c r="J25" s="6">
        <v>1872.34</v>
      </c>
      <c r="K25" s="6">
        <v>1673.87</v>
      </c>
      <c r="L25" s="6">
        <v>1284.01</v>
      </c>
      <c r="M25" s="13">
        <v>17</v>
      </c>
      <c r="N25" s="11">
        <f t="shared" si="1"/>
        <v>41729</v>
      </c>
      <c r="O25" s="12">
        <f t="shared" si="2"/>
        <v>3.8000000000000002E-5</v>
      </c>
      <c r="P25" s="12">
        <f t="shared" si="3"/>
        <v>-1.107151021881192E-3</v>
      </c>
      <c r="Q25" s="12">
        <f t="shared" si="4"/>
        <v>-8.6527596556373876E-4</v>
      </c>
      <c r="R25" s="12">
        <f t="shared" si="5"/>
        <v>-2.8994238099677716E-4</v>
      </c>
      <c r="S25" s="12">
        <f t="shared" si="6"/>
        <v>-2.817973742041735E-3</v>
      </c>
      <c r="T25" s="12">
        <f t="shared" si="7"/>
        <v>-1.3003567426064233E-3</v>
      </c>
      <c r="U25" s="12">
        <f t="shared" si="8"/>
        <v>7.1137327652026627E-4</v>
      </c>
      <c r="V25" s="12">
        <f t="shared" si="9"/>
        <v>6.9321573583585039E-3</v>
      </c>
      <c r="W25" s="12">
        <f t="shared" si="10"/>
        <v>-9.1321475468553182E-4</v>
      </c>
      <c r="X25" s="12">
        <f t="shared" si="11"/>
        <v>-3.1951386847005825E-2</v>
      </c>
    </row>
    <row r="26" spans="2:24">
      <c r="B26" s="4">
        <v>41759</v>
      </c>
      <c r="C26" s="8">
        <v>2.53E-2</v>
      </c>
      <c r="D26" s="6">
        <v>1141.915</v>
      </c>
      <c r="E26" s="6">
        <v>1236.425</v>
      </c>
      <c r="F26" s="6">
        <v>1600.3009999999999</v>
      </c>
      <c r="G26" s="6">
        <v>1473.4349999999999</v>
      </c>
      <c r="H26" s="6">
        <v>1408.96</v>
      </c>
      <c r="I26" s="6">
        <v>2514.6770000000001</v>
      </c>
      <c r="J26" s="6">
        <v>1883.95</v>
      </c>
      <c r="K26" s="6">
        <v>1687.74</v>
      </c>
      <c r="L26" s="6">
        <v>1291.6099999999999</v>
      </c>
      <c r="M26" s="13">
        <v>18</v>
      </c>
      <c r="N26" s="11">
        <f t="shared" si="1"/>
        <v>41759</v>
      </c>
      <c r="O26" s="12">
        <f t="shared" si="2"/>
        <v>2.5333333333333334E-5</v>
      </c>
      <c r="P26" s="12">
        <f t="shared" si="3"/>
        <v>1.3240910027578767E-3</v>
      </c>
      <c r="Q26" s="12">
        <f t="shared" si="4"/>
        <v>1.6607594936708381E-3</v>
      </c>
      <c r="R26" s="12">
        <f t="shared" si="5"/>
        <v>2.4398555254740995E-3</v>
      </c>
      <c r="S26" s="12">
        <f t="shared" si="6"/>
        <v>6.2432860090160247E-3</v>
      </c>
      <c r="T26" s="12">
        <f t="shared" si="7"/>
        <v>5.7764186204554147E-3</v>
      </c>
      <c r="U26" s="12">
        <f t="shared" si="8"/>
        <v>1.1659515749116389E-2</v>
      </c>
      <c r="V26" s="12">
        <f t="shared" si="9"/>
        <v>6.2007968638175814E-3</v>
      </c>
      <c r="W26" s="12">
        <f t="shared" si="10"/>
        <v>8.28618709935669E-3</v>
      </c>
      <c r="X26" s="12">
        <f t="shared" si="11"/>
        <v>5.9189570174686956E-3</v>
      </c>
    </row>
    <row r="27" spans="2:24">
      <c r="B27" s="4">
        <v>41789</v>
      </c>
      <c r="C27" s="8">
        <v>3.04E-2</v>
      </c>
      <c r="D27" s="6">
        <v>1144.0129999999999</v>
      </c>
      <c r="E27" s="6">
        <v>1238.365</v>
      </c>
      <c r="F27" s="6">
        <v>1606.1120000000001</v>
      </c>
      <c r="G27" s="6">
        <v>1489.508</v>
      </c>
      <c r="H27" s="6">
        <v>1419.2380000000001</v>
      </c>
      <c r="I27" s="6">
        <v>2553.134</v>
      </c>
      <c r="J27" s="6">
        <v>1923.57</v>
      </c>
      <c r="K27" s="6">
        <v>1715.18</v>
      </c>
      <c r="L27" s="6">
        <v>1249.68</v>
      </c>
      <c r="M27" s="13">
        <v>19</v>
      </c>
      <c r="N27" s="11">
        <f t="shared" si="1"/>
        <v>41789</v>
      </c>
      <c r="O27" s="12">
        <f t="shared" si="2"/>
        <v>2.1083333333333332E-5</v>
      </c>
      <c r="P27" s="12">
        <f t="shared" si="3"/>
        <v>1.8372645950004429E-3</v>
      </c>
      <c r="Q27" s="12">
        <f t="shared" si="4"/>
        <v>1.5690397719230198E-3</v>
      </c>
      <c r="R27" s="12">
        <f t="shared" si="5"/>
        <v>3.6311918820273181E-3</v>
      </c>
      <c r="S27" s="12">
        <f t="shared" si="6"/>
        <v>1.0908523280633409E-2</v>
      </c>
      <c r="T27" s="12">
        <f t="shared" si="7"/>
        <v>7.2947422212128465E-3</v>
      </c>
      <c r="U27" s="12">
        <f t="shared" si="8"/>
        <v>1.529301775138503E-2</v>
      </c>
      <c r="V27" s="12">
        <f t="shared" si="9"/>
        <v>2.1030282120013677E-2</v>
      </c>
      <c r="W27" s="12">
        <f t="shared" si="10"/>
        <v>1.6258428430919514E-2</v>
      </c>
      <c r="X27" s="12">
        <f t="shared" si="11"/>
        <v>-3.246335968287628E-2</v>
      </c>
    </row>
    <row r="28" spans="2:24">
      <c r="B28" s="4">
        <v>41820</v>
      </c>
      <c r="C28" s="8">
        <v>2.0299999999999999E-2</v>
      </c>
      <c r="D28" s="6">
        <v>1143.5050000000001</v>
      </c>
      <c r="E28" s="6">
        <v>1237.3810000000001</v>
      </c>
      <c r="F28" s="6">
        <v>1606.903</v>
      </c>
      <c r="G28" s="6">
        <v>1487.183</v>
      </c>
      <c r="H28" s="6">
        <v>1418.3050000000001</v>
      </c>
      <c r="I28" s="6">
        <v>2557.4079999999999</v>
      </c>
      <c r="J28" s="6">
        <v>1960.23</v>
      </c>
      <c r="K28" s="6">
        <v>1743.42</v>
      </c>
      <c r="L28" s="6">
        <v>1327.33</v>
      </c>
      <c r="M28" s="13">
        <v>20</v>
      </c>
      <c r="N28" s="11">
        <f t="shared" si="1"/>
        <v>41820</v>
      </c>
      <c r="O28" s="12">
        <f t="shared" si="2"/>
        <v>2.5333333333333334E-5</v>
      </c>
      <c r="P28" s="12">
        <f t="shared" si="3"/>
        <v>-4.440508980227964E-4</v>
      </c>
      <c r="Q28" s="12">
        <f t="shared" si="4"/>
        <v>-7.9459610050347518E-4</v>
      </c>
      <c r="R28" s="12">
        <f t="shared" si="5"/>
        <v>4.9249367416459577E-4</v>
      </c>
      <c r="S28" s="12">
        <f t="shared" si="6"/>
        <v>-1.5609181018162444E-3</v>
      </c>
      <c r="T28" s="12">
        <f t="shared" si="7"/>
        <v>-6.5739502465411714E-4</v>
      </c>
      <c r="U28" s="12">
        <f t="shared" si="8"/>
        <v>1.6740210267067734E-3</v>
      </c>
      <c r="V28" s="12">
        <f t="shared" si="9"/>
        <v>1.9058313448431896E-2</v>
      </c>
      <c r="W28" s="12">
        <f t="shared" si="10"/>
        <v>1.6464744225095806E-2</v>
      </c>
      <c r="X28" s="12">
        <f t="shared" si="11"/>
        <v>6.2135906792138762E-2</v>
      </c>
    </row>
    <row r="29" spans="2:24">
      <c r="B29" s="4">
        <v>41851</v>
      </c>
      <c r="C29" s="8">
        <v>2.0299999999999999E-2</v>
      </c>
      <c r="D29" s="6">
        <v>1142.6120000000001</v>
      </c>
      <c r="E29" s="6">
        <v>1236.4970000000001</v>
      </c>
      <c r="F29" s="6">
        <v>1605.462</v>
      </c>
      <c r="G29" s="6">
        <v>1484.9580000000001</v>
      </c>
      <c r="H29" s="6">
        <v>1417.018</v>
      </c>
      <c r="I29" s="6">
        <v>2554.4009999999998</v>
      </c>
      <c r="J29" s="6">
        <v>1930.67</v>
      </c>
      <c r="K29" s="6">
        <v>1714.35</v>
      </c>
      <c r="L29" s="6">
        <v>1282.5899999999999</v>
      </c>
      <c r="M29" s="13">
        <v>21</v>
      </c>
      <c r="N29" s="11">
        <f t="shared" si="1"/>
        <v>41851</v>
      </c>
      <c r="O29" s="12">
        <f t="shared" si="2"/>
        <v>1.6916666666666667E-5</v>
      </c>
      <c r="P29" s="12">
        <f t="shared" si="3"/>
        <v>-7.8093230899733967E-4</v>
      </c>
      <c r="Q29" s="12">
        <f t="shared" si="4"/>
        <v>-7.1441213336875808E-4</v>
      </c>
      <c r="R29" s="12">
        <f t="shared" si="5"/>
        <v>-8.9675605808192671E-4</v>
      </c>
      <c r="S29" s="12">
        <f t="shared" si="6"/>
        <v>-1.4961171557231756E-3</v>
      </c>
      <c r="T29" s="12">
        <f t="shared" si="7"/>
        <v>-9.0742118232678415E-4</v>
      </c>
      <c r="U29" s="12">
        <f t="shared" si="8"/>
        <v>-1.1757998723708196E-3</v>
      </c>
      <c r="V29" s="12">
        <f t="shared" si="9"/>
        <v>-1.5079863077291922E-2</v>
      </c>
      <c r="W29" s="12">
        <f t="shared" si="10"/>
        <v>-1.6674123274942443E-2</v>
      </c>
      <c r="X29" s="12">
        <f t="shared" si="11"/>
        <v>-3.3706764708098191E-2</v>
      </c>
    </row>
    <row r="30" spans="2:24">
      <c r="B30" s="4">
        <v>41880</v>
      </c>
      <c r="C30" s="8">
        <v>2.0299999999999999E-2</v>
      </c>
      <c r="D30" s="6">
        <v>1144.5170000000001</v>
      </c>
      <c r="E30" s="6">
        <v>1238.366</v>
      </c>
      <c r="F30" s="6">
        <v>1608.8879999999999</v>
      </c>
      <c r="G30" s="6">
        <v>1503.038</v>
      </c>
      <c r="H30" s="6">
        <v>1426.2950000000001</v>
      </c>
      <c r="I30" s="6">
        <v>2590.8490000000002</v>
      </c>
      <c r="J30" s="6">
        <v>2003.37</v>
      </c>
      <c r="K30" s="6">
        <v>1748.69</v>
      </c>
      <c r="L30" s="6">
        <v>1287.32</v>
      </c>
      <c r="M30" s="13">
        <v>22</v>
      </c>
      <c r="N30" s="11">
        <f t="shared" si="1"/>
        <v>41880</v>
      </c>
      <c r="O30" s="12">
        <f t="shared" si="2"/>
        <v>1.6916666666666667E-5</v>
      </c>
      <c r="P30" s="12">
        <f t="shared" si="3"/>
        <v>1.667232621397341E-3</v>
      </c>
      <c r="Q30" s="12">
        <f t="shared" si="4"/>
        <v>1.5115281314874718E-3</v>
      </c>
      <c r="R30" s="12">
        <f t="shared" si="5"/>
        <v>2.1339651763789824E-3</v>
      </c>
      <c r="S30" s="12">
        <f t="shared" si="6"/>
        <v>1.2175428530638577E-2</v>
      </c>
      <c r="T30" s="12">
        <f t="shared" si="7"/>
        <v>6.5468469701868148E-3</v>
      </c>
      <c r="U30" s="12">
        <f t="shared" si="8"/>
        <v>1.4268707223337396E-2</v>
      </c>
      <c r="V30" s="12">
        <f t="shared" si="9"/>
        <v>3.7655321727690261E-2</v>
      </c>
      <c r="W30" s="12">
        <f t="shared" si="10"/>
        <v>2.0030915507335267E-2</v>
      </c>
      <c r="X30" s="12">
        <f t="shared" si="11"/>
        <v>3.6878503652766348E-3</v>
      </c>
    </row>
    <row r="31" spans="2:24">
      <c r="B31" s="4">
        <v>41912</v>
      </c>
      <c r="C31" s="8">
        <v>1.52E-2</v>
      </c>
      <c r="D31" s="6">
        <v>1143.877</v>
      </c>
      <c r="E31" s="6">
        <v>1238.1869999999999</v>
      </c>
      <c r="F31" s="6">
        <v>1607.172</v>
      </c>
      <c r="G31" s="6">
        <v>1493.5239999999999</v>
      </c>
      <c r="H31" s="6">
        <v>1421.8510000000001</v>
      </c>
      <c r="I31" s="6">
        <v>2558.64</v>
      </c>
      <c r="J31" s="6">
        <v>1972.29</v>
      </c>
      <c r="K31" s="6">
        <v>1698.41</v>
      </c>
      <c r="L31" s="6">
        <v>1208.1500000000001</v>
      </c>
      <c r="M31" s="13">
        <v>23</v>
      </c>
      <c r="N31" s="11">
        <f t="shared" si="1"/>
        <v>41912</v>
      </c>
      <c r="O31" s="12">
        <f t="shared" si="2"/>
        <v>1.6916666666666667E-5</v>
      </c>
      <c r="P31" s="12">
        <f t="shared" si="3"/>
        <v>-5.5918784954711587E-4</v>
      </c>
      <c r="Q31" s="12">
        <f t="shared" si="4"/>
        <v>-1.4454531212915178E-4</v>
      </c>
      <c r="R31" s="12">
        <f t="shared" si="5"/>
        <v>-1.0665751749033836E-3</v>
      </c>
      <c r="S31" s="12">
        <f t="shared" si="6"/>
        <v>-6.3298466173178358E-3</v>
      </c>
      <c r="T31" s="12">
        <f t="shared" si="7"/>
        <v>-3.1157649714820268E-3</v>
      </c>
      <c r="U31" s="12">
        <f t="shared" si="8"/>
        <v>-1.2431832190915149E-2</v>
      </c>
      <c r="V31" s="12">
        <f t="shared" si="9"/>
        <v>-1.5513859147336717E-2</v>
      </c>
      <c r="W31" s="12">
        <f t="shared" si="10"/>
        <v>-2.8752952209940008E-2</v>
      </c>
      <c r="X31" s="12">
        <f t="shared" si="11"/>
        <v>-6.1499860174626275E-2</v>
      </c>
    </row>
    <row r="32" spans="2:24">
      <c r="B32" s="4">
        <v>41943</v>
      </c>
      <c r="C32" s="8">
        <v>5.1000000000000004E-3</v>
      </c>
      <c r="D32" s="6">
        <v>1147.0170000000001</v>
      </c>
      <c r="E32" s="6">
        <v>1240.893</v>
      </c>
      <c r="F32" s="6">
        <v>1610.5830000000001</v>
      </c>
      <c r="G32" s="6">
        <v>1509.7380000000001</v>
      </c>
      <c r="H32" s="6">
        <v>1430.86</v>
      </c>
      <c r="I32" s="6">
        <v>2582.518</v>
      </c>
      <c r="J32" s="6">
        <v>2018.05</v>
      </c>
      <c r="K32" s="6">
        <v>1708.09</v>
      </c>
      <c r="L32" s="6">
        <v>1172.94</v>
      </c>
      <c r="M32" s="13">
        <v>24</v>
      </c>
      <c r="N32" s="11">
        <f t="shared" si="1"/>
        <v>41943</v>
      </c>
      <c r="O32" s="12">
        <f t="shared" si="2"/>
        <v>1.2666666666666667E-5</v>
      </c>
      <c r="P32" s="12">
        <f t="shared" si="3"/>
        <v>2.7450503856620845E-3</v>
      </c>
      <c r="Q32" s="12">
        <f t="shared" si="4"/>
        <v>2.1854534088954214E-3</v>
      </c>
      <c r="R32" s="12">
        <f t="shared" si="5"/>
        <v>2.1223615145111729E-3</v>
      </c>
      <c r="S32" s="12">
        <f t="shared" si="6"/>
        <v>1.0856203181201174E-2</v>
      </c>
      <c r="T32" s="12">
        <f t="shared" si="7"/>
        <v>6.3361069479148657E-3</v>
      </c>
      <c r="U32" s="12">
        <f t="shared" si="8"/>
        <v>9.3323015351907124E-3</v>
      </c>
      <c r="V32" s="12">
        <f t="shared" si="9"/>
        <v>2.3201456175308888E-2</v>
      </c>
      <c r="W32" s="12">
        <f t="shared" si="10"/>
        <v>5.6994483075345492E-3</v>
      </c>
      <c r="X32" s="12">
        <f t="shared" si="11"/>
        <v>-2.9143732152464574E-2</v>
      </c>
    </row>
    <row r="33" spans="2:24">
      <c r="B33" s="4">
        <v>41971</v>
      </c>
      <c r="C33" s="8">
        <v>1.01E-2</v>
      </c>
      <c r="D33" s="6">
        <v>1148.673</v>
      </c>
      <c r="E33" s="6">
        <v>1243.2950000000001</v>
      </c>
      <c r="F33" s="6">
        <v>1613.0250000000001</v>
      </c>
      <c r="G33" s="6">
        <v>1523.6559999999999</v>
      </c>
      <c r="H33" s="6">
        <v>1438.7929999999999</v>
      </c>
      <c r="I33" s="6">
        <v>2598.92</v>
      </c>
      <c r="J33" s="6">
        <v>2067.56</v>
      </c>
      <c r="K33" s="6">
        <v>1739.5</v>
      </c>
      <c r="L33" s="6">
        <v>1167.3800000000001</v>
      </c>
      <c r="M33" s="13">
        <v>25</v>
      </c>
      <c r="N33" s="11">
        <f t="shared" si="1"/>
        <v>41971</v>
      </c>
      <c r="O33" s="12">
        <f t="shared" si="2"/>
        <v>4.25E-6</v>
      </c>
      <c r="P33" s="12">
        <f t="shared" si="3"/>
        <v>1.443744948854242E-3</v>
      </c>
      <c r="Q33" s="12">
        <f t="shared" si="4"/>
        <v>1.9357027559991913E-3</v>
      </c>
      <c r="R33" s="12">
        <f t="shared" si="5"/>
        <v>1.5162211447656837E-3</v>
      </c>
      <c r="S33" s="12">
        <f t="shared" si="6"/>
        <v>9.2188180995642632E-3</v>
      </c>
      <c r="T33" s="12">
        <f t="shared" si="7"/>
        <v>5.5442181625036113E-3</v>
      </c>
      <c r="U33" s="12">
        <f t="shared" si="8"/>
        <v>6.3511658001995652E-3</v>
      </c>
      <c r="V33" s="12">
        <f t="shared" si="9"/>
        <v>2.4533584400783015E-2</v>
      </c>
      <c r="W33" s="12">
        <f t="shared" si="10"/>
        <v>1.838896076904617E-2</v>
      </c>
      <c r="X33" s="12">
        <f t="shared" si="11"/>
        <v>-4.7402254164747859E-3</v>
      </c>
    </row>
    <row r="34" spans="2:24">
      <c r="B34" s="4">
        <v>42004</v>
      </c>
      <c r="C34" s="8">
        <v>3.5499999999999997E-2</v>
      </c>
      <c r="D34" s="6">
        <v>1145.875</v>
      </c>
      <c r="E34" s="6">
        <v>1240.875</v>
      </c>
      <c r="F34" s="6">
        <v>1606.7629999999999</v>
      </c>
      <c r="G34" s="6">
        <v>1527.596</v>
      </c>
      <c r="H34" s="6">
        <v>1439.673</v>
      </c>
      <c r="I34" s="6">
        <v>2595.279</v>
      </c>
      <c r="J34" s="6">
        <v>2058.9</v>
      </c>
      <c r="K34" s="6">
        <v>1709.67</v>
      </c>
      <c r="L34" s="6">
        <v>1184.3699999999999</v>
      </c>
      <c r="M34" s="13">
        <v>26</v>
      </c>
      <c r="N34" s="11">
        <f t="shared" si="1"/>
        <v>42004</v>
      </c>
      <c r="O34" s="12">
        <f t="shared" si="2"/>
        <v>8.4166666666666668E-6</v>
      </c>
      <c r="P34" s="12">
        <f t="shared" si="3"/>
        <v>-2.4358542422430185E-3</v>
      </c>
      <c r="Q34" s="12">
        <f t="shared" si="4"/>
        <v>-1.9464407079575752E-3</v>
      </c>
      <c r="R34" s="12">
        <f t="shared" si="5"/>
        <v>-3.8821468979093332E-3</v>
      </c>
      <c r="S34" s="12">
        <f t="shared" si="6"/>
        <v>2.5858855279670134E-3</v>
      </c>
      <c r="T34" s="12">
        <f t="shared" si="7"/>
        <v>6.1162377075785201E-4</v>
      </c>
      <c r="U34" s="12">
        <f t="shared" si="8"/>
        <v>-1.4009665553383899E-3</v>
      </c>
      <c r="V34" s="12">
        <f t="shared" si="9"/>
        <v>-4.1885120625277938E-3</v>
      </c>
      <c r="W34" s="12">
        <f t="shared" si="10"/>
        <v>-1.7148605921241677E-2</v>
      </c>
      <c r="X34" s="12">
        <f t="shared" si="11"/>
        <v>1.4553958436841263E-2</v>
      </c>
    </row>
    <row r="35" spans="2:24">
      <c r="B35" s="4">
        <v>42034</v>
      </c>
      <c r="C35" s="8">
        <v>0</v>
      </c>
      <c r="D35" s="6">
        <v>1151.6590000000001</v>
      </c>
      <c r="E35" s="6">
        <v>1246.759</v>
      </c>
      <c r="F35" s="6">
        <v>1615.4010000000001</v>
      </c>
      <c r="G35" s="6">
        <v>1571.633</v>
      </c>
      <c r="H35" s="6">
        <v>1463.9639999999999</v>
      </c>
      <c r="I35" s="6">
        <v>2666.3989999999999</v>
      </c>
      <c r="J35" s="6">
        <v>1994.99</v>
      </c>
      <c r="K35" s="6">
        <v>1677.54</v>
      </c>
      <c r="L35" s="6">
        <v>1283.79</v>
      </c>
      <c r="M35" s="13">
        <v>27</v>
      </c>
      <c r="N35" s="11">
        <f t="shared" si="1"/>
        <v>42034</v>
      </c>
      <c r="O35" s="12">
        <f t="shared" si="2"/>
        <v>2.9583333333333332E-5</v>
      </c>
      <c r="P35" s="12">
        <f t="shared" si="3"/>
        <v>5.0476709937821163E-3</v>
      </c>
      <c r="Q35" s="12">
        <f t="shared" si="4"/>
        <v>4.7418152513347689E-3</v>
      </c>
      <c r="R35" s="12">
        <f t="shared" si="5"/>
        <v>5.3760262092170663E-3</v>
      </c>
      <c r="S35" s="12">
        <f t="shared" si="6"/>
        <v>2.8827648147808693E-2</v>
      </c>
      <c r="T35" s="12">
        <f t="shared" si="7"/>
        <v>1.6872581482044735E-2</v>
      </c>
      <c r="U35" s="12">
        <f t="shared" si="8"/>
        <v>2.7403604776210955E-2</v>
      </c>
      <c r="V35" s="12">
        <f t="shared" si="9"/>
        <v>-3.1040847054252363E-2</v>
      </c>
      <c r="W35" s="12">
        <f t="shared" si="10"/>
        <v>-1.8793100422888731E-2</v>
      </c>
      <c r="X35" s="12">
        <f t="shared" si="11"/>
        <v>8.3943362293877888E-2</v>
      </c>
    </row>
    <row r="36" spans="2:24">
      <c r="B36" s="4">
        <v>42062</v>
      </c>
      <c r="C36" s="8">
        <v>1.01E-2</v>
      </c>
      <c r="D36" s="6">
        <v>1149.174</v>
      </c>
      <c r="E36" s="6">
        <v>1244.96</v>
      </c>
      <c r="F36" s="6">
        <v>1616.9259999999999</v>
      </c>
      <c r="G36" s="6">
        <v>1544.1579999999999</v>
      </c>
      <c r="H36" s="6">
        <v>1450.894</v>
      </c>
      <c r="I36" s="6">
        <v>2644.1060000000002</v>
      </c>
      <c r="J36" s="6">
        <v>2104.5</v>
      </c>
      <c r="K36" s="6">
        <v>1772.86</v>
      </c>
      <c r="L36" s="6">
        <v>1213.18</v>
      </c>
      <c r="M36" s="13">
        <v>28</v>
      </c>
      <c r="N36" s="11">
        <f t="shared" si="1"/>
        <v>42062</v>
      </c>
      <c r="O36" s="12">
        <f t="shared" si="2"/>
        <v>0</v>
      </c>
      <c r="P36" s="12">
        <f t="shared" si="3"/>
        <v>-2.1577567665429509E-3</v>
      </c>
      <c r="Q36" s="12">
        <f t="shared" si="4"/>
        <v>-1.442941258093966E-3</v>
      </c>
      <c r="R36" s="12">
        <f t="shared" si="5"/>
        <v>9.4403804380460699E-4</v>
      </c>
      <c r="S36" s="12">
        <f t="shared" si="6"/>
        <v>-1.7481816683666107E-2</v>
      </c>
      <c r="T36" s="12">
        <f t="shared" si="7"/>
        <v>-8.9278151648537474E-3</v>
      </c>
      <c r="U36" s="12">
        <f t="shared" si="8"/>
        <v>-8.3607142066883799E-3</v>
      </c>
      <c r="V36" s="12">
        <f t="shared" si="9"/>
        <v>5.4892505726845675E-2</v>
      </c>
      <c r="W36" s="12">
        <f t="shared" si="10"/>
        <v>5.6821297852808206E-2</v>
      </c>
      <c r="X36" s="12">
        <f t="shared" si="11"/>
        <v>-5.5001207362574744E-2</v>
      </c>
    </row>
    <row r="37" spans="2:24">
      <c r="B37" s="4">
        <v>42094</v>
      </c>
      <c r="C37" s="8">
        <v>2.0299999999999999E-2</v>
      </c>
      <c r="D37" s="6">
        <v>1151.846</v>
      </c>
      <c r="E37" s="6">
        <v>1247.5540000000001</v>
      </c>
      <c r="F37" s="6">
        <v>1620.1479999999999</v>
      </c>
      <c r="G37" s="6">
        <v>1554.3309999999999</v>
      </c>
      <c r="H37" s="6">
        <v>1457.9169999999999</v>
      </c>
      <c r="I37" s="6">
        <v>2653.933</v>
      </c>
      <c r="J37" s="6">
        <v>2067.89</v>
      </c>
      <c r="K37" s="6">
        <v>1740.81</v>
      </c>
      <c r="L37" s="6">
        <v>1183.57</v>
      </c>
      <c r="M37" s="13">
        <v>29</v>
      </c>
      <c r="N37" s="11">
        <f t="shared" si="1"/>
        <v>42094</v>
      </c>
      <c r="O37" s="12">
        <f t="shared" si="2"/>
        <v>8.4166666666666668E-6</v>
      </c>
      <c r="P37" s="12">
        <f t="shared" si="3"/>
        <v>2.3251483239266069E-3</v>
      </c>
      <c r="Q37" s="12">
        <f t="shared" si="4"/>
        <v>2.0836010795528548E-3</v>
      </c>
      <c r="R37" s="12">
        <f t="shared" si="5"/>
        <v>1.9926700417953747E-3</v>
      </c>
      <c r="S37" s="12">
        <f t="shared" si="6"/>
        <v>6.5880564035545319E-3</v>
      </c>
      <c r="T37" s="12">
        <f t="shared" si="7"/>
        <v>4.8404638795114252E-3</v>
      </c>
      <c r="U37" s="12">
        <f t="shared" si="8"/>
        <v>3.7165680952275792E-3</v>
      </c>
      <c r="V37" s="12">
        <f t="shared" si="9"/>
        <v>-1.7396056070325572E-2</v>
      </c>
      <c r="W37" s="12">
        <f t="shared" si="10"/>
        <v>-1.807813363717381E-2</v>
      </c>
      <c r="X37" s="12">
        <f t="shared" si="11"/>
        <v>-2.4406930546168049E-2</v>
      </c>
    </row>
    <row r="38" spans="2:24">
      <c r="B38" s="4">
        <v>42124</v>
      </c>
      <c r="C38" s="8">
        <v>0</v>
      </c>
      <c r="D38" s="6">
        <v>1152.3720000000001</v>
      </c>
      <c r="E38" s="6">
        <v>1248.3109999999999</v>
      </c>
      <c r="F38" s="6">
        <v>1622.8409999999999</v>
      </c>
      <c r="G38" s="6">
        <v>1544.722</v>
      </c>
      <c r="H38" s="6">
        <v>1454.799</v>
      </c>
      <c r="I38" s="6">
        <v>2639.7559999999999</v>
      </c>
      <c r="J38" s="6">
        <v>2085.5100000000002</v>
      </c>
      <c r="K38" s="6">
        <v>1778.4</v>
      </c>
      <c r="L38" s="6">
        <v>1184.3699999999999</v>
      </c>
      <c r="M38" s="13">
        <v>30</v>
      </c>
      <c r="N38" s="11">
        <f t="shared" si="1"/>
        <v>42124</v>
      </c>
      <c r="O38" s="12">
        <f t="shared" si="2"/>
        <v>1.6916666666666667E-5</v>
      </c>
      <c r="P38" s="12">
        <f t="shared" si="3"/>
        <v>4.5665826855323388E-4</v>
      </c>
      <c r="Q38" s="12">
        <f t="shared" si="4"/>
        <v>6.0678736150876489E-4</v>
      </c>
      <c r="R38" s="12">
        <f t="shared" si="5"/>
        <v>1.6621938242677992E-3</v>
      </c>
      <c r="S38" s="12">
        <f t="shared" si="6"/>
        <v>-6.1820809081205574E-3</v>
      </c>
      <c r="T38" s="12">
        <f t="shared" si="7"/>
        <v>-2.1386677019336053E-3</v>
      </c>
      <c r="U38" s="12">
        <f t="shared" si="8"/>
        <v>-5.341883159823646E-3</v>
      </c>
      <c r="V38" s="12">
        <f t="shared" si="9"/>
        <v>8.5207627098153882E-3</v>
      </c>
      <c r="W38" s="12">
        <f t="shared" si="10"/>
        <v>2.1593396177641555E-2</v>
      </c>
      <c r="X38" s="12">
        <f t="shared" si="11"/>
        <v>6.75921153797443E-4</v>
      </c>
    </row>
    <row r="39" spans="2:24">
      <c r="B39" s="4">
        <v>42153</v>
      </c>
      <c r="C39" s="8">
        <v>0</v>
      </c>
      <c r="D39" s="6">
        <v>1153.2280000000001</v>
      </c>
      <c r="E39" s="6">
        <v>1249.135</v>
      </c>
      <c r="F39" s="6">
        <v>1624.636</v>
      </c>
      <c r="G39" s="6">
        <v>1541.11</v>
      </c>
      <c r="H39" s="6">
        <v>1454.7560000000001</v>
      </c>
      <c r="I39" s="6">
        <v>2626.4180000000001</v>
      </c>
      <c r="J39" s="6">
        <v>2107.39</v>
      </c>
      <c r="K39" s="6">
        <v>1779.31</v>
      </c>
      <c r="L39" s="6">
        <v>1190.58</v>
      </c>
      <c r="M39" s="13">
        <v>31</v>
      </c>
      <c r="N39" s="11">
        <f t="shared" si="1"/>
        <v>42153</v>
      </c>
      <c r="O39" s="12">
        <f t="shared" si="2"/>
        <v>0</v>
      </c>
      <c r="P39" s="12">
        <f t="shared" si="3"/>
        <v>7.428156879896175E-4</v>
      </c>
      <c r="Q39" s="12">
        <f t="shared" si="4"/>
        <v>6.6009191619720298E-4</v>
      </c>
      <c r="R39" s="12">
        <f t="shared" si="5"/>
        <v>1.1060849460915456E-3</v>
      </c>
      <c r="S39" s="12">
        <f t="shared" si="6"/>
        <v>-2.3382848175917958E-3</v>
      </c>
      <c r="T39" s="12">
        <f t="shared" si="7"/>
        <v>-2.9557347784758825E-5</v>
      </c>
      <c r="U39" s="12">
        <f t="shared" si="8"/>
        <v>-5.0527397229136461E-3</v>
      </c>
      <c r="V39" s="12">
        <f t="shared" si="9"/>
        <v>1.0491438545008114E-2</v>
      </c>
      <c r="W39" s="12">
        <f t="shared" si="10"/>
        <v>5.1169590643262985E-4</v>
      </c>
      <c r="X39" s="12">
        <f t="shared" si="11"/>
        <v>5.2432939030877534E-3</v>
      </c>
    </row>
    <row r="40" spans="2:24">
      <c r="B40" s="4">
        <v>42185</v>
      </c>
      <c r="C40" s="8">
        <v>5.1000000000000004E-3</v>
      </c>
      <c r="D40" s="6">
        <v>1153.52</v>
      </c>
      <c r="E40" s="6">
        <v>1249.5820000000001</v>
      </c>
      <c r="F40" s="6">
        <v>1622.194</v>
      </c>
      <c r="G40" s="6">
        <v>1525.7570000000001</v>
      </c>
      <c r="H40" s="6">
        <v>1448.2940000000001</v>
      </c>
      <c r="I40" s="6">
        <v>2583.3620000000001</v>
      </c>
      <c r="J40" s="6">
        <v>2063.11</v>
      </c>
      <c r="K40" s="6">
        <v>1735.61</v>
      </c>
      <c r="L40" s="6">
        <v>1172.3499999999999</v>
      </c>
      <c r="M40" s="13">
        <v>32</v>
      </c>
      <c r="N40" s="11">
        <f t="shared" si="1"/>
        <v>42185</v>
      </c>
      <c r="O40" s="12">
        <f t="shared" si="2"/>
        <v>0</v>
      </c>
      <c r="P40" s="12">
        <f t="shared" si="3"/>
        <v>2.5320231558723094E-4</v>
      </c>
      <c r="Q40" s="12">
        <f t="shared" si="4"/>
        <v>3.5784763056034841E-4</v>
      </c>
      <c r="R40" s="12">
        <f t="shared" si="5"/>
        <v>-1.5031059264967173E-3</v>
      </c>
      <c r="S40" s="12">
        <f t="shared" si="6"/>
        <v>-9.962299900720839E-3</v>
      </c>
      <c r="T40" s="12">
        <f t="shared" si="7"/>
        <v>-4.4419820231021978E-3</v>
      </c>
      <c r="U40" s="12">
        <f t="shared" si="8"/>
        <v>-1.639343013945227E-2</v>
      </c>
      <c r="V40" s="12">
        <f t="shared" si="9"/>
        <v>-2.10117728564716E-2</v>
      </c>
      <c r="W40" s="12">
        <f t="shared" si="10"/>
        <v>-2.4560082279085793E-2</v>
      </c>
      <c r="X40" s="12">
        <f t="shared" si="11"/>
        <v>-1.5311864805389042E-2</v>
      </c>
    </row>
    <row r="41" spans="2:24">
      <c r="B41" s="4">
        <v>42216</v>
      </c>
      <c r="C41" s="8">
        <v>6.0999999999999999E-2</v>
      </c>
      <c r="D41" s="6">
        <v>1154.1199999999999</v>
      </c>
      <c r="E41" s="6">
        <v>1250.482</v>
      </c>
      <c r="F41" s="6">
        <v>1623.1859999999999</v>
      </c>
      <c r="G41" s="6">
        <v>1540.0889999999999</v>
      </c>
      <c r="H41" s="6">
        <v>1454.393</v>
      </c>
      <c r="I41" s="6">
        <v>2597.2840000000001</v>
      </c>
      <c r="J41" s="6">
        <v>2103.84</v>
      </c>
      <c r="K41" s="6">
        <v>1765.6</v>
      </c>
      <c r="L41" s="6">
        <v>1095.8</v>
      </c>
      <c r="M41" s="13">
        <v>33</v>
      </c>
      <c r="N41" s="11">
        <f t="shared" si="1"/>
        <v>42216</v>
      </c>
      <c r="O41" s="12">
        <f t="shared" si="2"/>
        <v>4.25E-6</v>
      </c>
      <c r="P41" s="12">
        <f t="shared" si="3"/>
        <v>5.2014702822655856E-4</v>
      </c>
      <c r="Q41" s="12">
        <f t="shared" si="4"/>
        <v>7.2024084853961057E-4</v>
      </c>
      <c r="R41" s="12">
        <f t="shared" si="5"/>
        <v>6.1151748804388895E-4</v>
      </c>
      <c r="S41" s="12">
        <f t="shared" si="6"/>
        <v>9.3933699796231451E-3</v>
      </c>
      <c r="T41" s="12">
        <f t="shared" si="7"/>
        <v>4.2111615459292651E-3</v>
      </c>
      <c r="U41" s="12">
        <f t="shared" si="8"/>
        <v>5.3891014886802147E-3</v>
      </c>
      <c r="V41" s="12">
        <f t="shared" si="9"/>
        <v>1.9742039930008559E-2</v>
      </c>
      <c r="W41" s="12">
        <f t="shared" si="10"/>
        <v>1.7279227476218795E-2</v>
      </c>
      <c r="X41" s="12">
        <f t="shared" si="11"/>
        <v>-6.5296199940290789E-2</v>
      </c>
    </row>
    <row r="42" spans="2:24">
      <c r="B42" s="4">
        <v>42247</v>
      </c>
      <c r="C42" s="8">
        <v>0</v>
      </c>
      <c r="D42" s="6">
        <v>1153.6300000000001</v>
      </c>
      <c r="E42" s="6">
        <v>1250.546</v>
      </c>
      <c r="F42" s="6">
        <v>1620.6120000000001</v>
      </c>
      <c r="G42" s="6">
        <v>1540.9670000000001</v>
      </c>
      <c r="H42" s="6">
        <v>1454.694</v>
      </c>
      <c r="I42" s="6">
        <v>2579.8580000000002</v>
      </c>
      <c r="J42" s="6">
        <v>1972.18</v>
      </c>
      <c r="K42" s="6">
        <v>1645.43</v>
      </c>
      <c r="L42" s="6">
        <v>1134.93</v>
      </c>
      <c r="M42" s="13">
        <v>34</v>
      </c>
      <c r="N42" s="11">
        <f t="shared" si="1"/>
        <v>42247</v>
      </c>
      <c r="O42" s="12">
        <f t="shared" si="2"/>
        <v>5.0833333333333333E-5</v>
      </c>
      <c r="P42" s="12">
        <f t="shared" si="3"/>
        <v>-4.245659030255311E-4</v>
      </c>
      <c r="Q42" s="12">
        <f t="shared" si="4"/>
        <v>5.1180264889927329E-5</v>
      </c>
      <c r="R42" s="12">
        <f t="shared" si="5"/>
        <v>-1.5857702074807412E-3</v>
      </c>
      <c r="S42" s="12">
        <f t="shared" si="6"/>
        <v>5.7009692297005365E-4</v>
      </c>
      <c r="T42" s="12">
        <f t="shared" si="7"/>
        <v>2.0695919191027201E-4</v>
      </c>
      <c r="U42" s="12">
        <f t="shared" si="8"/>
        <v>-6.7093163473843642E-3</v>
      </c>
      <c r="V42" s="12">
        <f t="shared" si="9"/>
        <v>-6.258080462392579E-2</v>
      </c>
      <c r="W42" s="12">
        <f t="shared" si="10"/>
        <v>-6.806184866334386E-2</v>
      </c>
      <c r="X42" s="12">
        <f t="shared" si="11"/>
        <v>3.5709070998357406E-2</v>
      </c>
    </row>
    <row r="43" spans="2:24">
      <c r="B43" s="4">
        <v>42277</v>
      </c>
      <c r="C43" s="8">
        <v>-2.0299999999999999E-2</v>
      </c>
      <c r="D43" s="6">
        <v>1157.1199999999999</v>
      </c>
      <c r="E43" s="6">
        <v>1254.1199999999999</v>
      </c>
      <c r="F43" s="6">
        <v>1625.098</v>
      </c>
      <c r="G43" s="6">
        <v>1554.798</v>
      </c>
      <c r="H43" s="6">
        <v>1463.473</v>
      </c>
      <c r="I43" s="6">
        <v>2593.3789999999999</v>
      </c>
      <c r="J43" s="6">
        <v>1920.03</v>
      </c>
      <c r="K43" s="6">
        <v>1581.92</v>
      </c>
      <c r="L43" s="6">
        <v>1115.0899999999999</v>
      </c>
      <c r="M43" s="13">
        <v>35</v>
      </c>
      <c r="N43" s="11">
        <f t="shared" si="1"/>
        <v>42277</v>
      </c>
      <c r="O43" s="12">
        <f t="shared" si="2"/>
        <v>0</v>
      </c>
      <c r="P43" s="12">
        <f t="shared" si="3"/>
        <v>3.025233393722182E-3</v>
      </c>
      <c r="Q43" s="12">
        <f t="shared" si="4"/>
        <v>2.8579516467206467E-3</v>
      </c>
      <c r="R43" s="12">
        <f t="shared" si="5"/>
        <v>2.7680900795501451E-3</v>
      </c>
      <c r="S43" s="12">
        <f t="shared" si="6"/>
        <v>8.9755328959022496E-3</v>
      </c>
      <c r="T43" s="12">
        <f t="shared" si="7"/>
        <v>6.0349461811213256E-3</v>
      </c>
      <c r="U43" s="12">
        <f t="shared" si="8"/>
        <v>5.2409861317948003E-3</v>
      </c>
      <c r="V43" s="12">
        <f t="shared" si="9"/>
        <v>-2.6442819620927094E-2</v>
      </c>
      <c r="W43" s="12">
        <f t="shared" si="10"/>
        <v>-3.8597813337546971E-2</v>
      </c>
      <c r="X43" s="12">
        <f t="shared" si="11"/>
        <v>-1.7481254350488751E-2</v>
      </c>
    </row>
    <row r="44" spans="2:24">
      <c r="B44" s="4">
        <v>42307</v>
      </c>
      <c r="C44" s="8">
        <v>7.1199999999999999E-2</v>
      </c>
      <c r="D44" s="6">
        <v>1155.989</v>
      </c>
      <c r="E44" s="6">
        <v>1253.502</v>
      </c>
      <c r="F44" s="6">
        <v>1628.251</v>
      </c>
      <c r="G44" s="6">
        <v>1549.2550000000001</v>
      </c>
      <c r="H44" s="6">
        <v>1461.502</v>
      </c>
      <c r="I44" s="6">
        <v>2607.2800000000002</v>
      </c>
      <c r="J44" s="6">
        <v>2079.36</v>
      </c>
      <c r="K44" s="6">
        <v>1705.8</v>
      </c>
      <c r="L44" s="6">
        <v>1142.1099999999999</v>
      </c>
      <c r="M44" s="13">
        <v>36</v>
      </c>
      <c r="N44" s="11">
        <f t="shared" si="1"/>
        <v>42307</v>
      </c>
      <c r="O44" s="12">
        <f t="shared" si="2"/>
        <v>-1.6916666666666667E-5</v>
      </c>
      <c r="P44" s="12">
        <f t="shared" si="3"/>
        <v>-9.7742671460165909E-4</v>
      </c>
      <c r="Q44" s="12">
        <f t="shared" si="4"/>
        <v>-4.927758109271041E-4</v>
      </c>
      <c r="R44" s="12">
        <f t="shared" si="5"/>
        <v>1.940190683884957E-3</v>
      </c>
      <c r="S44" s="12">
        <f t="shared" si="6"/>
        <v>-3.5650933433152288E-3</v>
      </c>
      <c r="T44" s="12">
        <f t="shared" si="7"/>
        <v>-1.3467962852747872E-3</v>
      </c>
      <c r="U44" s="12">
        <f t="shared" si="8"/>
        <v>5.3601883874283551E-3</v>
      </c>
      <c r="V44" s="12">
        <f t="shared" si="9"/>
        <v>8.2983078389400333E-2</v>
      </c>
      <c r="W44" s="12">
        <f t="shared" si="10"/>
        <v>7.8309901891372435E-2</v>
      </c>
      <c r="X44" s="12">
        <f t="shared" si="11"/>
        <v>2.4231227972629998E-2</v>
      </c>
    </row>
    <row r="45" spans="2:24">
      <c r="B45" s="4">
        <v>42338</v>
      </c>
      <c r="C45" s="8">
        <v>0.1678</v>
      </c>
      <c r="D45" s="6">
        <v>1153.1510000000001</v>
      </c>
      <c r="E45" s="6">
        <v>1251.0709999999999</v>
      </c>
      <c r="F45" s="6">
        <v>1627.0940000000001</v>
      </c>
      <c r="G45" s="6">
        <v>1542.7090000000001</v>
      </c>
      <c r="H45" s="6">
        <v>1457.568</v>
      </c>
      <c r="I45" s="6">
        <v>2601.444</v>
      </c>
      <c r="J45" s="6">
        <v>2080.41</v>
      </c>
      <c r="K45" s="6">
        <v>1694.4</v>
      </c>
      <c r="L45" s="6">
        <v>1064.77</v>
      </c>
      <c r="M45" s="13">
        <v>37</v>
      </c>
      <c r="N45" s="11">
        <f t="shared" si="1"/>
        <v>42338</v>
      </c>
      <c r="O45" s="12">
        <f t="shared" si="2"/>
        <v>5.933333333333333E-5</v>
      </c>
      <c r="P45" s="12">
        <f t="shared" si="3"/>
        <v>-2.4550406621516307E-3</v>
      </c>
      <c r="Q45" s="12">
        <f t="shared" si="4"/>
        <v>-1.9393666703364509E-3</v>
      </c>
      <c r="R45" s="12">
        <f t="shared" si="5"/>
        <v>-7.1057840590915688E-4</v>
      </c>
      <c r="S45" s="12">
        <f t="shared" si="6"/>
        <v>-4.225256655618348E-3</v>
      </c>
      <c r="T45" s="12">
        <f t="shared" si="7"/>
        <v>-2.6917513626392164E-3</v>
      </c>
      <c r="U45" s="12">
        <f t="shared" si="8"/>
        <v>-2.2383480101869635E-3</v>
      </c>
      <c r="V45" s="12">
        <f t="shared" si="9"/>
        <v>5.0496306555847248E-4</v>
      </c>
      <c r="W45" s="12">
        <f t="shared" si="10"/>
        <v>-6.6830812521982974E-3</v>
      </c>
      <c r="X45" s="12">
        <f t="shared" si="11"/>
        <v>-6.7716769838281676E-2</v>
      </c>
    </row>
    <row r="46" spans="2:24">
      <c r="B46" s="4">
        <v>42369</v>
      </c>
      <c r="C46" s="8">
        <v>0.16270000000000001</v>
      </c>
      <c r="D46" s="6">
        <v>1152.0709999999999</v>
      </c>
      <c r="E46" s="6">
        <v>1249.4960000000001</v>
      </c>
      <c r="F46" s="6">
        <v>1623.0329999999999</v>
      </c>
      <c r="G46" s="6">
        <v>1540.289</v>
      </c>
      <c r="H46" s="6">
        <v>1453.954</v>
      </c>
      <c r="I46" s="6">
        <v>2578.886</v>
      </c>
      <c r="J46" s="6">
        <v>2043.94</v>
      </c>
      <c r="K46" s="6">
        <v>1662.79</v>
      </c>
      <c r="L46" s="6">
        <v>1061.0999999999999</v>
      </c>
      <c r="M46" s="13">
        <v>38</v>
      </c>
      <c r="N46" s="11">
        <f t="shared" si="1"/>
        <v>42369</v>
      </c>
      <c r="O46" s="12">
        <f t="shared" si="2"/>
        <v>1.3983333333333334E-4</v>
      </c>
      <c r="P46" s="12">
        <f t="shared" si="3"/>
        <v>-9.365642487412229E-4</v>
      </c>
      <c r="Q46" s="12">
        <f t="shared" si="4"/>
        <v>-1.2589213561818857E-3</v>
      </c>
      <c r="R46" s="12">
        <f t="shared" si="5"/>
        <v>-2.4958607185572301E-3</v>
      </c>
      <c r="S46" s="12">
        <f t="shared" si="6"/>
        <v>-1.5686691398054675E-3</v>
      </c>
      <c r="T46" s="12">
        <f t="shared" si="7"/>
        <v>-2.4794726558212687E-3</v>
      </c>
      <c r="U46" s="12">
        <f t="shared" si="8"/>
        <v>-8.6713379184790718E-3</v>
      </c>
      <c r="V46" s="12">
        <f t="shared" si="9"/>
        <v>-1.7530198374358763E-2</v>
      </c>
      <c r="W46" s="12">
        <f t="shared" si="10"/>
        <v>-1.8655571293673345E-2</v>
      </c>
      <c r="X46" s="12">
        <f t="shared" si="11"/>
        <v>-3.4467537590278097E-3</v>
      </c>
    </row>
    <row r="47" spans="2:24">
      <c r="B47" s="4">
        <v>42398</v>
      </c>
      <c r="C47" s="8">
        <v>0.31030000000000002</v>
      </c>
      <c r="D47" s="6">
        <v>1159.0899999999999</v>
      </c>
      <c r="E47" s="6">
        <v>1256.875</v>
      </c>
      <c r="F47" s="6">
        <v>1627.4110000000001</v>
      </c>
      <c r="G47" s="6">
        <v>1574.173</v>
      </c>
      <c r="H47" s="6">
        <v>1474.7950000000001</v>
      </c>
      <c r="I47" s="6">
        <v>2590.1999999999998</v>
      </c>
      <c r="J47" s="6">
        <v>1940.24</v>
      </c>
      <c r="K47" s="6">
        <v>1562.18</v>
      </c>
      <c r="L47" s="6">
        <v>1118.21</v>
      </c>
      <c r="M47" s="13">
        <v>39</v>
      </c>
      <c r="N47" s="11">
        <f t="shared" si="1"/>
        <v>42398</v>
      </c>
      <c r="O47" s="12">
        <f t="shared" si="2"/>
        <v>1.3558333333333334E-4</v>
      </c>
      <c r="P47" s="12">
        <f t="shared" si="3"/>
        <v>6.0925064514252281E-3</v>
      </c>
      <c r="Q47" s="12">
        <f t="shared" si="4"/>
        <v>5.905581130311699E-3</v>
      </c>
      <c r="R47" s="12">
        <f t="shared" si="5"/>
        <v>2.6974189680679661E-3</v>
      </c>
      <c r="S47" s="12">
        <f t="shared" si="6"/>
        <v>2.1998469118457598E-2</v>
      </c>
      <c r="T47" s="12">
        <f t="shared" si="7"/>
        <v>1.4334016069284194E-2</v>
      </c>
      <c r="U47" s="12">
        <f t="shared" si="8"/>
        <v>4.3871656211247334E-3</v>
      </c>
      <c r="V47" s="12">
        <f t="shared" si="9"/>
        <v>-5.0735344481736222E-2</v>
      </c>
      <c r="W47" s="12">
        <f t="shared" si="10"/>
        <v>-6.0506738674156013E-2</v>
      </c>
      <c r="X47" s="12">
        <f t="shared" si="11"/>
        <v>5.3821505984356088E-2</v>
      </c>
    </row>
    <row r="48" spans="2:24">
      <c r="B48" s="4">
        <v>42429</v>
      </c>
      <c r="C48" s="8">
        <v>0.31540000000000001</v>
      </c>
      <c r="D48" s="6">
        <v>1160.4259999999999</v>
      </c>
      <c r="E48" s="6">
        <v>1257.675</v>
      </c>
      <c r="F48" s="6">
        <v>1628.9739999999999</v>
      </c>
      <c r="G48" s="6">
        <v>1589.664</v>
      </c>
      <c r="H48" s="6">
        <v>1481.4829999999999</v>
      </c>
      <c r="I48" s="6">
        <v>2609.23</v>
      </c>
      <c r="J48" s="6">
        <v>1932.23</v>
      </c>
      <c r="K48" s="6">
        <v>1547.17</v>
      </c>
      <c r="L48" s="6">
        <v>1238.67</v>
      </c>
      <c r="M48" s="13">
        <v>40</v>
      </c>
      <c r="N48" s="11">
        <f t="shared" si="1"/>
        <v>42429</v>
      </c>
      <c r="O48" s="12">
        <f t="shared" si="2"/>
        <v>2.5858333333333338E-4</v>
      </c>
      <c r="P48" s="12">
        <f t="shared" si="3"/>
        <v>1.1526283550027383E-3</v>
      </c>
      <c r="Q48" s="12">
        <f t="shared" si="4"/>
        <v>6.3649925410236285E-4</v>
      </c>
      <c r="R48" s="12">
        <f t="shared" si="5"/>
        <v>9.6042118432282386E-4</v>
      </c>
      <c r="S48" s="12">
        <f t="shared" si="6"/>
        <v>9.8407227159911237E-3</v>
      </c>
      <c r="T48" s="12">
        <f t="shared" si="7"/>
        <v>4.5348675578638087E-3</v>
      </c>
      <c r="U48" s="12">
        <f t="shared" si="8"/>
        <v>7.3469230175275957E-3</v>
      </c>
      <c r="V48" s="12">
        <f t="shared" si="9"/>
        <v>-4.1283552550199776E-3</v>
      </c>
      <c r="W48" s="12">
        <f t="shared" si="10"/>
        <v>-9.608367793724093E-3</v>
      </c>
      <c r="X48" s="12">
        <f t="shared" si="11"/>
        <v>0.10772574024557113</v>
      </c>
    </row>
    <row r="49" spans="2:24">
      <c r="B49" s="4">
        <v>42460</v>
      </c>
      <c r="C49" s="8">
        <v>0.1983</v>
      </c>
      <c r="D49" s="6">
        <v>1162.451</v>
      </c>
      <c r="E49" s="6">
        <v>1260.2449999999999</v>
      </c>
      <c r="F49" s="6">
        <v>1642.7529999999999</v>
      </c>
      <c r="G49" s="6">
        <v>1591.874</v>
      </c>
      <c r="H49" s="6">
        <v>1485.0730000000001</v>
      </c>
      <c r="I49" s="6">
        <v>2680.049</v>
      </c>
      <c r="J49" s="6">
        <v>2059.7399999999998</v>
      </c>
      <c r="K49" s="6">
        <v>1648.12</v>
      </c>
      <c r="L49" s="6">
        <v>1232.75</v>
      </c>
      <c r="M49" s="13">
        <v>41</v>
      </c>
      <c r="N49" s="11">
        <f t="shared" si="1"/>
        <v>42460</v>
      </c>
      <c r="O49" s="12">
        <f t="shared" si="2"/>
        <v>2.6283333333333334E-4</v>
      </c>
      <c r="P49" s="12">
        <f t="shared" si="3"/>
        <v>1.7450488010437581E-3</v>
      </c>
      <c r="Q49" s="12">
        <f t="shared" si="4"/>
        <v>2.0434531973680947E-3</v>
      </c>
      <c r="R49" s="12">
        <f t="shared" si="5"/>
        <v>8.4586985427637096E-3</v>
      </c>
      <c r="S49" s="12">
        <f t="shared" si="6"/>
        <v>1.3902308915594297E-3</v>
      </c>
      <c r="T49" s="12">
        <f t="shared" si="7"/>
        <v>2.4232475161714007E-3</v>
      </c>
      <c r="U49" s="12">
        <f t="shared" si="8"/>
        <v>2.7141723803574269E-2</v>
      </c>
      <c r="V49" s="12">
        <f t="shared" si="9"/>
        <v>6.5991108718941094E-2</v>
      </c>
      <c r="W49" s="12">
        <f t="shared" si="10"/>
        <v>6.5248162774614205E-2</v>
      </c>
      <c r="X49" s="12">
        <f t="shared" si="11"/>
        <v>-4.7793197542526089E-3</v>
      </c>
    </row>
    <row r="50" spans="2:24">
      <c r="B50" s="4">
        <v>42489</v>
      </c>
      <c r="C50" s="8">
        <v>0.20849999999999999</v>
      </c>
      <c r="D50" s="6">
        <v>1162.8720000000001</v>
      </c>
      <c r="E50" s="6">
        <v>1260.557</v>
      </c>
      <c r="F50" s="6">
        <v>1649.5170000000001</v>
      </c>
      <c r="G50" s="6">
        <v>1589.963</v>
      </c>
      <c r="H50" s="6">
        <v>1485.4829999999999</v>
      </c>
      <c r="I50" s="6">
        <v>2716.5050000000001</v>
      </c>
      <c r="J50" s="6">
        <v>2065.3000000000002</v>
      </c>
      <c r="K50" s="6">
        <v>1670.8</v>
      </c>
      <c r="L50" s="6">
        <v>1293.53</v>
      </c>
      <c r="M50" s="13">
        <v>42</v>
      </c>
      <c r="N50" s="11">
        <f t="shared" si="1"/>
        <v>42489</v>
      </c>
      <c r="O50" s="12">
        <f t="shared" si="2"/>
        <v>1.6525000000000001E-4</v>
      </c>
      <c r="P50" s="12">
        <f t="shared" si="3"/>
        <v>3.6216580311787538E-4</v>
      </c>
      <c r="Q50" s="12">
        <f t="shared" si="4"/>
        <v>2.4757090883142929E-4</v>
      </c>
      <c r="R50" s="12">
        <f t="shared" si="5"/>
        <v>4.1174784036310808E-3</v>
      </c>
      <c r="S50" s="12">
        <f t="shared" si="6"/>
        <v>-1.2004718966450723E-3</v>
      </c>
      <c r="T50" s="12">
        <f t="shared" si="7"/>
        <v>2.7608070445017674E-4</v>
      </c>
      <c r="U50" s="12">
        <f t="shared" si="8"/>
        <v>1.3602736367879897E-2</v>
      </c>
      <c r="V50" s="12">
        <f t="shared" si="9"/>
        <v>2.69936982337593E-3</v>
      </c>
      <c r="W50" s="12">
        <f t="shared" si="10"/>
        <v>1.3761133898017253E-2</v>
      </c>
      <c r="X50" s="12">
        <f t="shared" si="11"/>
        <v>4.9304400730074915E-2</v>
      </c>
    </row>
    <row r="51" spans="2:24">
      <c r="B51" s="4">
        <v>42521</v>
      </c>
      <c r="C51" s="8">
        <v>0.28489999999999999</v>
      </c>
      <c r="D51" s="6">
        <v>1161.636</v>
      </c>
      <c r="E51" s="6">
        <v>1259.8520000000001</v>
      </c>
      <c r="F51" s="6">
        <v>1649.7719999999999</v>
      </c>
      <c r="G51" s="6">
        <v>1590.559</v>
      </c>
      <c r="H51" s="6">
        <v>1486.0719999999999</v>
      </c>
      <c r="I51" s="6">
        <v>2714.741</v>
      </c>
      <c r="J51" s="6">
        <v>2096.96</v>
      </c>
      <c r="K51" s="6">
        <v>1674.61</v>
      </c>
      <c r="L51" s="6">
        <v>1215.33</v>
      </c>
      <c r="M51" s="13">
        <v>43</v>
      </c>
      <c r="N51" s="11">
        <f t="shared" si="1"/>
        <v>42521</v>
      </c>
      <c r="O51" s="12">
        <f t="shared" si="2"/>
        <v>1.7374999999999999E-4</v>
      </c>
      <c r="P51" s="12">
        <f t="shared" si="3"/>
        <v>-1.0628856830331435E-3</v>
      </c>
      <c r="Q51" s="12">
        <f t="shared" si="4"/>
        <v>-5.5927657376853013E-4</v>
      </c>
      <c r="R51" s="12">
        <f t="shared" si="5"/>
        <v>1.5459070746159931E-4</v>
      </c>
      <c r="S51" s="12">
        <f t="shared" si="6"/>
        <v>3.748514902548461E-4</v>
      </c>
      <c r="T51" s="12">
        <f t="shared" si="7"/>
        <v>3.9650403269497758E-4</v>
      </c>
      <c r="U51" s="12">
        <f t="shared" si="8"/>
        <v>-6.4936379649593867E-4</v>
      </c>
      <c r="V51" s="12">
        <f t="shared" si="9"/>
        <v>1.5329492083474561E-2</v>
      </c>
      <c r="W51" s="12">
        <f t="shared" si="10"/>
        <v>2.2803447450323588E-3</v>
      </c>
      <c r="X51" s="12">
        <f t="shared" si="11"/>
        <v>-6.0454724668156157E-2</v>
      </c>
    </row>
    <row r="52" spans="2:24">
      <c r="B52" s="4">
        <v>42551</v>
      </c>
      <c r="C52" s="8">
        <v>0.25869999999999999</v>
      </c>
      <c r="D52" s="6">
        <v>1168.595</v>
      </c>
      <c r="E52" s="6">
        <v>1265.452</v>
      </c>
      <c r="F52" s="6">
        <v>1659.8009999999999</v>
      </c>
      <c r="G52" s="6">
        <v>1627.5329999999999</v>
      </c>
      <c r="H52" s="6">
        <v>1505.0409999999999</v>
      </c>
      <c r="I52" s="6">
        <v>2773.9090000000001</v>
      </c>
      <c r="J52" s="6">
        <v>2098.86</v>
      </c>
      <c r="K52" s="6">
        <v>1653.23</v>
      </c>
      <c r="L52" s="6">
        <v>1321.9</v>
      </c>
      <c r="M52" s="13">
        <v>44</v>
      </c>
      <c r="N52" s="11">
        <f t="shared" si="1"/>
        <v>42551</v>
      </c>
      <c r="O52" s="12">
        <f t="shared" si="2"/>
        <v>2.3741666666666665E-4</v>
      </c>
      <c r="P52" s="12">
        <f t="shared" si="3"/>
        <v>5.9906889937983987E-3</v>
      </c>
      <c r="Q52" s="12">
        <f t="shared" si="4"/>
        <v>4.4449665516266279E-3</v>
      </c>
      <c r="R52" s="12">
        <f t="shared" si="5"/>
        <v>6.0790218284707542E-3</v>
      </c>
      <c r="S52" s="12">
        <f t="shared" si="6"/>
        <v>2.3245915429732422E-2</v>
      </c>
      <c r="T52" s="12">
        <f t="shared" si="7"/>
        <v>1.2764522849498583E-2</v>
      </c>
      <c r="U52" s="12">
        <f t="shared" si="8"/>
        <v>2.179508100404437E-2</v>
      </c>
      <c r="V52" s="12">
        <f t="shared" si="9"/>
        <v>9.0607355409733081E-4</v>
      </c>
      <c r="W52" s="12">
        <f t="shared" si="10"/>
        <v>-1.2767151754736861E-2</v>
      </c>
      <c r="X52" s="12">
        <f t="shared" si="11"/>
        <v>8.768811763060258E-2</v>
      </c>
    </row>
    <row r="53" spans="2:24">
      <c r="B53" s="4">
        <v>42580</v>
      </c>
      <c r="C53" s="8">
        <v>0.25359999999999999</v>
      </c>
      <c r="D53" s="6">
        <v>1167.9280000000001</v>
      </c>
      <c r="E53" s="6">
        <v>1265.0650000000001</v>
      </c>
      <c r="F53" s="6">
        <v>1663.5530000000001</v>
      </c>
      <c r="G53" s="6">
        <v>1634.443</v>
      </c>
      <c r="H53" s="6">
        <v>1508.99</v>
      </c>
      <c r="I53" s="6">
        <v>2814.136</v>
      </c>
      <c r="J53" s="6">
        <v>2173.6</v>
      </c>
      <c r="K53" s="6">
        <v>1721.79</v>
      </c>
      <c r="L53" s="6">
        <v>1351.28</v>
      </c>
      <c r="M53" s="13">
        <v>45</v>
      </c>
      <c r="N53" s="11">
        <f t="shared" si="1"/>
        <v>42580</v>
      </c>
      <c r="O53" s="12">
        <f t="shared" si="2"/>
        <v>2.1558333333333333E-4</v>
      </c>
      <c r="P53" s="12">
        <f t="shared" si="3"/>
        <v>-5.7077088298329581E-4</v>
      </c>
      <c r="Q53" s="12">
        <f t="shared" si="4"/>
        <v>-3.0581958067155135E-4</v>
      </c>
      <c r="R53" s="12">
        <f t="shared" si="5"/>
        <v>2.2605119529390816E-3</v>
      </c>
      <c r="S53" s="12">
        <f t="shared" si="6"/>
        <v>4.2456896419305057E-3</v>
      </c>
      <c r="T53" s="12">
        <f t="shared" si="7"/>
        <v>2.623848785514804E-3</v>
      </c>
      <c r="U53" s="12">
        <f t="shared" si="8"/>
        <v>1.4501917690883159E-2</v>
      </c>
      <c r="V53" s="12">
        <f t="shared" si="9"/>
        <v>3.5609807228685897E-2</v>
      </c>
      <c r="W53" s="12">
        <f t="shared" si="10"/>
        <v>4.1470333831348238E-2</v>
      </c>
      <c r="X53" s="12">
        <f t="shared" si="11"/>
        <v>2.2225584386110775E-2</v>
      </c>
    </row>
    <row r="54" spans="2:24">
      <c r="B54" s="4">
        <v>42613</v>
      </c>
      <c r="C54" s="8">
        <v>0.32979999999999998</v>
      </c>
      <c r="D54" s="6">
        <v>1165.989</v>
      </c>
      <c r="E54" s="6">
        <v>1263.951</v>
      </c>
      <c r="F54" s="6">
        <v>1664.085</v>
      </c>
      <c r="G54" s="6">
        <v>1625.0830000000001</v>
      </c>
      <c r="H54" s="6">
        <v>1506.011</v>
      </c>
      <c r="I54" s="6">
        <v>2821.8510000000001</v>
      </c>
      <c r="J54" s="6">
        <v>2170.9499999999998</v>
      </c>
      <c r="K54" s="6">
        <v>1719.52</v>
      </c>
      <c r="L54" s="6">
        <v>1308.97</v>
      </c>
      <c r="M54" s="13">
        <v>46</v>
      </c>
      <c r="N54" s="11">
        <f t="shared" si="1"/>
        <v>42613</v>
      </c>
      <c r="O54" s="12">
        <f t="shared" si="2"/>
        <v>2.1133333333333334E-4</v>
      </c>
      <c r="P54" s="12">
        <f t="shared" si="3"/>
        <v>-1.6602050811351798E-3</v>
      </c>
      <c r="Q54" s="12">
        <f t="shared" si="4"/>
        <v>-8.8058716350547517E-4</v>
      </c>
      <c r="R54" s="12">
        <f t="shared" si="5"/>
        <v>3.1979744558774392E-4</v>
      </c>
      <c r="S54" s="12">
        <f t="shared" si="6"/>
        <v>-5.7267215803793459E-3</v>
      </c>
      <c r="T54" s="12">
        <f t="shared" si="7"/>
        <v>-1.9741681522077448E-3</v>
      </c>
      <c r="U54" s="12">
        <f t="shared" si="8"/>
        <v>2.7415164014816806E-3</v>
      </c>
      <c r="V54" s="12">
        <f t="shared" si="9"/>
        <v>-1.2191755612808164E-3</v>
      </c>
      <c r="W54" s="12">
        <f t="shared" si="10"/>
        <v>-1.3183953908432189E-3</v>
      </c>
      <c r="X54" s="12">
        <f t="shared" si="11"/>
        <v>-3.1311053223610164E-2</v>
      </c>
    </row>
    <row r="55" spans="2:24">
      <c r="B55" s="4">
        <v>42643</v>
      </c>
      <c r="C55" s="8">
        <v>0.27389999999999998</v>
      </c>
      <c r="D55" s="6">
        <v>1167.3440000000001</v>
      </c>
      <c r="E55" s="6">
        <v>1265.866</v>
      </c>
      <c r="F55" s="6">
        <v>1665.3679999999999</v>
      </c>
      <c r="G55" s="6">
        <v>1622.095</v>
      </c>
      <c r="H55" s="6">
        <v>1507.0640000000001</v>
      </c>
      <c r="I55" s="6">
        <v>2813.7240000000002</v>
      </c>
      <c r="J55" s="6">
        <v>2168.27</v>
      </c>
      <c r="K55" s="6">
        <v>1725.67</v>
      </c>
      <c r="L55" s="6">
        <v>1315.87</v>
      </c>
      <c r="M55" s="13">
        <v>47</v>
      </c>
      <c r="N55" s="11">
        <f t="shared" si="1"/>
        <v>42643</v>
      </c>
      <c r="O55" s="12">
        <f t="shared" si="2"/>
        <v>2.7483333333333331E-4</v>
      </c>
      <c r="P55" s="12">
        <f t="shared" si="3"/>
        <v>1.1621035875981622E-3</v>
      </c>
      <c r="Q55" s="12">
        <f t="shared" si="4"/>
        <v>1.515090379294648E-3</v>
      </c>
      <c r="R55" s="12">
        <f t="shared" si="5"/>
        <v>7.7099427012439214E-4</v>
      </c>
      <c r="S55" s="12">
        <f t="shared" si="6"/>
        <v>-1.8386753168915249E-3</v>
      </c>
      <c r="T55" s="12">
        <f t="shared" si="7"/>
        <v>6.9919808022667063E-4</v>
      </c>
      <c r="U55" s="12">
        <f t="shared" si="8"/>
        <v>-2.8800244945604847E-3</v>
      </c>
      <c r="V55" s="12">
        <f t="shared" si="9"/>
        <v>-1.2344825997834263E-3</v>
      </c>
      <c r="W55" s="12">
        <f t="shared" si="10"/>
        <v>3.5765795105611176E-3</v>
      </c>
      <c r="X55" s="12">
        <f t="shared" si="11"/>
        <v>5.2713201983236591E-3</v>
      </c>
    </row>
    <row r="56" spans="2:24">
      <c r="B56" s="4">
        <v>42674</v>
      </c>
      <c r="C56" s="8">
        <v>0.29930000000000001</v>
      </c>
      <c r="D56" s="6">
        <v>1166.5630000000001</v>
      </c>
      <c r="E56" s="6">
        <v>1265.7539999999999</v>
      </c>
      <c r="F56" s="6">
        <v>1666.1579999999999</v>
      </c>
      <c r="G56" s="6">
        <v>1603.42</v>
      </c>
      <c r="H56" s="6">
        <v>1500.248</v>
      </c>
      <c r="I56" s="6">
        <v>2790.4340000000002</v>
      </c>
      <c r="J56" s="6">
        <v>2126.15</v>
      </c>
      <c r="K56" s="6">
        <v>1690.92</v>
      </c>
      <c r="L56" s="6">
        <v>1277.21</v>
      </c>
      <c r="M56" s="13">
        <v>48</v>
      </c>
      <c r="N56" s="11">
        <f t="shared" si="1"/>
        <v>42674</v>
      </c>
      <c r="O56" s="12">
        <f t="shared" si="2"/>
        <v>2.2824999999999999E-4</v>
      </c>
      <c r="P56" s="12">
        <f t="shared" si="3"/>
        <v>-6.6904014583524241E-4</v>
      </c>
      <c r="Q56" s="12">
        <f t="shared" si="4"/>
        <v>-8.8476979395957223E-5</v>
      </c>
      <c r="R56" s="12">
        <f t="shared" si="5"/>
        <v>4.7436962881475253E-4</v>
      </c>
      <c r="S56" s="12">
        <f t="shared" si="6"/>
        <v>-1.151288919576221E-2</v>
      </c>
      <c r="T56" s="12">
        <f t="shared" si="7"/>
        <v>-4.5227010929861367E-3</v>
      </c>
      <c r="U56" s="12">
        <f t="shared" si="8"/>
        <v>-8.2772866137545975E-3</v>
      </c>
      <c r="V56" s="12">
        <f t="shared" si="9"/>
        <v>-1.9425625037472249E-2</v>
      </c>
      <c r="W56" s="12">
        <f t="shared" si="10"/>
        <v>-2.0137106167459562E-2</v>
      </c>
      <c r="X56" s="12">
        <f t="shared" si="11"/>
        <v>-2.9379801956120222E-2</v>
      </c>
    </row>
    <row r="57" spans="2:24">
      <c r="B57" s="4">
        <v>42704</v>
      </c>
      <c r="C57" s="8">
        <v>0.47710000000000002</v>
      </c>
      <c r="D57" s="6">
        <v>1161.934</v>
      </c>
      <c r="E57" s="6">
        <v>1260.7349999999999</v>
      </c>
      <c r="F57" s="6">
        <v>1659.1020000000001</v>
      </c>
      <c r="G57" s="6">
        <v>1559.6320000000001</v>
      </c>
      <c r="H57" s="6">
        <v>1477.88</v>
      </c>
      <c r="I57" s="6">
        <v>2715.674</v>
      </c>
      <c r="J57" s="6">
        <v>2198.81</v>
      </c>
      <c r="K57" s="6">
        <v>1712.09</v>
      </c>
      <c r="L57" s="6">
        <v>1173.2</v>
      </c>
      <c r="M57" s="13">
        <v>49</v>
      </c>
      <c r="N57" s="11">
        <f t="shared" si="1"/>
        <v>42704</v>
      </c>
      <c r="O57" s="12">
        <f t="shared" si="2"/>
        <v>2.4941666666666667E-4</v>
      </c>
      <c r="P57" s="12">
        <f t="shared" si="3"/>
        <v>-3.9680668767997362E-3</v>
      </c>
      <c r="Q57" s="12">
        <f t="shared" si="4"/>
        <v>-3.9652254703520518E-3</v>
      </c>
      <c r="R57" s="12">
        <f t="shared" si="5"/>
        <v>-4.234892489187625E-3</v>
      </c>
      <c r="S57" s="12">
        <f t="shared" si="6"/>
        <v>-2.7309126741589806E-2</v>
      </c>
      <c r="T57" s="12">
        <f t="shared" si="7"/>
        <v>-1.4909534956887072E-2</v>
      </c>
      <c r="U57" s="12">
        <f t="shared" si="8"/>
        <v>-2.6791531353187459E-2</v>
      </c>
      <c r="V57" s="12">
        <f t="shared" si="9"/>
        <v>3.4174446769983158E-2</v>
      </c>
      <c r="W57" s="12">
        <f t="shared" si="10"/>
        <v>1.2519811700139494E-2</v>
      </c>
      <c r="X57" s="12">
        <f t="shared" si="11"/>
        <v>-8.143531604043186E-2</v>
      </c>
    </row>
    <row r="58" spans="2:24">
      <c r="B58" s="4">
        <v>42734</v>
      </c>
      <c r="C58" s="8">
        <v>0.49740000000000001</v>
      </c>
      <c r="D58" s="6">
        <v>1162.279</v>
      </c>
      <c r="E58" s="6">
        <v>1261.5440000000001</v>
      </c>
      <c r="F58" s="6">
        <v>1661.82</v>
      </c>
      <c r="G58" s="6">
        <v>1557.8440000000001</v>
      </c>
      <c r="H58" s="6">
        <v>1475.7570000000001</v>
      </c>
      <c r="I58" s="6">
        <v>2732.6640000000002</v>
      </c>
      <c r="J58" s="6">
        <v>2238.83</v>
      </c>
      <c r="K58" s="6">
        <v>1751.22</v>
      </c>
      <c r="L58" s="6">
        <v>1147.5</v>
      </c>
      <c r="M58" s="13">
        <v>50</v>
      </c>
      <c r="N58" s="11">
        <f t="shared" si="1"/>
        <v>42734</v>
      </c>
      <c r="O58" s="12">
        <f t="shared" si="2"/>
        <v>3.9758333333333334E-4</v>
      </c>
      <c r="P58" s="12">
        <f t="shared" si="3"/>
        <v>2.9691875786408417E-4</v>
      </c>
      <c r="Q58" s="12">
        <f t="shared" si="4"/>
        <v>6.4168917337914522E-4</v>
      </c>
      <c r="R58" s="12">
        <f t="shared" si="5"/>
        <v>1.638235623849349E-3</v>
      </c>
      <c r="S58" s="12">
        <f t="shared" si="6"/>
        <v>-1.1464242847030182E-3</v>
      </c>
      <c r="T58" s="12">
        <f t="shared" si="7"/>
        <v>-1.4365171732482196E-3</v>
      </c>
      <c r="U58" s="12">
        <f t="shared" si="8"/>
        <v>6.2562737648186317E-3</v>
      </c>
      <c r="V58" s="12">
        <f t="shared" si="9"/>
        <v>1.8200754044233047E-2</v>
      </c>
      <c r="W58" s="12">
        <f t="shared" si="10"/>
        <v>2.2855106916108481E-2</v>
      </c>
      <c r="X58" s="12">
        <f t="shared" si="11"/>
        <v>-2.1905898397545198E-2</v>
      </c>
    </row>
    <row r="59" spans="2:24">
      <c r="B59" s="4">
        <v>42766</v>
      </c>
      <c r="C59" s="8">
        <v>0.51270000000000004</v>
      </c>
      <c r="D59" s="6">
        <v>1163.7429999999999</v>
      </c>
      <c r="E59" s="6">
        <v>1263.4269999999999</v>
      </c>
      <c r="F59" s="6">
        <v>1666.5920000000001</v>
      </c>
      <c r="G59" s="6">
        <v>1561.3620000000001</v>
      </c>
      <c r="H59" s="6">
        <v>1479.7760000000001</v>
      </c>
      <c r="I59" s="6">
        <v>2743.8710000000001</v>
      </c>
      <c r="J59" s="6">
        <v>2278.87</v>
      </c>
      <c r="K59" s="6">
        <v>1792.4</v>
      </c>
      <c r="L59" s="6">
        <v>1210.72</v>
      </c>
      <c r="M59" s="13">
        <v>51</v>
      </c>
      <c r="N59" s="11">
        <f t="shared" si="1"/>
        <v>42766</v>
      </c>
      <c r="O59" s="12">
        <f t="shared" si="2"/>
        <v>4.1449999999999999E-4</v>
      </c>
      <c r="P59" s="12">
        <f t="shared" si="3"/>
        <v>1.2595942970663465E-3</v>
      </c>
      <c r="Q59" s="12">
        <f t="shared" si="4"/>
        <v>1.4926153982737222E-3</v>
      </c>
      <c r="R59" s="12">
        <f t="shared" si="5"/>
        <v>2.8715504687633064E-3</v>
      </c>
      <c r="S59" s="12">
        <f t="shared" si="6"/>
        <v>2.2582492213598648E-3</v>
      </c>
      <c r="T59" s="12">
        <f t="shared" si="7"/>
        <v>2.7233480850845648E-3</v>
      </c>
      <c r="U59" s="12">
        <f t="shared" si="8"/>
        <v>4.1011262270076454E-3</v>
      </c>
      <c r="V59" s="12">
        <f t="shared" si="9"/>
        <v>1.7884341374735824E-2</v>
      </c>
      <c r="W59" s="12">
        <f t="shared" si="10"/>
        <v>2.3515035232580805E-2</v>
      </c>
      <c r="X59" s="12">
        <f t="shared" si="11"/>
        <v>5.5093681917211423E-2</v>
      </c>
    </row>
    <row r="60" spans="2:24">
      <c r="B60" s="4">
        <v>42794</v>
      </c>
      <c r="C60" s="8">
        <v>0.60419999999999996</v>
      </c>
      <c r="D60" s="6">
        <v>1164.93</v>
      </c>
      <c r="E60" s="6">
        <v>1264.8499999999999</v>
      </c>
      <c r="F60" s="6">
        <v>1672.1980000000001</v>
      </c>
      <c r="G60" s="6">
        <v>1569.4359999999999</v>
      </c>
      <c r="H60" s="6">
        <v>1485.597</v>
      </c>
      <c r="I60" s="6">
        <v>2774.9059999999999</v>
      </c>
      <c r="J60" s="6">
        <v>2363.64</v>
      </c>
      <c r="K60" s="6">
        <v>1838.7</v>
      </c>
      <c r="L60" s="6">
        <v>1248.44</v>
      </c>
      <c r="M60" s="13">
        <v>52</v>
      </c>
      <c r="N60" s="11">
        <f t="shared" si="1"/>
        <v>42794</v>
      </c>
      <c r="O60" s="12">
        <f t="shared" si="2"/>
        <v>4.2725000000000006E-4</v>
      </c>
      <c r="P60" s="12">
        <f t="shared" si="3"/>
        <v>1.0199846529690415E-3</v>
      </c>
      <c r="Q60" s="12">
        <f t="shared" si="4"/>
        <v>1.1263017174716339E-3</v>
      </c>
      <c r="R60" s="12">
        <f t="shared" si="5"/>
        <v>3.3637506960311203E-3</v>
      </c>
      <c r="S60" s="12">
        <f t="shared" si="6"/>
        <v>5.1711262346592068E-3</v>
      </c>
      <c r="T60" s="12">
        <f t="shared" si="7"/>
        <v>3.9337034794455494E-3</v>
      </c>
      <c r="U60" s="12">
        <f t="shared" si="8"/>
        <v>1.1310662928395665E-2</v>
      </c>
      <c r="V60" s="12">
        <f t="shared" si="9"/>
        <v>3.7198260541408734E-2</v>
      </c>
      <c r="W60" s="12">
        <f t="shared" si="10"/>
        <v>2.5831287659004554E-2</v>
      </c>
      <c r="X60" s="12">
        <f t="shared" si="11"/>
        <v>3.1155015197568359E-2</v>
      </c>
    </row>
    <row r="61" spans="2:24">
      <c r="B61" s="4">
        <v>42825</v>
      </c>
      <c r="C61" s="8">
        <v>0.75160000000000005</v>
      </c>
      <c r="D61" s="6">
        <v>1165.3040000000001</v>
      </c>
      <c r="E61" s="6">
        <v>1265.386</v>
      </c>
      <c r="F61" s="6">
        <v>1673.5119999999999</v>
      </c>
      <c r="G61" s="6">
        <v>1568.5150000000001</v>
      </c>
      <c r="H61" s="6">
        <v>1486.7180000000001</v>
      </c>
      <c r="I61" s="6">
        <v>2771.491</v>
      </c>
      <c r="J61" s="6">
        <v>2362.7199999999998</v>
      </c>
      <c r="K61" s="6">
        <v>1853.69</v>
      </c>
      <c r="L61" s="6">
        <v>1249.2</v>
      </c>
      <c r="M61" s="13">
        <v>53</v>
      </c>
      <c r="N61" s="11">
        <f t="shared" si="1"/>
        <v>42825</v>
      </c>
      <c r="O61" s="12">
        <f t="shared" si="2"/>
        <v>5.0349999999999993E-4</v>
      </c>
      <c r="P61" s="12">
        <f t="shared" si="3"/>
        <v>3.210493334364628E-4</v>
      </c>
      <c r="Q61" s="12">
        <f t="shared" si="4"/>
        <v>4.2376566391277848E-4</v>
      </c>
      <c r="R61" s="12">
        <f t="shared" si="5"/>
        <v>7.8579211313489772E-4</v>
      </c>
      <c r="S61" s="12">
        <f t="shared" si="6"/>
        <v>-5.8683501589096299E-4</v>
      </c>
      <c r="T61" s="12">
        <f t="shared" si="7"/>
        <v>7.5457879896112523E-4</v>
      </c>
      <c r="U61" s="12">
        <f t="shared" si="8"/>
        <v>-1.2306723182694546E-3</v>
      </c>
      <c r="V61" s="12">
        <f t="shared" si="9"/>
        <v>-3.8923017041514463E-4</v>
      </c>
      <c r="W61" s="12">
        <f t="shared" si="10"/>
        <v>8.152499048240669E-3</v>
      </c>
      <c r="X61" s="12">
        <f t="shared" si="11"/>
        <v>6.087597321458027E-4</v>
      </c>
    </row>
    <row r="62" spans="2:24">
      <c r="B62" s="4">
        <v>42853</v>
      </c>
      <c r="C62" s="8">
        <v>0.7923</v>
      </c>
      <c r="D62" s="6">
        <v>1166.9190000000001</v>
      </c>
      <c r="E62" s="6">
        <v>1267.0899999999999</v>
      </c>
      <c r="F62" s="6">
        <v>1677.777</v>
      </c>
      <c r="G62" s="6">
        <v>1579.5</v>
      </c>
      <c r="H62" s="6">
        <v>1494.1949999999999</v>
      </c>
      <c r="I62" s="6">
        <v>2799.14</v>
      </c>
      <c r="J62" s="6">
        <v>2384.1999999999998</v>
      </c>
      <c r="K62" s="6">
        <v>1878.28</v>
      </c>
      <c r="L62" s="6">
        <v>1268.28</v>
      </c>
      <c r="M62" s="13">
        <v>54</v>
      </c>
      <c r="N62" s="11">
        <f t="shared" si="1"/>
        <v>42853</v>
      </c>
      <c r="O62" s="12">
        <f t="shared" si="2"/>
        <v>6.2633333333333334E-4</v>
      </c>
      <c r="P62" s="12">
        <f t="shared" si="3"/>
        <v>1.3859044506840945E-3</v>
      </c>
      <c r="Q62" s="12">
        <f t="shared" si="4"/>
        <v>1.3466246663074166E-3</v>
      </c>
      <c r="R62" s="12">
        <f t="shared" si="5"/>
        <v>2.5485326666316865E-3</v>
      </c>
      <c r="S62" s="12">
        <f t="shared" si="6"/>
        <v>7.0034395590732323E-3</v>
      </c>
      <c r="T62" s="12">
        <f t="shared" si="7"/>
        <v>5.0291985433685849E-3</v>
      </c>
      <c r="U62" s="12">
        <f t="shared" si="8"/>
        <v>9.9762185769320944E-3</v>
      </c>
      <c r="V62" s="12">
        <f t="shared" si="9"/>
        <v>9.0912169025529899E-3</v>
      </c>
      <c r="W62" s="12">
        <f t="shared" si="10"/>
        <v>1.3265432731470739E-2</v>
      </c>
      <c r="X62" s="12">
        <f t="shared" si="11"/>
        <v>1.5273775216138263E-2</v>
      </c>
    </row>
    <row r="63" spans="2:24">
      <c r="B63" s="4">
        <v>42886</v>
      </c>
      <c r="C63" s="8">
        <v>0.97060000000000002</v>
      </c>
      <c r="D63" s="6">
        <v>1168.269</v>
      </c>
      <c r="E63" s="6">
        <v>1268.9169999999999</v>
      </c>
      <c r="F63" s="6">
        <v>1682.3610000000001</v>
      </c>
      <c r="G63" s="6">
        <v>1590.085</v>
      </c>
      <c r="H63" s="6">
        <v>1500.7159999999999</v>
      </c>
      <c r="I63" s="6">
        <v>2831.6770000000001</v>
      </c>
      <c r="J63" s="6">
        <v>2411.8000000000002</v>
      </c>
      <c r="K63" s="6">
        <v>1911.74</v>
      </c>
      <c r="L63" s="6">
        <v>1268.92</v>
      </c>
      <c r="M63" s="13">
        <v>55</v>
      </c>
      <c r="N63" s="11">
        <f t="shared" si="1"/>
        <v>42886</v>
      </c>
      <c r="O63" s="12">
        <f t="shared" si="2"/>
        <v>6.6025000000000003E-4</v>
      </c>
      <c r="P63" s="12">
        <f t="shared" si="3"/>
        <v>1.1568926377922839E-3</v>
      </c>
      <c r="Q63" s="12">
        <f t="shared" si="4"/>
        <v>1.4418865273975179E-3</v>
      </c>
      <c r="R63" s="12">
        <f t="shared" si="5"/>
        <v>2.7321866970402287E-3</v>
      </c>
      <c r="S63" s="12">
        <f t="shared" si="6"/>
        <v>6.7014878125990496E-3</v>
      </c>
      <c r="T63" s="12">
        <f t="shared" si="7"/>
        <v>4.3642228758629109E-3</v>
      </c>
      <c r="U63" s="12">
        <f t="shared" si="8"/>
        <v>1.1623927349114549E-2</v>
      </c>
      <c r="V63" s="12">
        <f t="shared" si="9"/>
        <v>1.1576210049492719E-2</v>
      </c>
      <c r="W63" s="12">
        <f t="shared" si="10"/>
        <v>1.7814170411227348E-2</v>
      </c>
      <c r="X63" s="12">
        <f t="shared" si="11"/>
        <v>5.046204308196689E-4</v>
      </c>
    </row>
    <row r="64" spans="2:24">
      <c r="B64" s="4">
        <v>42916</v>
      </c>
      <c r="C64" s="8">
        <v>1.0113000000000001</v>
      </c>
      <c r="D64" s="6">
        <v>1167.3320000000001</v>
      </c>
      <c r="E64" s="6">
        <v>1268.6010000000001</v>
      </c>
      <c r="F64" s="6">
        <v>1683.5360000000001</v>
      </c>
      <c r="G64" s="6">
        <v>1587.7</v>
      </c>
      <c r="H64" s="6">
        <v>1499.806</v>
      </c>
      <c r="I64" s="6">
        <v>2838.6260000000002</v>
      </c>
      <c r="J64" s="6">
        <v>2423.41</v>
      </c>
      <c r="K64" s="6">
        <v>1916.43</v>
      </c>
      <c r="L64" s="6">
        <v>1241.6099999999999</v>
      </c>
      <c r="M64" s="13">
        <v>56</v>
      </c>
      <c r="N64" s="11">
        <f t="shared" si="1"/>
        <v>42916</v>
      </c>
      <c r="O64" s="12">
        <f t="shared" si="2"/>
        <v>8.0883333333333339E-4</v>
      </c>
      <c r="P64" s="12">
        <f t="shared" si="3"/>
        <v>-8.0204131069117057E-4</v>
      </c>
      <c r="Q64" s="12">
        <f t="shared" si="4"/>
        <v>-2.4903126051567526E-4</v>
      </c>
      <c r="R64" s="12">
        <f t="shared" si="5"/>
        <v>6.9842322783286725E-4</v>
      </c>
      <c r="S64" s="12">
        <f t="shared" si="6"/>
        <v>-1.4999198156073756E-3</v>
      </c>
      <c r="T64" s="12">
        <f t="shared" si="7"/>
        <v>-6.063772226055919E-4</v>
      </c>
      <c r="U64" s="12">
        <f t="shared" si="8"/>
        <v>2.4540228281686449E-3</v>
      </c>
      <c r="V64" s="12">
        <f t="shared" si="9"/>
        <v>4.8138319927024664E-3</v>
      </c>
      <c r="W64" s="12">
        <f t="shared" si="10"/>
        <v>2.4532624729305397E-3</v>
      </c>
      <c r="X64" s="12">
        <f t="shared" si="11"/>
        <v>-2.152223938467368E-2</v>
      </c>
    </row>
    <row r="65" spans="2:24">
      <c r="B65" s="4">
        <v>42947</v>
      </c>
      <c r="C65" s="8">
        <v>1.0724</v>
      </c>
      <c r="D65" s="6">
        <v>1169.818</v>
      </c>
      <c r="E65" s="6">
        <v>1271.289</v>
      </c>
      <c r="F65" s="6">
        <v>1690.2260000000001</v>
      </c>
      <c r="G65" s="6">
        <v>1590.114</v>
      </c>
      <c r="H65" s="6">
        <v>1503.9970000000001</v>
      </c>
      <c r="I65" s="6">
        <v>2859.8389999999999</v>
      </c>
      <c r="J65" s="6">
        <v>2470.3000000000002</v>
      </c>
      <c r="K65" s="6">
        <v>1961.1</v>
      </c>
      <c r="L65" s="6">
        <v>1269.44</v>
      </c>
      <c r="M65" s="13">
        <v>57</v>
      </c>
      <c r="N65" s="11">
        <f t="shared" si="1"/>
        <v>42947</v>
      </c>
      <c r="O65" s="12">
        <f t="shared" si="2"/>
        <v>8.4275000000000007E-4</v>
      </c>
      <c r="P65" s="12">
        <f t="shared" si="3"/>
        <v>2.1296426380839062E-3</v>
      </c>
      <c r="Q65" s="12">
        <f t="shared" si="4"/>
        <v>2.1188695263520962E-3</v>
      </c>
      <c r="R65" s="12">
        <f t="shared" si="5"/>
        <v>3.9737789984888305E-3</v>
      </c>
      <c r="S65" s="12">
        <f t="shared" si="6"/>
        <v>1.5204383699691792E-3</v>
      </c>
      <c r="T65" s="12">
        <f t="shared" si="7"/>
        <v>2.7943614040748521E-3</v>
      </c>
      <c r="U65" s="12">
        <f t="shared" si="8"/>
        <v>7.4729816467542509E-3</v>
      </c>
      <c r="V65" s="12">
        <f t="shared" si="9"/>
        <v>1.9348768883515444E-2</v>
      </c>
      <c r="W65" s="12">
        <f t="shared" si="10"/>
        <v>2.330896510699576E-2</v>
      </c>
      <c r="X65" s="12">
        <f t="shared" si="11"/>
        <v>2.2414445759940893E-2</v>
      </c>
    </row>
    <row r="66" spans="2:24">
      <c r="B66" s="4">
        <v>42978</v>
      </c>
      <c r="C66" s="8">
        <v>0.99099999999999999</v>
      </c>
      <c r="D66" s="6">
        <v>1172.0340000000001</v>
      </c>
      <c r="E66" s="6">
        <v>1273.575</v>
      </c>
      <c r="F66" s="6">
        <v>1693.654</v>
      </c>
      <c r="G66" s="6">
        <v>1608.0930000000001</v>
      </c>
      <c r="H66" s="6">
        <v>1515.028</v>
      </c>
      <c r="I66" s="6">
        <v>2884.06</v>
      </c>
      <c r="J66" s="6">
        <v>2471.65</v>
      </c>
      <c r="K66" s="6">
        <v>1959.74</v>
      </c>
      <c r="L66" s="6">
        <v>1321.43</v>
      </c>
      <c r="M66" s="13">
        <v>58</v>
      </c>
      <c r="N66" s="11">
        <f t="shared" si="1"/>
        <v>42978</v>
      </c>
      <c r="O66" s="12">
        <f t="shared" si="2"/>
        <v>8.9366666666666663E-4</v>
      </c>
      <c r="P66" s="12">
        <f t="shared" si="3"/>
        <v>1.8943117647360896E-3</v>
      </c>
      <c r="Q66" s="12">
        <f t="shared" si="4"/>
        <v>1.7981749232471866E-3</v>
      </c>
      <c r="R66" s="12">
        <f t="shared" si="5"/>
        <v>2.0281311493255405E-3</v>
      </c>
      <c r="S66" s="12">
        <f t="shared" si="6"/>
        <v>1.1306736498137848E-2</v>
      </c>
      <c r="T66" s="12">
        <f t="shared" si="7"/>
        <v>7.3344561192607571E-3</v>
      </c>
      <c r="U66" s="12">
        <f t="shared" si="8"/>
        <v>8.4693578904266875E-3</v>
      </c>
      <c r="V66" s="12">
        <f t="shared" si="9"/>
        <v>5.4649232886694321E-4</v>
      </c>
      <c r="W66" s="12">
        <f t="shared" si="10"/>
        <v>-6.9348834837590356E-4</v>
      </c>
      <c r="X66" s="12">
        <f t="shared" si="11"/>
        <v>4.0955066801109163E-2</v>
      </c>
    </row>
    <row r="67" spans="2:24">
      <c r="B67" s="4">
        <v>43007</v>
      </c>
      <c r="C67" s="8">
        <v>1.0405</v>
      </c>
      <c r="D67" s="6">
        <v>1170.116</v>
      </c>
      <c r="E67" s="6">
        <v>1272.1510000000001</v>
      </c>
      <c r="F67" s="6">
        <v>1693.8510000000001</v>
      </c>
      <c r="G67" s="6">
        <v>1593.95</v>
      </c>
      <c r="H67" s="6">
        <v>1507.422</v>
      </c>
      <c r="I67" s="6">
        <v>2877.4780000000001</v>
      </c>
      <c r="J67" s="6">
        <v>2519.36</v>
      </c>
      <c r="K67" s="6">
        <v>2000.55</v>
      </c>
      <c r="L67" s="6">
        <v>1279.75</v>
      </c>
      <c r="M67" s="13">
        <v>59</v>
      </c>
      <c r="N67" s="11">
        <f t="shared" si="1"/>
        <v>43007</v>
      </c>
      <c r="O67" s="12">
        <f t="shared" si="2"/>
        <v>8.2583333333333337E-4</v>
      </c>
      <c r="P67" s="12">
        <f t="shared" si="3"/>
        <v>-1.6364712969079154E-3</v>
      </c>
      <c r="Q67" s="12">
        <f t="shared" si="4"/>
        <v>-1.1181124001334863E-3</v>
      </c>
      <c r="R67" s="12">
        <f t="shared" si="5"/>
        <v>1.1631655580179867E-4</v>
      </c>
      <c r="S67" s="12">
        <f t="shared" si="6"/>
        <v>-8.7948893503050352E-3</v>
      </c>
      <c r="T67" s="12">
        <f t="shared" si="7"/>
        <v>-5.0203692605020889E-3</v>
      </c>
      <c r="U67" s="12">
        <f t="shared" si="8"/>
        <v>-2.2821993994576184E-3</v>
      </c>
      <c r="V67" s="12">
        <f t="shared" si="9"/>
        <v>1.9302894827342154E-2</v>
      </c>
      <c r="W67" s="12">
        <f t="shared" si="10"/>
        <v>2.082419096410737E-2</v>
      </c>
      <c r="X67" s="12">
        <f t="shared" si="11"/>
        <v>-3.1541587522608161E-2</v>
      </c>
    </row>
    <row r="68" spans="2:24">
      <c r="B68" s="4">
        <v>43039</v>
      </c>
      <c r="C68" s="8">
        <v>1.1312</v>
      </c>
      <c r="D68" s="6">
        <v>1169.405</v>
      </c>
      <c r="E68" s="6">
        <v>1271.838</v>
      </c>
      <c r="F68" s="6">
        <v>1695.3389999999999</v>
      </c>
      <c r="G68" s="6">
        <v>1592.2</v>
      </c>
      <c r="H68" s="6">
        <v>1507.721</v>
      </c>
      <c r="I68" s="6">
        <v>2889.0909999999999</v>
      </c>
      <c r="J68" s="6">
        <v>2575.2600000000002</v>
      </c>
      <c r="K68" s="6">
        <v>2036.8</v>
      </c>
      <c r="L68" s="6">
        <v>1271.46</v>
      </c>
      <c r="M68" s="13">
        <v>60</v>
      </c>
      <c r="N68" s="11">
        <f t="shared" si="1"/>
        <v>43039</v>
      </c>
      <c r="O68" s="12">
        <f t="shared" si="2"/>
        <v>8.6708333333333331E-4</v>
      </c>
      <c r="P68" s="12">
        <f t="shared" si="3"/>
        <v>-6.0763206382963286E-4</v>
      </c>
      <c r="Q68" s="12">
        <f t="shared" si="4"/>
        <v>-2.4603997481442708E-4</v>
      </c>
      <c r="R68" s="12">
        <f t="shared" si="5"/>
        <v>8.7847160110299249E-4</v>
      </c>
      <c r="S68" s="12">
        <f t="shared" si="6"/>
        <v>-1.0979014398193598E-3</v>
      </c>
      <c r="T68" s="12">
        <f t="shared" si="7"/>
        <v>1.9835188819050664E-4</v>
      </c>
      <c r="U68" s="12">
        <f t="shared" si="8"/>
        <v>4.0358258169133077E-3</v>
      </c>
      <c r="V68" s="12">
        <f t="shared" si="9"/>
        <v>2.2188174774546043E-2</v>
      </c>
      <c r="W68" s="12">
        <f t="shared" si="10"/>
        <v>1.8120016995326393E-2</v>
      </c>
      <c r="X68" s="12">
        <f t="shared" si="11"/>
        <v>-6.4778277007228047E-3</v>
      </c>
    </row>
    <row r="69" spans="2:24">
      <c r="B69" s="4">
        <v>43069</v>
      </c>
      <c r="C69" s="8">
        <v>1.256</v>
      </c>
      <c r="D69" s="6">
        <v>1167.049</v>
      </c>
      <c r="E69" s="6">
        <v>1269.4559999999999</v>
      </c>
      <c r="F69" s="6">
        <v>1691.684</v>
      </c>
      <c r="G69" s="6">
        <v>1590.269</v>
      </c>
      <c r="H69" s="6">
        <v>1505.3019999999999</v>
      </c>
      <c r="I69" s="6">
        <v>2885.0349999999999</v>
      </c>
      <c r="J69" s="6">
        <v>2647.58</v>
      </c>
      <c r="K69" s="6">
        <v>2077.36</v>
      </c>
      <c r="L69" s="6">
        <v>1275.01</v>
      </c>
      <c r="M69" s="13">
        <v>61</v>
      </c>
      <c r="N69" s="11">
        <f t="shared" si="1"/>
        <v>43069</v>
      </c>
      <c r="O69" s="12">
        <f t="shared" si="2"/>
        <v>9.4266666666666663E-4</v>
      </c>
      <c r="P69" s="12">
        <f t="shared" si="3"/>
        <v>-2.0146997832231062E-3</v>
      </c>
      <c r="Q69" s="12">
        <f t="shared" si="4"/>
        <v>-1.8728800366084597E-3</v>
      </c>
      <c r="R69" s="12">
        <f t="shared" si="5"/>
        <v>-2.1559110006906801E-3</v>
      </c>
      <c r="S69" s="12">
        <f t="shared" si="6"/>
        <v>-1.2127873382741239E-3</v>
      </c>
      <c r="T69" s="12">
        <f t="shared" si="7"/>
        <v>-1.6044082426390771E-3</v>
      </c>
      <c r="U69" s="12">
        <f t="shared" si="8"/>
        <v>-1.4039017808715748E-3</v>
      </c>
      <c r="V69" s="12">
        <f t="shared" si="9"/>
        <v>2.8082601368405458E-2</v>
      </c>
      <c r="W69" s="12">
        <f t="shared" si="10"/>
        <v>1.99135899450118E-2</v>
      </c>
      <c r="X69" s="12">
        <f t="shared" si="11"/>
        <v>2.792065814103406E-3</v>
      </c>
    </row>
    <row r="70" spans="2:24">
      <c r="B70" s="4">
        <v>43098</v>
      </c>
      <c r="C70" s="8">
        <v>1.3756999999999999</v>
      </c>
      <c r="D70" s="6">
        <v>1167.1890000000001</v>
      </c>
      <c r="E70" s="6">
        <v>1269.7260000000001</v>
      </c>
      <c r="F70" s="6">
        <v>1693.5070000000001</v>
      </c>
      <c r="G70" s="6">
        <v>1595.7729999999999</v>
      </c>
      <c r="H70" s="6">
        <v>1507.491</v>
      </c>
      <c r="I70" s="6">
        <v>2909.6370000000002</v>
      </c>
      <c r="J70" s="6">
        <v>2673.61</v>
      </c>
      <c r="K70" s="6">
        <v>2103.4499999999998</v>
      </c>
      <c r="L70" s="6">
        <v>1302.8</v>
      </c>
      <c r="M70" s="13">
        <v>62</v>
      </c>
      <c r="N70" s="11">
        <f t="shared" si="1"/>
        <v>43098</v>
      </c>
      <c r="O70" s="12">
        <f t="shared" si="2"/>
        <v>1.0466666666666667E-3</v>
      </c>
      <c r="P70" s="12">
        <f t="shared" si="3"/>
        <v>1.1996068716912944E-4</v>
      </c>
      <c r="Q70" s="12">
        <f t="shared" si="4"/>
        <v>2.1268953000364021E-4</v>
      </c>
      <c r="R70" s="12">
        <f t="shared" si="5"/>
        <v>1.0776244263113188E-3</v>
      </c>
      <c r="S70" s="12">
        <f t="shared" si="6"/>
        <v>3.4610496714706507E-3</v>
      </c>
      <c r="T70" s="12">
        <f t="shared" si="7"/>
        <v>1.454193244943669E-3</v>
      </c>
      <c r="U70" s="12">
        <f t="shared" si="8"/>
        <v>8.527452873188901E-3</v>
      </c>
      <c r="V70" s="12">
        <f t="shared" si="9"/>
        <v>9.8316198188534987E-3</v>
      </c>
      <c r="W70" s="12">
        <f t="shared" si="10"/>
        <v>1.2559209766241697E-2</v>
      </c>
      <c r="X70" s="12">
        <f t="shared" si="11"/>
        <v>2.1795907483078469E-2</v>
      </c>
    </row>
    <row r="71" spans="2:24">
      <c r="B71" s="4">
        <v>43131</v>
      </c>
      <c r="C71" s="8">
        <v>1.4551000000000001</v>
      </c>
      <c r="D71" s="6">
        <v>1163.8340000000001</v>
      </c>
      <c r="E71" s="6">
        <v>1266.8599999999999</v>
      </c>
      <c r="F71" s="6">
        <v>1690.5619999999999</v>
      </c>
      <c r="G71" s="6">
        <v>1573.4970000000001</v>
      </c>
      <c r="H71" s="6">
        <v>1495.537</v>
      </c>
      <c r="I71" s="6">
        <v>2882.748</v>
      </c>
      <c r="J71" s="6">
        <v>2823.81</v>
      </c>
      <c r="K71" s="6">
        <v>2213.2399999999998</v>
      </c>
      <c r="L71" s="6">
        <v>1345.14</v>
      </c>
      <c r="M71" s="13">
        <v>63</v>
      </c>
      <c r="N71" s="11">
        <f t="shared" si="1"/>
        <v>43131</v>
      </c>
      <c r="O71" s="12">
        <f t="shared" si="2"/>
        <v>1.1464166666666667E-3</v>
      </c>
      <c r="P71" s="12">
        <f t="shared" si="3"/>
        <v>-2.8744273635203932E-3</v>
      </c>
      <c r="Q71" s="12">
        <f t="shared" si="4"/>
        <v>-2.2571798955052236E-3</v>
      </c>
      <c r="R71" s="12">
        <f t="shared" si="5"/>
        <v>-1.7389948786749043E-3</v>
      </c>
      <c r="S71" s="12">
        <f t="shared" si="6"/>
        <v>-1.3959378934221722E-2</v>
      </c>
      <c r="T71" s="12">
        <f t="shared" si="7"/>
        <v>-7.9297322504744416E-3</v>
      </c>
      <c r="U71" s="12">
        <f t="shared" si="8"/>
        <v>-9.2413589736451973E-3</v>
      </c>
      <c r="V71" s="12">
        <f t="shared" si="9"/>
        <v>5.6178724645703726E-2</v>
      </c>
      <c r="W71" s="12">
        <f t="shared" si="10"/>
        <v>5.2195203118685862E-2</v>
      </c>
      <c r="X71" s="12">
        <f t="shared" si="11"/>
        <v>3.2499232422474877E-2</v>
      </c>
    </row>
    <row r="72" spans="2:24">
      <c r="B72" s="4">
        <v>43159</v>
      </c>
      <c r="C72" s="8">
        <v>1.6517999999999999</v>
      </c>
      <c r="D72" s="6">
        <v>1163.3920000000001</v>
      </c>
      <c r="E72" s="6">
        <v>1266.8820000000001</v>
      </c>
      <c r="F72" s="6">
        <v>1686.7349999999999</v>
      </c>
      <c r="G72" s="6">
        <v>1561.104</v>
      </c>
      <c r="H72" s="6">
        <v>1490.9860000000001</v>
      </c>
      <c r="I72" s="6">
        <v>2839.6089999999999</v>
      </c>
      <c r="J72" s="6">
        <v>2713.83</v>
      </c>
      <c r="K72" s="6">
        <v>2117.9899999999998</v>
      </c>
      <c r="L72" s="6">
        <v>1318.31</v>
      </c>
      <c r="M72" s="13">
        <v>64</v>
      </c>
      <c r="N72" s="11">
        <f t="shared" si="1"/>
        <v>43159</v>
      </c>
      <c r="O72" s="12">
        <f t="shared" si="2"/>
        <v>1.2125833333333333E-3</v>
      </c>
      <c r="P72" s="12">
        <f t="shared" si="3"/>
        <v>-3.7977924686849462E-4</v>
      </c>
      <c r="Q72" s="12">
        <f t="shared" si="4"/>
        <v>1.7365770487831611E-5</v>
      </c>
      <c r="R72" s="12">
        <f t="shared" si="5"/>
        <v>-2.2637442459962909E-3</v>
      </c>
      <c r="S72" s="12">
        <f t="shared" si="6"/>
        <v>-7.8760874663250657E-3</v>
      </c>
      <c r="T72" s="12">
        <f t="shared" si="7"/>
        <v>-3.0430541002997025E-3</v>
      </c>
      <c r="U72" s="12">
        <f t="shared" si="8"/>
        <v>-1.4964540778451663E-2</v>
      </c>
      <c r="V72" s="12">
        <f t="shared" si="9"/>
        <v>-3.8947379604151844E-2</v>
      </c>
      <c r="W72" s="12">
        <f t="shared" si="10"/>
        <v>-4.3036453344418191E-2</v>
      </c>
      <c r="X72" s="12">
        <f t="shared" si="11"/>
        <v>-1.9945879239335773E-2</v>
      </c>
    </row>
    <row r="73" spans="2:24">
      <c r="B73" s="4">
        <v>43189</v>
      </c>
      <c r="C73" s="8">
        <v>1.7000999999999999</v>
      </c>
      <c r="D73" s="6">
        <v>1165.673</v>
      </c>
      <c r="E73" s="6">
        <v>1269.423</v>
      </c>
      <c r="F73" s="6">
        <v>1687.0519999999999</v>
      </c>
      <c r="G73" s="6">
        <v>1576.5260000000001</v>
      </c>
      <c r="H73" s="6">
        <v>1499.4280000000001</v>
      </c>
      <c r="I73" s="6">
        <v>2845.7150000000001</v>
      </c>
      <c r="J73" s="6">
        <v>2640.87</v>
      </c>
      <c r="K73" s="6">
        <v>2066.84</v>
      </c>
      <c r="L73" s="6">
        <v>1325.48</v>
      </c>
      <c r="M73" s="13">
        <v>65</v>
      </c>
      <c r="N73" s="11">
        <f t="shared" si="1"/>
        <v>43189</v>
      </c>
      <c r="O73" s="12">
        <f t="shared" si="2"/>
        <v>1.3764999999999999E-3</v>
      </c>
      <c r="P73" s="12">
        <f t="shared" si="3"/>
        <v>1.9606461106831397E-3</v>
      </c>
      <c r="Q73" s="12">
        <f t="shared" si="4"/>
        <v>2.0057116605964875E-3</v>
      </c>
      <c r="R73" s="12">
        <f t="shared" si="5"/>
        <v>1.8793704998110172E-4</v>
      </c>
      <c r="S73" s="12">
        <f t="shared" si="6"/>
        <v>9.8789062099642333E-3</v>
      </c>
      <c r="T73" s="12">
        <f t="shared" si="7"/>
        <v>5.662024995539916E-3</v>
      </c>
      <c r="U73" s="12">
        <f t="shared" si="8"/>
        <v>2.1502960442794095E-3</v>
      </c>
      <c r="V73" s="12">
        <f t="shared" si="9"/>
        <v>-2.6884513768364315E-2</v>
      </c>
      <c r="W73" s="12">
        <f t="shared" si="10"/>
        <v>-2.4150255666929299E-2</v>
      </c>
      <c r="X73" s="12">
        <f t="shared" si="11"/>
        <v>5.4387814702157034E-3</v>
      </c>
    </row>
    <row r="74" spans="2:24">
      <c r="B74" s="4">
        <v>43220</v>
      </c>
      <c r="C74" s="8">
        <v>1.7996000000000001</v>
      </c>
      <c r="D74" s="6">
        <v>1163.8620000000001</v>
      </c>
      <c r="E74" s="6">
        <v>1267.607</v>
      </c>
      <c r="F74" s="6">
        <v>1688.623</v>
      </c>
      <c r="G74" s="6">
        <v>1563.5509999999999</v>
      </c>
      <c r="H74" s="6">
        <v>1490.5060000000001</v>
      </c>
      <c r="I74" s="6">
        <v>2821.48</v>
      </c>
      <c r="J74" s="6">
        <v>2648.05</v>
      </c>
      <c r="K74" s="6">
        <v>2086.5100000000002</v>
      </c>
      <c r="L74" s="6">
        <v>1315.39</v>
      </c>
      <c r="M74" s="13">
        <v>66</v>
      </c>
      <c r="N74" s="11">
        <f t="shared" ref="N74:N137" si="12">B74</f>
        <v>43220</v>
      </c>
      <c r="O74" s="12">
        <f t="shared" ref="O74:O137" si="13">C73/1200</f>
        <v>1.41675E-3</v>
      </c>
      <c r="P74" s="12">
        <f t="shared" ref="P74:P137" si="14">D74/D73-1</f>
        <v>-1.5536089452187207E-3</v>
      </c>
      <c r="Q74" s="12">
        <f t="shared" ref="Q74:Q137" si="15">E74/E73-1</f>
        <v>-1.430571212275189E-3</v>
      </c>
      <c r="R74" s="12">
        <f t="shared" ref="R74:R137" si="16">F74/F73-1</f>
        <v>9.3121018202180217E-4</v>
      </c>
      <c r="S74" s="12">
        <f t="shared" ref="S74:S137" si="17">G74/G73-1</f>
        <v>-8.2301211651442108E-3</v>
      </c>
      <c r="T74" s="12">
        <f t="shared" ref="T74:T137" si="18">H74/H73-1</f>
        <v>-5.9502690359257704E-3</v>
      </c>
      <c r="U74" s="12">
        <f t="shared" ref="U74:U137" si="19">I74/I73-1</f>
        <v>-8.5163131234153866E-3</v>
      </c>
      <c r="V74" s="12">
        <f t="shared" ref="V74:V137" si="20">J74/J73-1</f>
        <v>2.718801001185378E-3</v>
      </c>
      <c r="W74" s="12">
        <f t="shared" ref="W74:W137" si="21">K74/K73-1</f>
        <v>9.5169437402025103E-3</v>
      </c>
      <c r="X74" s="12">
        <f t="shared" ref="X74:X137" si="22">L74/L73-1</f>
        <v>-7.6123366629446965E-3</v>
      </c>
    </row>
    <row r="75" spans="2:24">
      <c r="B75" s="4">
        <v>43251</v>
      </c>
      <c r="C75" s="8">
        <v>1.8946000000000001</v>
      </c>
      <c r="D75" s="6">
        <v>1168.078</v>
      </c>
      <c r="E75" s="6">
        <v>1272.1189999999999</v>
      </c>
      <c r="F75" s="6">
        <v>1695.002</v>
      </c>
      <c r="G75" s="6">
        <v>1577.751</v>
      </c>
      <c r="H75" s="6">
        <v>1499.838</v>
      </c>
      <c r="I75" s="6">
        <v>2834.1790000000001</v>
      </c>
      <c r="J75" s="6">
        <v>2705.27</v>
      </c>
      <c r="K75" s="6">
        <v>2092.92</v>
      </c>
      <c r="L75" s="6">
        <v>1298.51</v>
      </c>
      <c r="M75" s="13">
        <v>67</v>
      </c>
      <c r="N75" s="11">
        <f t="shared" si="12"/>
        <v>43251</v>
      </c>
      <c r="O75" s="12">
        <f t="shared" si="13"/>
        <v>1.4996666666666667E-3</v>
      </c>
      <c r="P75" s="12">
        <f t="shared" si="14"/>
        <v>3.6224225896195339E-3</v>
      </c>
      <c r="Q75" s="12">
        <f t="shared" si="15"/>
        <v>3.5594628303565745E-3</v>
      </c>
      <c r="R75" s="12">
        <f t="shared" si="16"/>
        <v>3.7776342025424015E-3</v>
      </c>
      <c r="S75" s="12">
        <f t="shared" si="17"/>
        <v>9.0818911567323024E-3</v>
      </c>
      <c r="T75" s="12">
        <f t="shared" si="18"/>
        <v>6.2609610427599716E-3</v>
      </c>
      <c r="U75" s="12">
        <f t="shared" si="19"/>
        <v>4.5008293519712694E-3</v>
      </c>
      <c r="V75" s="12">
        <f t="shared" si="20"/>
        <v>2.1608353316591389E-2</v>
      </c>
      <c r="W75" s="12">
        <f t="shared" si="21"/>
        <v>3.0721156380750791E-3</v>
      </c>
      <c r="X75" s="12">
        <f t="shared" si="22"/>
        <v>-1.2832696006507605E-2</v>
      </c>
    </row>
    <row r="76" spans="2:24">
      <c r="B76" s="4">
        <v>43280</v>
      </c>
      <c r="C76" s="8">
        <v>1.9123000000000001</v>
      </c>
      <c r="D76" s="6">
        <v>1168.259</v>
      </c>
      <c r="E76" s="6">
        <v>1272.347</v>
      </c>
      <c r="F76" s="6">
        <v>1694.9749999999999</v>
      </c>
      <c r="G76" s="6">
        <v>1578.2070000000001</v>
      </c>
      <c r="H76" s="6">
        <v>1499.1510000000001</v>
      </c>
      <c r="I76" s="6">
        <v>2818.8879999999999</v>
      </c>
      <c r="J76" s="6">
        <v>2718.37</v>
      </c>
      <c r="K76" s="6">
        <v>2089.3000000000002</v>
      </c>
      <c r="L76" s="6">
        <v>1252.5999999999999</v>
      </c>
      <c r="M76" s="13">
        <v>68</v>
      </c>
      <c r="N76" s="11">
        <f t="shared" si="12"/>
        <v>43280</v>
      </c>
      <c r="O76" s="12">
        <f t="shared" si="13"/>
        <v>1.5788333333333333E-3</v>
      </c>
      <c r="P76" s="12">
        <f t="shared" si="14"/>
        <v>1.5495540537546759E-4</v>
      </c>
      <c r="Q76" s="12">
        <f t="shared" si="15"/>
        <v>1.7922851557128361E-4</v>
      </c>
      <c r="R76" s="12">
        <f t="shared" si="16"/>
        <v>-1.5929184744356562E-5</v>
      </c>
      <c r="S76" s="12">
        <f t="shared" si="17"/>
        <v>2.8901898968847206E-4</v>
      </c>
      <c r="T76" s="12">
        <f t="shared" si="18"/>
        <v>-4.5804946934258073E-4</v>
      </c>
      <c r="U76" s="12">
        <f t="shared" si="19"/>
        <v>-5.3952132169493572E-3</v>
      </c>
      <c r="V76" s="12">
        <f t="shared" si="20"/>
        <v>4.8424002040461378E-3</v>
      </c>
      <c r="W76" s="12">
        <f t="shared" si="21"/>
        <v>-1.7296408845057787E-3</v>
      </c>
      <c r="X76" s="12">
        <f t="shared" si="22"/>
        <v>-3.5355907925237462E-2</v>
      </c>
    </row>
    <row r="77" spans="2:24">
      <c r="B77" s="4">
        <v>43312</v>
      </c>
      <c r="C77" s="8">
        <v>2.0203000000000002</v>
      </c>
      <c r="D77" s="6">
        <v>1168.2049999999999</v>
      </c>
      <c r="E77" s="6">
        <v>1272.8869999999999</v>
      </c>
      <c r="F77" s="6">
        <v>1698.9159999999999</v>
      </c>
      <c r="G77" s="6">
        <v>1571.0519999999999</v>
      </c>
      <c r="H77" s="6">
        <v>1496.6379999999999</v>
      </c>
      <c r="I77" s="6">
        <v>2839.7710000000002</v>
      </c>
      <c r="J77" s="6">
        <v>2816.29</v>
      </c>
      <c r="K77" s="6">
        <v>2153.1</v>
      </c>
      <c r="L77" s="6">
        <v>1224.1500000000001</v>
      </c>
      <c r="M77" s="13">
        <v>69</v>
      </c>
      <c r="N77" s="11">
        <f t="shared" si="12"/>
        <v>43312</v>
      </c>
      <c r="O77" s="12">
        <f t="shared" si="13"/>
        <v>1.5935833333333334E-3</v>
      </c>
      <c r="P77" s="12">
        <f t="shared" si="14"/>
        <v>-4.6222627003156269E-5</v>
      </c>
      <c r="Q77" s="12">
        <f t="shared" si="15"/>
        <v>4.2441252268443641E-4</v>
      </c>
      <c r="R77" s="12">
        <f t="shared" si="16"/>
        <v>2.3251080399415702E-3</v>
      </c>
      <c r="S77" s="12">
        <f t="shared" si="17"/>
        <v>-4.5336258171457811E-3</v>
      </c>
      <c r="T77" s="12">
        <f t="shared" si="18"/>
        <v>-1.6762821090071656E-3</v>
      </c>
      <c r="U77" s="12">
        <f t="shared" si="19"/>
        <v>7.4082404125315193E-3</v>
      </c>
      <c r="V77" s="12">
        <f t="shared" si="20"/>
        <v>3.6021586465418753E-2</v>
      </c>
      <c r="W77" s="12">
        <f t="shared" si="21"/>
        <v>3.0536543339874545E-2</v>
      </c>
      <c r="X77" s="12">
        <f t="shared" si="22"/>
        <v>-2.2712757464473765E-2</v>
      </c>
    </row>
    <row r="78" spans="2:24">
      <c r="B78" s="4">
        <v>43343</v>
      </c>
      <c r="C78" s="8">
        <v>2.0937999999999999</v>
      </c>
      <c r="D78" s="6">
        <v>1171.922</v>
      </c>
      <c r="E78" s="6">
        <v>1276.9870000000001</v>
      </c>
      <c r="F78" s="6">
        <v>1705.952</v>
      </c>
      <c r="G78" s="6">
        <v>1583.3219999999999</v>
      </c>
      <c r="H78" s="6">
        <v>1505.1030000000001</v>
      </c>
      <c r="I78" s="6">
        <v>2855.2170000000001</v>
      </c>
      <c r="J78" s="6">
        <v>2901.52</v>
      </c>
      <c r="K78" s="6">
        <v>2175.5</v>
      </c>
      <c r="L78" s="6">
        <v>1201.1500000000001</v>
      </c>
      <c r="M78" s="13">
        <v>70</v>
      </c>
      <c r="N78" s="11">
        <f t="shared" si="12"/>
        <v>43343</v>
      </c>
      <c r="O78" s="12">
        <f t="shared" si="13"/>
        <v>1.6835833333333336E-3</v>
      </c>
      <c r="P78" s="12">
        <f t="shared" si="14"/>
        <v>3.1818045634115499E-3</v>
      </c>
      <c r="Q78" s="12">
        <f t="shared" si="15"/>
        <v>3.2210243328749666E-3</v>
      </c>
      <c r="R78" s="12">
        <f t="shared" si="16"/>
        <v>4.1414643219559455E-3</v>
      </c>
      <c r="S78" s="12">
        <f t="shared" si="17"/>
        <v>7.8100533909761793E-3</v>
      </c>
      <c r="T78" s="12">
        <f t="shared" si="18"/>
        <v>5.6560103378373583E-3</v>
      </c>
      <c r="U78" s="12">
        <f t="shared" si="19"/>
        <v>5.4391709754060269E-3</v>
      </c>
      <c r="V78" s="12">
        <f t="shared" si="20"/>
        <v>3.0263218631604083E-2</v>
      </c>
      <c r="W78" s="12">
        <f t="shared" si="21"/>
        <v>1.0403604105708064E-2</v>
      </c>
      <c r="X78" s="12">
        <f t="shared" si="22"/>
        <v>-1.8788547155168867E-2</v>
      </c>
    </row>
    <row r="79" spans="2:24">
      <c r="B79" s="4">
        <v>43371</v>
      </c>
      <c r="C79" s="8">
        <v>2.1964000000000001</v>
      </c>
      <c r="D79" s="6">
        <v>1170.5350000000001</v>
      </c>
      <c r="E79" s="6">
        <v>1276.4380000000001</v>
      </c>
      <c r="F79" s="6">
        <v>1707.202</v>
      </c>
      <c r="G79" s="6">
        <v>1567.837</v>
      </c>
      <c r="H79" s="6">
        <v>1498.943</v>
      </c>
      <c r="I79" s="6">
        <v>2845.9340000000002</v>
      </c>
      <c r="J79" s="6">
        <v>2913.98</v>
      </c>
      <c r="K79" s="6">
        <v>2184.0100000000002</v>
      </c>
      <c r="L79" s="6">
        <v>1190.8800000000001</v>
      </c>
      <c r="M79" s="13">
        <v>71</v>
      </c>
      <c r="N79" s="11">
        <f t="shared" si="12"/>
        <v>43371</v>
      </c>
      <c r="O79" s="12">
        <f t="shared" si="13"/>
        <v>1.7448333333333333E-3</v>
      </c>
      <c r="P79" s="12">
        <f t="shared" si="14"/>
        <v>-1.1835258660558567E-3</v>
      </c>
      <c r="Q79" s="12">
        <f t="shared" si="15"/>
        <v>-4.2991823722560163E-4</v>
      </c>
      <c r="R79" s="12">
        <f t="shared" si="16"/>
        <v>7.3272870514529131E-4</v>
      </c>
      <c r="S79" s="12">
        <f t="shared" si="17"/>
        <v>-9.780070004711594E-3</v>
      </c>
      <c r="T79" s="12">
        <f t="shared" si="18"/>
        <v>-4.0927431544552917E-3</v>
      </c>
      <c r="U79" s="12">
        <f t="shared" si="19"/>
        <v>-3.2512414993325356E-3</v>
      </c>
      <c r="V79" s="12">
        <f t="shared" si="20"/>
        <v>4.2943009181395375E-3</v>
      </c>
      <c r="W79" s="12">
        <f t="shared" si="21"/>
        <v>3.9117444265686085E-3</v>
      </c>
      <c r="X79" s="12">
        <f t="shared" si="22"/>
        <v>-8.5501394496940719E-3</v>
      </c>
    </row>
    <row r="80" spans="2:24">
      <c r="B80" s="4">
        <v>43404</v>
      </c>
      <c r="C80" s="8">
        <v>2.3250999999999999</v>
      </c>
      <c r="D80" s="6">
        <v>1172.31</v>
      </c>
      <c r="E80" s="6">
        <v>1278.0160000000001</v>
      </c>
      <c r="F80" s="6">
        <v>1707.567</v>
      </c>
      <c r="G80" s="6">
        <v>1559.5730000000001</v>
      </c>
      <c r="H80" s="6">
        <v>1497.0329999999999</v>
      </c>
      <c r="I80" s="6">
        <v>2807.4760000000001</v>
      </c>
      <c r="J80" s="6">
        <v>2711.74</v>
      </c>
      <c r="K80" s="6">
        <v>2021.98</v>
      </c>
      <c r="L80" s="6">
        <v>1214.76</v>
      </c>
      <c r="M80" s="13">
        <v>72</v>
      </c>
      <c r="N80" s="11">
        <f t="shared" si="12"/>
        <v>43404</v>
      </c>
      <c r="O80" s="12">
        <f t="shared" si="13"/>
        <v>1.8303333333333333E-3</v>
      </c>
      <c r="P80" s="12">
        <f t="shared" si="14"/>
        <v>1.5164006202290636E-3</v>
      </c>
      <c r="Q80" s="12">
        <f t="shared" si="15"/>
        <v>1.2362527596325723E-3</v>
      </c>
      <c r="R80" s="12">
        <f t="shared" si="16"/>
        <v>2.1380012441407636E-4</v>
      </c>
      <c r="S80" s="12">
        <f t="shared" si="17"/>
        <v>-5.2709561006659689E-3</v>
      </c>
      <c r="T80" s="12">
        <f t="shared" si="18"/>
        <v>-1.2742312416149648E-3</v>
      </c>
      <c r="U80" s="12">
        <f t="shared" si="19"/>
        <v>-1.3513314082477024E-2</v>
      </c>
      <c r="V80" s="12">
        <f t="shared" si="20"/>
        <v>-6.9403358979814644E-2</v>
      </c>
      <c r="W80" s="12">
        <f t="shared" si="21"/>
        <v>-7.4189220745326301E-2</v>
      </c>
      <c r="X80" s="12">
        <f t="shared" si="22"/>
        <v>2.0052398226521495E-2</v>
      </c>
    </row>
    <row r="81" spans="2:24">
      <c r="B81" s="4">
        <v>43434</v>
      </c>
      <c r="C81" s="8">
        <v>2.3424</v>
      </c>
      <c r="D81" s="6">
        <v>1176.3720000000001</v>
      </c>
      <c r="E81" s="6">
        <v>1282.606</v>
      </c>
      <c r="F81" s="6">
        <v>1709.046</v>
      </c>
      <c r="G81" s="6">
        <v>1573.614</v>
      </c>
      <c r="H81" s="6">
        <v>1506.4849999999999</v>
      </c>
      <c r="I81" s="6">
        <v>2802.1210000000001</v>
      </c>
      <c r="J81" s="6">
        <v>2760.17</v>
      </c>
      <c r="K81" s="6">
        <v>2041.36</v>
      </c>
      <c r="L81" s="6">
        <v>1220.52</v>
      </c>
      <c r="M81" s="13">
        <v>73</v>
      </c>
      <c r="N81" s="11">
        <f t="shared" si="12"/>
        <v>43434</v>
      </c>
      <c r="O81" s="12">
        <f t="shared" si="13"/>
        <v>1.9375833333333333E-3</v>
      </c>
      <c r="P81" s="12">
        <f t="shared" si="14"/>
        <v>3.4649538091462428E-3</v>
      </c>
      <c r="Q81" s="12">
        <f t="shared" si="15"/>
        <v>3.5915043317140682E-3</v>
      </c>
      <c r="R81" s="12">
        <f t="shared" si="16"/>
        <v>8.6614463737011427E-4</v>
      </c>
      <c r="S81" s="12">
        <f t="shared" si="17"/>
        <v>9.0031053371659731E-3</v>
      </c>
      <c r="T81" s="12">
        <f t="shared" si="18"/>
        <v>6.3138220733944816E-3</v>
      </c>
      <c r="U81" s="12">
        <f t="shared" si="19"/>
        <v>-1.9074072227153183E-3</v>
      </c>
      <c r="V81" s="12">
        <f t="shared" si="20"/>
        <v>1.785938179914015E-2</v>
      </c>
      <c r="W81" s="12">
        <f t="shared" si="21"/>
        <v>9.5846645367412275E-3</v>
      </c>
      <c r="X81" s="12">
        <f t="shared" si="22"/>
        <v>4.7416773683690572E-3</v>
      </c>
    </row>
    <row r="82" spans="2:24">
      <c r="B82" s="4">
        <v>43465</v>
      </c>
      <c r="C82" s="8">
        <v>2.3549000000000002</v>
      </c>
      <c r="D82" s="6">
        <v>1185.6610000000001</v>
      </c>
      <c r="E82" s="6">
        <v>1292.3150000000001</v>
      </c>
      <c r="F82" s="6">
        <v>1720.972</v>
      </c>
      <c r="G82" s="6">
        <v>1608.5429999999999</v>
      </c>
      <c r="H82" s="6">
        <v>1528.1279999999999</v>
      </c>
      <c r="I82" s="6">
        <v>2844.1840000000002</v>
      </c>
      <c r="J82" s="6">
        <v>2506.85</v>
      </c>
      <c r="K82" s="6">
        <v>1883.9</v>
      </c>
      <c r="L82" s="6">
        <v>1282.49</v>
      </c>
      <c r="M82" s="13">
        <v>74</v>
      </c>
      <c r="N82" s="11">
        <f t="shared" si="12"/>
        <v>43465</v>
      </c>
      <c r="O82" s="12">
        <f t="shared" si="13"/>
        <v>1.952E-3</v>
      </c>
      <c r="P82" s="12">
        <f t="shared" si="14"/>
        <v>7.896311710921422E-3</v>
      </c>
      <c r="Q82" s="12">
        <f t="shared" si="15"/>
        <v>7.5697447228533221E-3</v>
      </c>
      <c r="R82" s="12">
        <f t="shared" si="16"/>
        <v>6.9781620857483073E-3</v>
      </c>
      <c r="S82" s="12">
        <f t="shared" si="17"/>
        <v>2.219667593196295E-2</v>
      </c>
      <c r="T82" s="12">
        <f t="shared" si="18"/>
        <v>1.4366555259428315E-2</v>
      </c>
      <c r="U82" s="12">
        <f t="shared" si="19"/>
        <v>1.5011129069729678E-2</v>
      </c>
      <c r="V82" s="12">
        <f t="shared" si="20"/>
        <v>-9.1776955767217339E-2</v>
      </c>
      <c r="W82" s="12">
        <f t="shared" si="21"/>
        <v>-7.7134851275620031E-2</v>
      </c>
      <c r="X82" s="12">
        <f t="shared" si="22"/>
        <v>5.0773440828499439E-2</v>
      </c>
    </row>
    <row r="83" spans="2:24">
      <c r="B83" s="4">
        <v>43496</v>
      </c>
      <c r="C83" s="8">
        <v>2.3839000000000001</v>
      </c>
      <c r="D83" s="6">
        <v>1188.854</v>
      </c>
      <c r="E83" s="6">
        <v>1295.913</v>
      </c>
      <c r="F83" s="6">
        <v>1733.066</v>
      </c>
      <c r="G83" s="6">
        <v>1616.0540000000001</v>
      </c>
      <c r="H83" s="6">
        <v>1533.816</v>
      </c>
      <c r="I83" s="6">
        <v>2903.7190000000001</v>
      </c>
      <c r="J83" s="6">
        <v>2704.1</v>
      </c>
      <c r="K83" s="6">
        <v>2028.49</v>
      </c>
      <c r="L83" s="6">
        <v>1321.25</v>
      </c>
      <c r="M83" s="13">
        <v>75</v>
      </c>
      <c r="N83" s="11">
        <f t="shared" si="12"/>
        <v>43496</v>
      </c>
      <c r="O83" s="12">
        <f t="shared" si="13"/>
        <v>1.962416666666667E-3</v>
      </c>
      <c r="P83" s="12">
        <f t="shared" si="14"/>
        <v>2.693012589601862E-3</v>
      </c>
      <c r="Q83" s="12">
        <f t="shared" si="15"/>
        <v>2.7841509229560302E-3</v>
      </c>
      <c r="R83" s="12">
        <f t="shared" si="16"/>
        <v>7.0274240371139829E-3</v>
      </c>
      <c r="S83" s="12">
        <f t="shared" si="17"/>
        <v>4.6694430922893382E-3</v>
      </c>
      <c r="T83" s="12">
        <f t="shared" si="18"/>
        <v>3.7222012815680827E-3</v>
      </c>
      <c r="U83" s="12">
        <f t="shared" si="19"/>
        <v>2.0932190041150545E-2</v>
      </c>
      <c r="V83" s="12">
        <f t="shared" si="20"/>
        <v>7.8684404731036883E-2</v>
      </c>
      <c r="W83" s="12">
        <f t="shared" si="21"/>
        <v>7.6750358299272792E-2</v>
      </c>
      <c r="X83" s="12">
        <f t="shared" si="22"/>
        <v>3.0222457874915287E-2</v>
      </c>
    </row>
    <row r="84" spans="2:24">
      <c r="B84" s="4">
        <v>43524</v>
      </c>
      <c r="C84" s="8">
        <v>2.4325999999999999</v>
      </c>
      <c r="D84" s="6">
        <v>1190.049</v>
      </c>
      <c r="E84" s="6">
        <v>1297.5429999999999</v>
      </c>
      <c r="F84" s="6">
        <v>1739.1420000000001</v>
      </c>
      <c r="G84" s="6">
        <v>1611.569</v>
      </c>
      <c r="H84" s="6">
        <v>1534.3610000000001</v>
      </c>
      <c r="I84" s="6">
        <v>2914.16</v>
      </c>
      <c r="J84" s="6">
        <v>2784.49</v>
      </c>
      <c r="K84" s="6">
        <v>2085.84</v>
      </c>
      <c r="L84" s="6">
        <v>1313.32</v>
      </c>
      <c r="M84" s="13">
        <v>76</v>
      </c>
      <c r="N84" s="11">
        <f t="shared" si="12"/>
        <v>43524</v>
      </c>
      <c r="O84" s="12">
        <f t="shared" si="13"/>
        <v>1.9865833333333333E-3</v>
      </c>
      <c r="P84" s="12">
        <f t="shared" si="14"/>
        <v>1.0051696844186608E-3</v>
      </c>
      <c r="Q84" s="12">
        <f t="shared" si="15"/>
        <v>1.2578004850634095E-3</v>
      </c>
      <c r="R84" s="12">
        <f t="shared" si="16"/>
        <v>3.5059253369462695E-3</v>
      </c>
      <c r="S84" s="12">
        <f t="shared" si="17"/>
        <v>-2.7752785488605047E-3</v>
      </c>
      <c r="T84" s="12">
        <f t="shared" si="18"/>
        <v>3.5532293312900975E-4</v>
      </c>
      <c r="U84" s="12">
        <f t="shared" si="19"/>
        <v>3.595733609209395E-3</v>
      </c>
      <c r="V84" s="12">
        <f t="shared" si="20"/>
        <v>2.9728930143116061E-2</v>
      </c>
      <c r="W84" s="12">
        <f t="shared" si="21"/>
        <v>2.8272261633037532E-2</v>
      </c>
      <c r="X84" s="12">
        <f t="shared" si="22"/>
        <v>-6.0018921475875064E-3</v>
      </c>
    </row>
    <row r="85" spans="2:24">
      <c r="B85" s="4">
        <v>43553</v>
      </c>
      <c r="C85" s="8">
        <v>2.3809</v>
      </c>
      <c r="D85" s="6">
        <v>1197.325</v>
      </c>
      <c r="E85" s="6">
        <v>1304.81</v>
      </c>
      <c r="F85" s="6">
        <v>1752.7180000000001</v>
      </c>
      <c r="G85" s="6">
        <v>1643.5930000000001</v>
      </c>
      <c r="H85" s="6">
        <v>1556.0260000000001</v>
      </c>
      <c r="I85" s="6">
        <v>2986.7150000000001</v>
      </c>
      <c r="J85" s="6">
        <v>2834.4</v>
      </c>
      <c r="K85" s="6">
        <v>2107.7399999999998</v>
      </c>
      <c r="L85" s="6">
        <v>1292.3800000000001</v>
      </c>
      <c r="M85" s="13">
        <v>77</v>
      </c>
      <c r="N85" s="11">
        <f t="shared" si="12"/>
        <v>43553</v>
      </c>
      <c r="O85" s="12">
        <f t="shared" si="13"/>
        <v>2.0271666666666667E-3</v>
      </c>
      <c r="P85" s="12">
        <f t="shared" si="14"/>
        <v>6.1140339599461413E-3</v>
      </c>
      <c r="Q85" s="12">
        <f t="shared" si="15"/>
        <v>5.6005851058500422E-3</v>
      </c>
      <c r="R85" s="12">
        <f t="shared" si="16"/>
        <v>7.8061480891151724E-3</v>
      </c>
      <c r="S85" s="12">
        <f t="shared" si="17"/>
        <v>1.9871317951636103E-2</v>
      </c>
      <c r="T85" s="12">
        <f t="shared" si="18"/>
        <v>1.4119884433976049E-2</v>
      </c>
      <c r="U85" s="12">
        <f t="shared" si="19"/>
        <v>2.4897397534795696E-2</v>
      </c>
      <c r="V85" s="12">
        <f t="shared" si="20"/>
        <v>1.7924287751078349E-2</v>
      </c>
      <c r="W85" s="12">
        <f t="shared" si="21"/>
        <v>1.0499367161431294E-2</v>
      </c>
      <c r="X85" s="12">
        <f t="shared" si="22"/>
        <v>-1.5944324307860858E-2</v>
      </c>
    </row>
    <row r="86" spans="2:24">
      <c r="B86" s="4">
        <v>43585</v>
      </c>
      <c r="C86" s="8">
        <v>2.4098999999999999</v>
      </c>
      <c r="D86" s="6">
        <v>1199.758</v>
      </c>
      <c r="E86" s="6">
        <v>1307.51</v>
      </c>
      <c r="F86" s="6">
        <v>1758.424</v>
      </c>
      <c r="G86" s="6">
        <v>1638.2750000000001</v>
      </c>
      <c r="H86" s="6">
        <v>1556.059</v>
      </c>
      <c r="I86" s="6">
        <v>3003.346</v>
      </c>
      <c r="J86" s="6">
        <v>2945.83</v>
      </c>
      <c r="K86" s="6">
        <v>2178.67</v>
      </c>
      <c r="L86" s="6">
        <v>1283.53</v>
      </c>
      <c r="M86" s="13">
        <v>78</v>
      </c>
      <c r="N86" s="11">
        <f t="shared" si="12"/>
        <v>43585</v>
      </c>
      <c r="O86" s="12">
        <f t="shared" si="13"/>
        <v>1.9840833333333334E-3</v>
      </c>
      <c r="P86" s="12">
        <f t="shared" si="14"/>
        <v>2.032029732946361E-3</v>
      </c>
      <c r="Q86" s="12">
        <f t="shared" si="15"/>
        <v>2.0692667898007944E-3</v>
      </c>
      <c r="R86" s="12">
        <f t="shared" si="16"/>
        <v>3.2555151484721101E-3</v>
      </c>
      <c r="S86" s="12">
        <f t="shared" si="17"/>
        <v>-3.235594213409243E-3</v>
      </c>
      <c r="T86" s="12">
        <f t="shared" si="18"/>
        <v>2.1207871847783721E-5</v>
      </c>
      <c r="U86" s="12">
        <f t="shared" si="19"/>
        <v>5.5683250661680006E-3</v>
      </c>
      <c r="V86" s="12">
        <f t="shared" si="20"/>
        <v>3.9313434942139347E-2</v>
      </c>
      <c r="W86" s="12">
        <f t="shared" si="21"/>
        <v>3.3652158235835783E-2</v>
      </c>
      <c r="X86" s="12">
        <f t="shared" si="22"/>
        <v>-6.8478311332581532E-3</v>
      </c>
    </row>
    <row r="87" spans="2:24">
      <c r="B87" s="4">
        <v>43616</v>
      </c>
      <c r="C87" s="8">
        <v>2.3399000000000001</v>
      </c>
      <c r="D87" s="6">
        <v>1208.2729999999999</v>
      </c>
      <c r="E87" s="6">
        <v>1316.1990000000001</v>
      </c>
      <c r="F87" s="6">
        <v>1768.2449999999999</v>
      </c>
      <c r="G87" s="6">
        <v>1678.299</v>
      </c>
      <c r="H87" s="6">
        <v>1580.85</v>
      </c>
      <c r="I87" s="6">
        <v>3046.4340000000002</v>
      </c>
      <c r="J87" s="6">
        <v>2752.06</v>
      </c>
      <c r="K87" s="6">
        <v>2046.25</v>
      </c>
      <c r="L87" s="6">
        <v>1305.58</v>
      </c>
      <c r="M87" s="13">
        <v>79</v>
      </c>
      <c r="N87" s="11">
        <f t="shared" si="12"/>
        <v>43616</v>
      </c>
      <c r="O87" s="12">
        <f t="shared" si="13"/>
        <v>2.0082500000000001E-3</v>
      </c>
      <c r="P87" s="12">
        <f t="shared" si="14"/>
        <v>7.0972646150306851E-3</v>
      </c>
      <c r="Q87" s="12">
        <f t="shared" si="15"/>
        <v>6.6454558664943431E-3</v>
      </c>
      <c r="R87" s="12">
        <f t="shared" si="16"/>
        <v>5.5851148528454075E-3</v>
      </c>
      <c r="S87" s="12">
        <f t="shared" si="17"/>
        <v>2.4430574842440933E-2</v>
      </c>
      <c r="T87" s="12">
        <f t="shared" si="18"/>
        <v>1.5931915178023504E-2</v>
      </c>
      <c r="U87" s="12">
        <f t="shared" si="19"/>
        <v>1.4346665352576782E-2</v>
      </c>
      <c r="V87" s="12">
        <f t="shared" si="20"/>
        <v>-6.5777726481161536E-2</v>
      </c>
      <c r="W87" s="12">
        <f t="shared" si="21"/>
        <v>-6.0780200764686709E-2</v>
      </c>
      <c r="X87" s="12">
        <f t="shared" si="22"/>
        <v>1.7179185527412599E-2</v>
      </c>
    </row>
    <row r="88" spans="2:24">
      <c r="B88" s="4">
        <v>43644</v>
      </c>
      <c r="C88" s="8">
        <v>2.0868000000000002</v>
      </c>
      <c r="D88" s="6">
        <v>1214.546</v>
      </c>
      <c r="E88" s="6">
        <v>1321.739</v>
      </c>
      <c r="F88" s="6">
        <v>1780.7560000000001</v>
      </c>
      <c r="G88" s="6">
        <v>1693.874</v>
      </c>
      <c r="H88" s="6">
        <v>1592.114</v>
      </c>
      <c r="I88" s="6">
        <v>3116.4969999999998</v>
      </c>
      <c r="J88" s="6">
        <v>2941.76</v>
      </c>
      <c r="K88" s="6">
        <v>2178.35</v>
      </c>
      <c r="L88" s="6">
        <v>1409.55</v>
      </c>
      <c r="M88" s="13">
        <v>80</v>
      </c>
      <c r="N88" s="11">
        <f t="shared" si="12"/>
        <v>43644</v>
      </c>
      <c r="O88" s="12">
        <f t="shared" si="13"/>
        <v>1.9499166666666666E-3</v>
      </c>
      <c r="P88" s="12">
        <f t="shared" si="14"/>
        <v>5.1917075031886473E-3</v>
      </c>
      <c r="Q88" s="12">
        <f t="shared" si="15"/>
        <v>4.2090899628399736E-3</v>
      </c>
      <c r="R88" s="12">
        <f t="shared" si="16"/>
        <v>7.0753769980971271E-3</v>
      </c>
      <c r="S88" s="12">
        <f t="shared" si="17"/>
        <v>9.2802295657687939E-3</v>
      </c>
      <c r="T88" s="12">
        <f t="shared" si="18"/>
        <v>7.1252807034192234E-3</v>
      </c>
      <c r="U88" s="12">
        <f t="shared" si="19"/>
        <v>2.2998364645352432E-2</v>
      </c>
      <c r="V88" s="12">
        <f t="shared" si="20"/>
        <v>6.8930183208214979E-2</v>
      </c>
      <c r="W88" s="12">
        <f t="shared" si="21"/>
        <v>6.4557116676847937E-2</v>
      </c>
      <c r="X88" s="12">
        <f t="shared" si="22"/>
        <v>7.9635104704422588E-2</v>
      </c>
    </row>
    <row r="89" spans="2:24">
      <c r="B89" s="4">
        <v>43677</v>
      </c>
      <c r="C89" s="8">
        <v>2.0615999999999999</v>
      </c>
      <c r="D89" s="6">
        <v>1213.114</v>
      </c>
      <c r="E89" s="6">
        <v>1321.12</v>
      </c>
      <c r="F89" s="6">
        <v>1782.903</v>
      </c>
      <c r="G89" s="6">
        <v>1692.09</v>
      </c>
      <c r="H89" s="6">
        <v>1591.9580000000001</v>
      </c>
      <c r="I89" s="6">
        <v>3136.922</v>
      </c>
      <c r="J89" s="6">
        <v>2980.38</v>
      </c>
      <c r="K89" s="6">
        <v>2187.56</v>
      </c>
      <c r="L89" s="6">
        <v>1413.78</v>
      </c>
      <c r="M89" s="13">
        <v>81</v>
      </c>
      <c r="N89" s="11">
        <f t="shared" si="12"/>
        <v>43677</v>
      </c>
      <c r="O89" s="12">
        <f t="shared" si="13"/>
        <v>1.7390000000000001E-3</v>
      </c>
      <c r="P89" s="12">
        <f t="shared" si="14"/>
        <v>-1.1790413866580307E-3</v>
      </c>
      <c r="Q89" s="12">
        <f t="shared" si="15"/>
        <v>-4.6832241463723445E-4</v>
      </c>
      <c r="R89" s="12">
        <f t="shared" si="16"/>
        <v>1.2056677051768272E-3</v>
      </c>
      <c r="S89" s="12">
        <f t="shared" si="17"/>
        <v>-1.0532070272051275E-3</v>
      </c>
      <c r="T89" s="12">
        <f t="shared" si="18"/>
        <v>-9.7982933382922965E-5</v>
      </c>
      <c r="U89" s="12">
        <f t="shared" si="19"/>
        <v>6.5538327166687615E-3</v>
      </c>
      <c r="V89" s="12">
        <f t="shared" si="20"/>
        <v>1.3128195366039375E-2</v>
      </c>
      <c r="W89" s="12">
        <f t="shared" si="21"/>
        <v>4.2279707117773846E-3</v>
      </c>
      <c r="X89" s="12">
        <f t="shared" si="22"/>
        <v>3.0009577524741093E-3</v>
      </c>
    </row>
    <row r="90" spans="2:24">
      <c r="B90" s="4">
        <v>43707</v>
      </c>
      <c r="C90" s="8">
        <v>1.9764999999999999</v>
      </c>
      <c r="D90" s="6">
        <v>1222.8979999999999</v>
      </c>
      <c r="E90" s="6">
        <v>1330.6890000000001</v>
      </c>
      <c r="F90" s="6">
        <v>1796.4369999999999</v>
      </c>
      <c r="G90" s="6">
        <v>1752.2190000000001</v>
      </c>
      <c r="H90" s="6">
        <v>1627.6410000000001</v>
      </c>
      <c r="I90" s="6">
        <v>3232.163</v>
      </c>
      <c r="J90" s="6">
        <v>2926.46</v>
      </c>
      <c r="K90" s="6">
        <v>2138.52</v>
      </c>
      <c r="L90" s="6">
        <v>1520.38</v>
      </c>
      <c r="M90" s="13">
        <v>82</v>
      </c>
      <c r="N90" s="11">
        <f t="shared" si="12"/>
        <v>43707</v>
      </c>
      <c r="O90" s="12">
        <f t="shared" si="13"/>
        <v>1.7179999999999999E-3</v>
      </c>
      <c r="P90" s="12">
        <f t="shared" si="14"/>
        <v>8.0651942026881418E-3</v>
      </c>
      <c r="Q90" s="12">
        <f t="shared" si="15"/>
        <v>7.2430967663801304E-3</v>
      </c>
      <c r="R90" s="12">
        <f t="shared" si="16"/>
        <v>7.590990648397522E-3</v>
      </c>
      <c r="S90" s="12">
        <f t="shared" si="17"/>
        <v>3.5535343864688151E-2</v>
      </c>
      <c r="T90" s="12">
        <f t="shared" si="18"/>
        <v>2.2414536061881041E-2</v>
      </c>
      <c r="U90" s="12">
        <f t="shared" si="19"/>
        <v>3.0361290462434187E-2</v>
      </c>
      <c r="V90" s="12">
        <f t="shared" si="20"/>
        <v>-1.8091652742267761E-2</v>
      </c>
      <c r="W90" s="12">
        <f t="shared" si="21"/>
        <v>-2.2417670829600111E-2</v>
      </c>
      <c r="X90" s="12">
        <f t="shared" si="22"/>
        <v>7.5400698835745406E-2</v>
      </c>
    </row>
    <row r="91" spans="2:24">
      <c r="B91" s="4">
        <v>43738</v>
      </c>
      <c r="C91" s="8">
        <v>1.8070999999999999</v>
      </c>
      <c r="D91" s="6">
        <v>1221.5419999999999</v>
      </c>
      <c r="E91" s="6">
        <v>1329.982</v>
      </c>
      <c r="F91" s="6">
        <v>1798.5450000000001</v>
      </c>
      <c r="G91" s="6">
        <v>1736.3889999999999</v>
      </c>
      <c r="H91" s="6">
        <v>1619.857</v>
      </c>
      <c r="I91" s="6">
        <v>3212.1709999999998</v>
      </c>
      <c r="J91" s="6">
        <v>2976.74</v>
      </c>
      <c r="K91" s="6">
        <v>2180.02</v>
      </c>
      <c r="L91" s="6">
        <v>1472.49</v>
      </c>
      <c r="M91" s="13">
        <v>83</v>
      </c>
      <c r="N91" s="11">
        <f t="shared" si="12"/>
        <v>43738</v>
      </c>
      <c r="O91" s="12">
        <f t="shared" si="13"/>
        <v>1.6470833333333333E-3</v>
      </c>
      <c r="P91" s="12">
        <f t="shared" si="14"/>
        <v>-1.1088414569325744E-3</v>
      </c>
      <c r="Q91" s="12">
        <f t="shared" si="15"/>
        <v>-5.3130370807907834E-4</v>
      </c>
      <c r="R91" s="12">
        <f t="shared" si="16"/>
        <v>1.1734338582427561E-3</v>
      </c>
      <c r="S91" s="12">
        <f t="shared" si="17"/>
        <v>-9.0342588454982442E-3</v>
      </c>
      <c r="T91" s="12">
        <f t="shared" si="18"/>
        <v>-4.7823813727966291E-3</v>
      </c>
      <c r="U91" s="12">
        <f t="shared" si="19"/>
        <v>-6.1853316184858897E-3</v>
      </c>
      <c r="V91" s="12">
        <f t="shared" si="20"/>
        <v>1.7181167690656807E-2</v>
      </c>
      <c r="W91" s="12">
        <f t="shared" si="21"/>
        <v>1.9405944297925748E-2</v>
      </c>
      <c r="X91" s="12">
        <f t="shared" si="22"/>
        <v>-3.1498704271300637E-2</v>
      </c>
    </row>
    <row r="92" spans="2:24">
      <c r="B92" s="4">
        <v>43769</v>
      </c>
      <c r="C92" s="8">
        <v>1.524</v>
      </c>
      <c r="D92" s="6">
        <v>1225.566</v>
      </c>
      <c r="E92" s="6">
        <v>1333.9670000000001</v>
      </c>
      <c r="F92" s="6">
        <v>1806.4849999999999</v>
      </c>
      <c r="G92" s="6">
        <v>1736.922</v>
      </c>
      <c r="H92" s="6">
        <v>1623.0609999999999</v>
      </c>
      <c r="I92" s="6">
        <v>3231.817</v>
      </c>
      <c r="J92" s="6">
        <v>3037.56</v>
      </c>
      <c r="K92" s="6">
        <v>2233.5300000000002</v>
      </c>
      <c r="L92" s="6">
        <v>1512.99</v>
      </c>
      <c r="M92" s="13">
        <v>84</v>
      </c>
      <c r="N92" s="11">
        <f t="shared" si="12"/>
        <v>43769</v>
      </c>
      <c r="O92" s="12">
        <f t="shared" si="13"/>
        <v>1.5059166666666667E-3</v>
      </c>
      <c r="P92" s="12">
        <f t="shared" si="14"/>
        <v>3.2941970067341675E-3</v>
      </c>
      <c r="Q92" s="12">
        <f t="shared" si="15"/>
        <v>2.9962811526773603E-3</v>
      </c>
      <c r="R92" s="12">
        <f t="shared" si="16"/>
        <v>4.4146796438231384E-3</v>
      </c>
      <c r="S92" s="12">
        <f t="shared" si="17"/>
        <v>3.0695886693599128E-4</v>
      </c>
      <c r="T92" s="12">
        <f t="shared" si="18"/>
        <v>1.9779523748084671E-3</v>
      </c>
      <c r="U92" s="12">
        <f t="shared" si="19"/>
        <v>6.1161127474222976E-3</v>
      </c>
      <c r="V92" s="12">
        <f t="shared" si="20"/>
        <v>2.0431747482144935E-2</v>
      </c>
      <c r="W92" s="12">
        <f t="shared" si="21"/>
        <v>2.4545646370216945E-2</v>
      </c>
      <c r="X92" s="12">
        <f t="shared" si="22"/>
        <v>2.7504431269482321E-2</v>
      </c>
    </row>
    <row r="93" spans="2:24">
      <c r="B93" s="4">
        <v>43798</v>
      </c>
      <c r="C93" s="8">
        <v>1.5671999999999999</v>
      </c>
      <c r="D93" s="6">
        <v>1225.174</v>
      </c>
      <c r="E93" s="6">
        <v>1334.4480000000001</v>
      </c>
      <c r="F93" s="6">
        <v>1808.1179999999999</v>
      </c>
      <c r="G93" s="6">
        <v>1731.579</v>
      </c>
      <c r="H93" s="6">
        <v>1621.104</v>
      </c>
      <c r="I93" s="6">
        <v>3238.82</v>
      </c>
      <c r="J93" s="6">
        <v>3140.98</v>
      </c>
      <c r="K93" s="6">
        <v>2292.2600000000002</v>
      </c>
      <c r="L93" s="6">
        <v>1463.98</v>
      </c>
      <c r="M93" s="13">
        <v>85</v>
      </c>
      <c r="N93" s="11">
        <f t="shared" si="12"/>
        <v>43798</v>
      </c>
      <c r="O93" s="12">
        <f t="shared" si="13"/>
        <v>1.2700000000000001E-3</v>
      </c>
      <c r="P93" s="12">
        <f t="shared" si="14"/>
        <v>-3.1985221522146112E-4</v>
      </c>
      <c r="Q93" s="12">
        <f t="shared" si="15"/>
        <v>3.6057863500360554E-4</v>
      </c>
      <c r="R93" s="12">
        <f t="shared" si="16"/>
        <v>9.0396543563886489E-4</v>
      </c>
      <c r="S93" s="12">
        <f t="shared" si="17"/>
        <v>-3.0761312252364226E-3</v>
      </c>
      <c r="T93" s="12">
        <f t="shared" si="18"/>
        <v>-1.2057464260430972E-3</v>
      </c>
      <c r="U93" s="12">
        <f t="shared" si="19"/>
        <v>2.1668924942224166E-3</v>
      </c>
      <c r="V93" s="12">
        <f t="shared" si="20"/>
        <v>3.404706409091518E-2</v>
      </c>
      <c r="W93" s="12">
        <f t="shared" si="21"/>
        <v>2.6294699421991252E-2</v>
      </c>
      <c r="X93" s="12">
        <f t="shared" si="22"/>
        <v>-3.2392811585007175E-2</v>
      </c>
    </row>
    <row r="94" spans="2:24">
      <c r="B94" s="4">
        <v>43830</v>
      </c>
      <c r="C94" s="8">
        <v>1.5436000000000001</v>
      </c>
      <c r="D94" s="6">
        <v>1227.7719999999999</v>
      </c>
      <c r="E94" s="6">
        <v>1337.239</v>
      </c>
      <c r="F94" s="6">
        <v>1814.39</v>
      </c>
      <c r="G94" s="6">
        <v>1720.9090000000001</v>
      </c>
      <c r="H94" s="6">
        <v>1617.7750000000001</v>
      </c>
      <c r="I94" s="6">
        <v>3249.0230000000001</v>
      </c>
      <c r="J94" s="6">
        <v>3230.78</v>
      </c>
      <c r="K94" s="6">
        <v>2358.4699999999998</v>
      </c>
      <c r="L94" s="6">
        <v>1517.27</v>
      </c>
      <c r="M94" s="13">
        <v>86</v>
      </c>
      <c r="N94" s="11">
        <f t="shared" si="12"/>
        <v>43830</v>
      </c>
      <c r="O94" s="12">
        <f t="shared" si="13"/>
        <v>1.3059999999999999E-3</v>
      </c>
      <c r="P94" s="12">
        <f t="shared" si="14"/>
        <v>2.1205151268308686E-3</v>
      </c>
      <c r="Q94" s="12">
        <f t="shared" si="15"/>
        <v>2.0915015047420216E-3</v>
      </c>
      <c r="R94" s="12">
        <f t="shared" si="16"/>
        <v>3.4688001557421355E-3</v>
      </c>
      <c r="S94" s="12">
        <f t="shared" si="17"/>
        <v>-6.162005891732214E-3</v>
      </c>
      <c r="T94" s="12">
        <f t="shared" si="18"/>
        <v>-2.0535388229255824E-3</v>
      </c>
      <c r="U94" s="12">
        <f t="shared" si="19"/>
        <v>3.1502213769212251E-3</v>
      </c>
      <c r="V94" s="12">
        <f t="shared" si="20"/>
        <v>2.8589803182446305E-2</v>
      </c>
      <c r="W94" s="12">
        <f t="shared" si="21"/>
        <v>2.8884157992548731E-2</v>
      </c>
      <c r="X94" s="12">
        <f t="shared" si="22"/>
        <v>3.640077050232926E-2</v>
      </c>
    </row>
    <row r="95" spans="2:24">
      <c r="B95" s="4">
        <v>43861</v>
      </c>
      <c r="C95" s="8">
        <v>1.5382</v>
      </c>
      <c r="D95" s="6">
        <v>1234.414</v>
      </c>
      <c r="E95" s="6">
        <v>1342.9680000000001</v>
      </c>
      <c r="F95" s="6">
        <v>1824.752</v>
      </c>
      <c r="G95" s="6">
        <v>1765.039</v>
      </c>
      <c r="H95" s="6">
        <v>1643.105</v>
      </c>
      <c r="I95" s="6">
        <v>3326.2130000000002</v>
      </c>
      <c r="J95" s="6">
        <v>3225.52</v>
      </c>
      <c r="K95" s="6">
        <v>2342.41</v>
      </c>
      <c r="L95" s="6">
        <v>1589.16</v>
      </c>
      <c r="M95" s="13">
        <v>87</v>
      </c>
      <c r="N95" s="11">
        <f t="shared" si="12"/>
        <v>43861</v>
      </c>
      <c r="O95" s="12">
        <f t="shared" si="13"/>
        <v>1.2863333333333333E-3</v>
      </c>
      <c r="P95" s="12">
        <f t="shared" si="14"/>
        <v>5.4097992135349049E-3</v>
      </c>
      <c r="Q95" s="12">
        <f t="shared" si="15"/>
        <v>4.2842005056689114E-3</v>
      </c>
      <c r="R95" s="12">
        <f t="shared" si="16"/>
        <v>5.7110103120057154E-3</v>
      </c>
      <c r="S95" s="12">
        <f t="shared" si="17"/>
        <v>2.5643424492520994E-2</v>
      </c>
      <c r="T95" s="12">
        <f t="shared" si="18"/>
        <v>1.565730710389257E-2</v>
      </c>
      <c r="U95" s="12">
        <f t="shared" si="19"/>
        <v>2.3757911224389527E-2</v>
      </c>
      <c r="V95" s="12">
        <f t="shared" si="20"/>
        <v>-1.6280898111292741E-3</v>
      </c>
      <c r="W95" s="12">
        <f t="shared" si="21"/>
        <v>-6.8094993788345715E-3</v>
      </c>
      <c r="X95" s="12">
        <f t="shared" si="22"/>
        <v>4.7381151673729915E-2</v>
      </c>
    </row>
    <row r="96" spans="2:24">
      <c r="B96" s="4">
        <v>43889</v>
      </c>
      <c r="C96" s="8">
        <v>1.2669999999999999</v>
      </c>
      <c r="D96" s="6">
        <v>1245.163</v>
      </c>
      <c r="E96" s="6">
        <v>1352.3510000000001</v>
      </c>
      <c r="F96" s="6">
        <v>1835.27</v>
      </c>
      <c r="G96" s="6">
        <v>1813.192</v>
      </c>
      <c r="H96" s="6">
        <v>1670.354</v>
      </c>
      <c r="I96" s="6">
        <v>3369.134</v>
      </c>
      <c r="J96" s="6">
        <v>2954.22</v>
      </c>
      <c r="K96" s="6">
        <v>2141.12</v>
      </c>
      <c r="L96" s="6">
        <v>1585.69</v>
      </c>
      <c r="M96" s="13">
        <v>88</v>
      </c>
      <c r="N96" s="11">
        <f t="shared" si="12"/>
        <v>43889</v>
      </c>
      <c r="O96" s="12">
        <f t="shared" si="13"/>
        <v>1.2818333333333334E-3</v>
      </c>
      <c r="P96" s="12">
        <f t="shared" si="14"/>
        <v>8.7077755112952016E-3</v>
      </c>
      <c r="Q96" s="12">
        <f t="shared" si="15"/>
        <v>6.9867636458949001E-3</v>
      </c>
      <c r="R96" s="12">
        <f t="shared" si="16"/>
        <v>5.7640709532034151E-3</v>
      </c>
      <c r="S96" s="12">
        <f t="shared" si="17"/>
        <v>2.7281550152716161E-2</v>
      </c>
      <c r="T96" s="12">
        <f t="shared" si="18"/>
        <v>1.6583845828477273E-2</v>
      </c>
      <c r="U96" s="12">
        <f t="shared" si="19"/>
        <v>1.2903863943770189E-2</v>
      </c>
      <c r="V96" s="12">
        <f t="shared" si="20"/>
        <v>-8.4110469009648137E-2</v>
      </c>
      <c r="W96" s="12">
        <f t="shared" si="21"/>
        <v>-8.5932864016120103E-2</v>
      </c>
      <c r="X96" s="12">
        <f t="shared" si="22"/>
        <v>-2.1835435072616871E-3</v>
      </c>
    </row>
    <row r="97" spans="2:24">
      <c r="B97" s="4">
        <v>43921</v>
      </c>
      <c r="C97" s="8">
        <v>6.0999999999999999E-2</v>
      </c>
      <c r="D97" s="6">
        <v>1262.2449999999999</v>
      </c>
      <c r="E97" s="6">
        <v>1363.318</v>
      </c>
      <c r="F97" s="6">
        <v>1783.9929999999999</v>
      </c>
      <c r="G97" s="6">
        <v>1872.3779999999999</v>
      </c>
      <c r="H97" s="6">
        <v>1686.19</v>
      </c>
      <c r="I97" s="6">
        <v>3117.3240000000001</v>
      </c>
      <c r="J97" s="6">
        <v>2584.59</v>
      </c>
      <c r="K97" s="6">
        <v>1852.73</v>
      </c>
      <c r="L97" s="6">
        <v>1577.18</v>
      </c>
      <c r="M97" s="13">
        <v>89</v>
      </c>
      <c r="N97" s="11">
        <f t="shared" si="12"/>
        <v>43921</v>
      </c>
      <c r="O97" s="12">
        <f t="shared" si="13"/>
        <v>1.0558333333333333E-3</v>
      </c>
      <c r="P97" s="12">
        <f t="shared" si="14"/>
        <v>1.3718685826674903E-2</v>
      </c>
      <c r="Q97" s="12">
        <f t="shared" si="15"/>
        <v>8.1095810185372041E-3</v>
      </c>
      <c r="R97" s="12">
        <f t="shared" si="16"/>
        <v>-2.7939758182719765E-2</v>
      </c>
      <c r="S97" s="12">
        <f t="shared" si="17"/>
        <v>3.2641882382009157E-2</v>
      </c>
      <c r="T97" s="12">
        <f t="shared" si="18"/>
        <v>9.480625065106052E-3</v>
      </c>
      <c r="U97" s="12">
        <f t="shared" si="19"/>
        <v>-7.4740274503774518E-2</v>
      </c>
      <c r="V97" s="12">
        <f t="shared" si="20"/>
        <v>-0.12511932083595656</v>
      </c>
      <c r="W97" s="12">
        <f t="shared" si="21"/>
        <v>-0.13469118965774918</v>
      </c>
      <c r="X97" s="12">
        <f t="shared" si="22"/>
        <v>-5.366748860117676E-3</v>
      </c>
    </row>
    <row r="98" spans="2:24">
      <c r="B98" s="4">
        <v>43951</v>
      </c>
      <c r="C98" s="8">
        <v>7.8799999999999995E-2</v>
      </c>
      <c r="D98" s="6">
        <v>1262.7729999999999</v>
      </c>
      <c r="E98" s="6">
        <v>1366.4090000000001</v>
      </c>
      <c r="F98" s="6">
        <v>1826.3219999999999</v>
      </c>
      <c r="G98" s="6">
        <v>1879.9670000000001</v>
      </c>
      <c r="H98" s="6">
        <v>1697.5889999999999</v>
      </c>
      <c r="I98" s="6">
        <v>3281.6849999999999</v>
      </c>
      <c r="J98" s="6">
        <v>2912.43</v>
      </c>
      <c r="K98" s="6">
        <v>2052.85</v>
      </c>
      <c r="L98" s="6">
        <v>1686.5</v>
      </c>
      <c r="M98" s="13">
        <v>90</v>
      </c>
      <c r="N98" s="11">
        <f t="shared" si="12"/>
        <v>43951</v>
      </c>
      <c r="O98" s="12">
        <f t="shared" si="13"/>
        <v>5.0833333333333333E-5</v>
      </c>
      <c r="P98" s="12">
        <f t="shared" si="14"/>
        <v>4.1830231056572131E-4</v>
      </c>
      <c r="Q98" s="12">
        <f t="shared" si="15"/>
        <v>2.2672626635900084E-3</v>
      </c>
      <c r="R98" s="12">
        <f t="shared" si="16"/>
        <v>2.3727111036870641E-2</v>
      </c>
      <c r="S98" s="12">
        <f t="shared" si="17"/>
        <v>4.0531345700494104E-3</v>
      </c>
      <c r="T98" s="12">
        <f t="shared" si="18"/>
        <v>6.7602108896387403E-3</v>
      </c>
      <c r="U98" s="12">
        <f t="shared" si="19"/>
        <v>5.2725029544570923E-2</v>
      </c>
      <c r="V98" s="12">
        <f t="shared" si="20"/>
        <v>0.12684410293315374</v>
      </c>
      <c r="W98" s="12">
        <f t="shared" si="21"/>
        <v>0.10801357996038274</v>
      </c>
      <c r="X98" s="12">
        <f t="shared" si="22"/>
        <v>6.9313585006150147E-2</v>
      </c>
    </row>
    <row r="99" spans="2:24">
      <c r="B99" s="4">
        <v>43980</v>
      </c>
      <c r="C99" s="8">
        <v>0.1246</v>
      </c>
      <c r="D99" s="6">
        <v>1263.598</v>
      </c>
      <c r="E99" s="6">
        <v>1367.942</v>
      </c>
      <c r="F99" s="6">
        <v>1847.3440000000001</v>
      </c>
      <c r="G99" s="6">
        <v>1874.175</v>
      </c>
      <c r="H99" s="6">
        <v>1699.7829999999999</v>
      </c>
      <c r="I99" s="6">
        <v>3339.0549999999998</v>
      </c>
      <c r="J99" s="6">
        <v>3044.31</v>
      </c>
      <c r="K99" s="6">
        <v>2147.88</v>
      </c>
      <c r="L99" s="6">
        <v>1730.27</v>
      </c>
      <c r="M99" s="13">
        <v>91</v>
      </c>
      <c r="N99" s="11">
        <f t="shared" si="12"/>
        <v>43980</v>
      </c>
      <c r="O99" s="12">
        <f t="shared" si="13"/>
        <v>6.5666666666666659E-5</v>
      </c>
      <c r="P99" s="12">
        <f t="shared" si="14"/>
        <v>6.5332407328955178E-4</v>
      </c>
      <c r="Q99" s="12">
        <f t="shared" si="15"/>
        <v>1.1219188398201574E-3</v>
      </c>
      <c r="R99" s="12">
        <f t="shared" si="16"/>
        <v>1.1510566044761195E-2</v>
      </c>
      <c r="S99" s="12">
        <f t="shared" si="17"/>
        <v>-3.0809051435478629E-3</v>
      </c>
      <c r="T99" s="12">
        <f t="shared" si="18"/>
        <v>1.2924211926443885E-3</v>
      </c>
      <c r="U99" s="12">
        <f t="shared" si="19"/>
        <v>1.7481872879328675E-2</v>
      </c>
      <c r="V99" s="12">
        <f t="shared" si="20"/>
        <v>4.528177501261843E-2</v>
      </c>
      <c r="W99" s="12">
        <f t="shared" si="21"/>
        <v>4.6291740750663779E-2</v>
      </c>
      <c r="X99" s="12">
        <f t="shared" si="22"/>
        <v>2.5953157426623186E-2</v>
      </c>
    </row>
    <row r="100" spans="2:24">
      <c r="B100" s="4">
        <v>44012</v>
      </c>
      <c r="C100" s="8">
        <v>0.1293</v>
      </c>
      <c r="D100" s="6">
        <v>1263.923</v>
      </c>
      <c r="E100" s="6">
        <v>1368.42</v>
      </c>
      <c r="F100" s="6">
        <v>1862.251</v>
      </c>
      <c r="G100" s="6">
        <v>1876.212</v>
      </c>
      <c r="H100" s="6">
        <v>1703.2729999999999</v>
      </c>
      <c r="I100" s="6">
        <v>3406.346</v>
      </c>
      <c r="J100" s="6">
        <v>3100.29</v>
      </c>
      <c r="K100" s="6">
        <v>2201.79</v>
      </c>
      <c r="L100" s="6">
        <v>1780.96</v>
      </c>
      <c r="M100" s="13">
        <v>92</v>
      </c>
      <c r="N100" s="11">
        <f t="shared" si="12"/>
        <v>44012</v>
      </c>
      <c r="O100" s="12">
        <f t="shared" si="13"/>
        <v>1.0383333333333334E-4</v>
      </c>
      <c r="P100" s="12">
        <f t="shared" si="14"/>
        <v>2.5720205318457978E-4</v>
      </c>
      <c r="Q100" s="12">
        <f t="shared" si="15"/>
        <v>3.4943001969378606E-4</v>
      </c>
      <c r="R100" s="12">
        <f t="shared" si="16"/>
        <v>8.0694229120292782E-3</v>
      </c>
      <c r="S100" s="12">
        <f t="shared" si="17"/>
        <v>1.0868782264197296E-3</v>
      </c>
      <c r="T100" s="12">
        <f t="shared" si="18"/>
        <v>2.0532032618281182E-3</v>
      </c>
      <c r="U100" s="12">
        <f t="shared" si="19"/>
        <v>2.0152707876929243E-2</v>
      </c>
      <c r="V100" s="12">
        <f t="shared" si="20"/>
        <v>1.8388403283502663E-2</v>
      </c>
      <c r="W100" s="12">
        <f t="shared" si="21"/>
        <v>2.5099167551259738E-2</v>
      </c>
      <c r="X100" s="12">
        <f t="shared" si="22"/>
        <v>2.9296005825680371E-2</v>
      </c>
    </row>
    <row r="101" spans="2:24">
      <c r="B101" s="4">
        <v>44043</v>
      </c>
      <c r="C101" s="8">
        <v>8.3699999999999997E-2</v>
      </c>
      <c r="D101" s="6">
        <v>1265.2</v>
      </c>
      <c r="E101" s="6">
        <v>1370.3530000000001</v>
      </c>
      <c r="F101" s="6">
        <v>1871.549</v>
      </c>
      <c r="G101" s="6">
        <v>1898.944</v>
      </c>
      <c r="H101" s="6">
        <v>1710.2449999999999</v>
      </c>
      <c r="I101" s="6">
        <v>3513.6709999999998</v>
      </c>
      <c r="J101" s="6">
        <v>3271.12</v>
      </c>
      <c r="K101" s="6">
        <v>2304.98</v>
      </c>
      <c r="L101" s="6">
        <v>1975.86</v>
      </c>
      <c r="M101" s="13">
        <v>93</v>
      </c>
      <c r="N101" s="11">
        <f t="shared" si="12"/>
        <v>44043</v>
      </c>
      <c r="O101" s="12">
        <f t="shared" si="13"/>
        <v>1.0775E-4</v>
      </c>
      <c r="P101" s="12">
        <f t="shared" si="14"/>
        <v>1.0103463581248029E-3</v>
      </c>
      <c r="Q101" s="12">
        <f t="shared" si="15"/>
        <v>1.4125780096754248E-3</v>
      </c>
      <c r="R101" s="12">
        <f t="shared" si="16"/>
        <v>4.9928822698981357E-3</v>
      </c>
      <c r="S101" s="12">
        <f t="shared" si="17"/>
        <v>1.2115901614529578E-2</v>
      </c>
      <c r="T101" s="12">
        <f t="shared" si="18"/>
        <v>4.0932956725081571E-3</v>
      </c>
      <c r="U101" s="12">
        <f t="shared" si="19"/>
        <v>3.1507368893236354E-2</v>
      </c>
      <c r="V101" s="12">
        <f t="shared" si="20"/>
        <v>5.5101296975444303E-2</v>
      </c>
      <c r="W101" s="12">
        <f t="shared" si="21"/>
        <v>4.6866413236503091E-2</v>
      </c>
      <c r="X101" s="12">
        <f t="shared" si="22"/>
        <v>0.10943536070433924</v>
      </c>
    </row>
    <row r="102" spans="2:24">
      <c r="B102" s="4">
        <v>44074</v>
      </c>
      <c r="C102" s="8">
        <v>9.3799999999999994E-2</v>
      </c>
      <c r="D102" s="6">
        <v>1264.893</v>
      </c>
      <c r="E102" s="6">
        <v>1370.7529999999999</v>
      </c>
      <c r="F102" s="6">
        <v>1876.261</v>
      </c>
      <c r="G102" s="6">
        <v>1876.126</v>
      </c>
      <c r="H102" s="6">
        <v>1707.2829999999999</v>
      </c>
      <c r="I102" s="6">
        <v>3473.12</v>
      </c>
      <c r="J102" s="6">
        <v>3500.31</v>
      </c>
      <c r="K102" s="6">
        <v>2455.5100000000002</v>
      </c>
      <c r="L102" s="6">
        <v>1967.8</v>
      </c>
      <c r="M102" s="13">
        <v>94</v>
      </c>
      <c r="N102" s="11">
        <f t="shared" si="12"/>
        <v>44074</v>
      </c>
      <c r="O102" s="12">
        <f t="shared" si="13"/>
        <v>6.9750000000000001E-5</v>
      </c>
      <c r="P102" s="12">
        <f t="shared" si="14"/>
        <v>-2.4264938349671805E-4</v>
      </c>
      <c r="Q102" s="12">
        <f t="shared" si="15"/>
        <v>2.9189559186559855E-4</v>
      </c>
      <c r="R102" s="12">
        <f t="shared" si="16"/>
        <v>2.5177005785046447E-3</v>
      </c>
      <c r="S102" s="12">
        <f t="shared" si="17"/>
        <v>-1.2016152135081337E-2</v>
      </c>
      <c r="T102" s="12">
        <f t="shared" si="18"/>
        <v>-1.7319156027352234E-3</v>
      </c>
      <c r="U102" s="12">
        <f t="shared" si="19"/>
        <v>-1.1540921161941387E-2</v>
      </c>
      <c r="V102" s="12">
        <f t="shared" si="20"/>
        <v>7.0064687324219221E-2</v>
      </c>
      <c r="W102" s="12">
        <f t="shared" si="21"/>
        <v>6.5306423483067144E-2</v>
      </c>
      <c r="X102" s="12">
        <f t="shared" si="22"/>
        <v>-4.0792363831445577E-3</v>
      </c>
    </row>
    <row r="103" spans="2:24">
      <c r="B103" s="4">
        <v>44104</v>
      </c>
      <c r="C103" s="8">
        <v>9.1499999999999998E-2</v>
      </c>
      <c r="D103" s="6">
        <v>1265.2349999999999</v>
      </c>
      <c r="E103" s="6">
        <v>1371.1769999999999</v>
      </c>
      <c r="F103" s="6">
        <v>1876.038</v>
      </c>
      <c r="G103" s="6">
        <v>1879.597</v>
      </c>
      <c r="H103" s="6">
        <v>1710.107</v>
      </c>
      <c r="I103" s="6">
        <v>3463.9450000000002</v>
      </c>
      <c r="J103" s="6">
        <v>3363</v>
      </c>
      <c r="K103" s="6">
        <v>2367.27</v>
      </c>
      <c r="L103" s="6">
        <v>1885.82</v>
      </c>
      <c r="M103" s="13">
        <v>95</v>
      </c>
      <c r="N103" s="11">
        <f t="shared" si="12"/>
        <v>44104</v>
      </c>
      <c r="O103" s="12">
        <f t="shared" si="13"/>
        <v>7.8166666666666665E-5</v>
      </c>
      <c r="P103" s="12">
        <f t="shared" si="14"/>
        <v>2.7037860119394352E-4</v>
      </c>
      <c r="Q103" s="12">
        <f t="shared" si="15"/>
        <v>3.0931903851394438E-4</v>
      </c>
      <c r="R103" s="12">
        <f t="shared" si="16"/>
        <v>-1.1885340045969528E-4</v>
      </c>
      <c r="S103" s="12">
        <f t="shared" si="17"/>
        <v>1.8500889599100123E-3</v>
      </c>
      <c r="T103" s="12">
        <f t="shared" si="18"/>
        <v>1.6540901537707153E-3</v>
      </c>
      <c r="U103" s="12">
        <f t="shared" si="19"/>
        <v>-2.6417169576633537E-3</v>
      </c>
      <c r="V103" s="12">
        <f t="shared" si="20"/>
        <v>-3.9227954095494399E-2</v>
      </c>
      <c r="W103" s="12">
        <f t="shared" si="21"/>
        <v>-3.5935508305810271E-2</v>
      </c>
      <c r="X103" s="12">
        <f t="shared" si="22"/>
        <v>-4.1660737879865906E-2</v>
      </c>
    </row>
    <row r="104" spans="2:24">
      <c r="B104" s="4">
        <v>44134</v>
      </c>
      <c r="C104" s="8">
        <v>8.6400000000000005E-2</v>
      </c>
      <c r="D104" s="6">
        <v>1264.702</v>
      </c>
      <c r="E104" s="6">
        <v>1371.085</v>
      </c>
      <c r="F104" s="6">
        <v>1879.443</v>
      </c>
      <c r="G104" s="6">
        <v>1860.62</v>
      </c>
      <c r="H104" s="6">
        <v>1704.001</v>
      </c>
      <c r="I104" s="6">
        <v>3458.0030000000002</v>
      </c>
      <c r="J104" s="6">
        <v>3269.96</v>
      </c>
      <c r="K104" s="6">
        <v>2292.9299999999998</v>
      </c>
      <c r="L104" s="6">
        <v>1878.81</v>
      </c>
      <c r="M104" s="13">
        <v>96</v>
      </c>
      <c r="N104" s="11">
        <f t="shared" si="12"/>
        <v>44134</v>
      </c>
      <c r="O104" s="12">
        <f t="shared" si="13"/>
        <v>7.6249999999999997E-5</v>
      </c>
      <c r="P104" s="12">
        <f t="shared" si="14"/>
        <v>-4.2126561468813772E-4</v>
      </c>
      <c r="Q104" s="12">
        <f t="shared" si="15"/>
        <v>-6.7095641189895971E-5</v>
      </c>
      <c r="R104" s="12">
        <f t="shared" si="16"/>
        <v>1.8149952186470308E-3</v>
      </c>
      <c r="S104" s="12">
        <f t="shared" si="17"/>
        <v>-1.0096313199052798E-2</v>
      </c>
      <c r="T104" s="12">
        <f t="shared" si="18"/>
        <v>-3.5705368143630345E-3</v>
      </c>
      <c r="U104" s="12">
        <f t="shared" si="19"/>
        <v>-1.7153852038643835E-3</v>
      </c>
      <c r="V104" s="12">
        <f t="shared" si="20"/>
        <v>-2.7665774606006499E-2</v>
      </c>
      <c r="W104" s="12">
        <f t="shared" si="21"/>
        <v>-3.1403261985324948E-2</v>
      </c>
      <c r="X104" s="12">
        <f t="shared" si="22"/>
        <v>-3.7172158530506261E-3</v>
      </c>
    </row>
    <row r="105" spans="2:24">
      <c r="B105" s="4">
        <v>44165</v>
      </c>
      <c r="C105" s="8">
        <v>7.1199999999999999E-2</v>
      </c>
      <c r="D105" s="6">
        <v>1265.2840000000001</v>
      </c>
      <c r="E105" s="6">
        <v>1371.787</v>
      </c>
      <c r="F105" s="6">
        <v>1885.8409999999999</v>
      </c>
      <c r="G105" s="6">
        <v>1867.7070000000001</v>
      </c>
      <c r="H105" s="6">
        <v>1708.5509999999999</v>
      </c>
      <c r="I105" s="6">
        <v>3550.1860000000001</v>
      </c>
      <c r="J105" s="6">
        <v>3621.63</v>
      </c>
      <c r="K105" s="6">
        <v>2583.14</v>
      </c>
      <c r="L105" s="6">
        <v>1776.95</v>
      </c>
      <c r="M105" s="13">
        <v>97</v>
      </c>
      <c r="N105" s="11">
        <f t="shared" si="12"/>
        <v>44165</v>
      </c>
      <c r="O105" s="12">
        <f t="shared" si="13"/>
        <v>7.2000000000000002E-5</v>
      </c>
      <c r="P105" s="12">
        <f t="shared" si="14"/>
        <v>4.6018745918008364E-4</v>
      </c>
      <c r="Q105" s="12">
        <f t="shared" si="15"/>
        <v>5.1200326748523928E-4</v>
      </c>
      <c r="R105" s="12">
        <f t="shared" si="16"/>
        <v>3.404200074170971E-3</v>
      </c>
      <c r="S105" s="12">
        <f t="shared" si="17"/>
        <v>3.8089454052951943E-3</v>
      </c>
      <c r="T105" s="12">
        <f t="shared" si="18"/>
        <v>2.67018622641646E-3</v>
      </c>
      <c r="U105" s="12">
        <f t="shared" si="19"/>
        <v>2.6657871609712336E-2</v>
      </c>
      <c r="V105" s="12">
        <f t="shared" si="20"/>
        <v>0.10754565805086314</v>
      </c>
      <c r="W105" s="12">
        <f t="shared" si="21"/>
        <v>0.1265673177986244</v>
      </c>
      <c r="X105" s="12">
        <f t="shared" si="22"/>
        <v>-5.4215168111730216E-2</v>
      </c>
    </row>
    <row r="106" spans="2:24">
      <c r="B106" s="4">
        <v>44196</v>
      </c>
      <c r="C106" s="8">
        <v>5.8299999999999998E-2</v>
      </c>
      <c r="D106" s="6">
        <v>1265.8710000000001</v>
      </c>
      <c r="E106" s="6">
        <v>1372.9880000000001</v>
      </c>
      <c r="F106" s="6">
        <v>1889.9</v>
      </c>
      <c r="G106" s="6">
        <v>1862.4269999999999</v>
      </c>
      <c r="H106" s="6">
        <v>1710.732</v>
      </c>
      <c r="I106" s="6">
        <v>3567.627</v>
      </c>
      <c r="J106" s="6">
        <v>3756.07</v>
      </c>
      <c r="K106" s="6">
        <v>2690.04</v>
      </c>
      <c r="L106" s="6">
        <v>1898.36</v>
      </c>
      <c r="M106" s="13">
        <v>98</v>
      </c>
      <c r="N106" s="11">
        <f t="shared" si="12"/>
        <v>44196</v>
      </c>
      <c r="O106" s="12">
        <f t="shared" si="13"/>
        <v>5.933333333333333E-5</v>
      </c>
      <c r="P106" s="12">
        <f t="shared" si="14"/>
        <v>4.6392746608669988E-4</v>
      </c>
      <c r="Q106" s="12">
        <f t="shared" si="15"/>
        <v>8.7550035100192325E-4</v>
      </c>
      <c r="R106" s="12">
        <f t="shared" si="16"/>
        <v>2.1523553682416541E-3</v>
      </c>
      <c r="S106" s="12">
        <f t="shared" si="17"/>
        <v>-2.8269958831873554E-3</v>
      </c>
      <c r="T106" s="12">
        <f t="shared" si="18"/>
        <v>1.2765202794648989E-3</v>
      </c>
      <c r="U106" s="12">
        <f t="shared" si="19"/>
        <v>4.9127003486577614E-3</v>
      </c>
      <c r="V106" s="12">
        <f t="shared" si="20"/>
        <v>3.712140665943231E-2</v>
      </c>
      <c r="W106" s="12">
        <f t="shared" si="21"/>
        <v>4.1383742267163237E-2</v>
      </c>
      <c r="X106" s="12">
        <f t="shared" si="22"/>
        <v>6.8324938799628532E-2</v>
      </c>
    </row>
    <row r="107" spans="2:24">
      <c r="B107" s="4">
        <v>44225</v>
      </c>
      <c r="C107" s="8">
        <v>4.82E-2</v>
      </c>
      <c r="D107" s="6">
        <v>1266.0609999999999</v>
      </c>
      <c r="E107" s="6">
        <v>1373.5619999999999</v>
      </c>
      <c r="F107" s="6">
        <v>1890.981</v>
      </c>
      <c r="G107" s="6">
        <v>1841.5139999999999</v>
      </c>
      <c r="H107" s="6">
        <v>1706.0930000000001</v>
      </c>
      <c r="I107" s="6">
        <v>3524.1060000000002</v>
      </c>
      <c r="J107" s="6">
        <v>3714.24</v>
      </c>
      <c r="K107" s="6">
        <v>2661.69</v>
      </c>
      <c r="L107" s="6">
        <v>1847.65</v>
      </c>
      <c r="M107" s="13">
        <v>99</v>
      </c>
      <c r="N107" s="11">
        <f t="shared" si="12"/>
        <v>44225</v>
      </c>
      <c r="O107" s="12">
        <f t="shared" si="13"/>
        <v>4.8583333333333333E-5</v>
      </c>
      <c r="P107" s="12">
        <f t="shared" si="14"/>
        <v>1.5009428290868598E-4</v>
      </c>
      <c r="Q107" s="12">
        <f t="shared" si="15"/>
        <v>4.1806629045537669E-4</v>
      </c>
      <c r="R107" s="12">
        <f t="shared" si="16"/>
        <v>5.7198793586965557E-4</v>
      </c>
      <c r="S107" s="12">
        <f t="shared" si="17"/>
        <v>-1.1228896488291951E-2</v>
      </c>
      <c r="T107" s="12">
        <f t="shared" si="18"/>
        <v>-2.711704697170525E-3</v>
      </c>
      <c r="U107" s="12">
        <f t="shared" si="19"/>
        <v>-1.2198864959817701E-2</v>
      </c>
      <c r="V107" s="12">
        <f t="shared" si="20"/>
        <v>-1.1136640158463607E-2</v>
      </c>
      <c r="W107" s="12">
        <f t="shared" si="21"/>
        <v>-1.0538876745327164E-2</v>
      </c>
      <c r="X107" s="12">
        <f t="shared" si="22"/>
        <v>-2.6712530816072722E-2</v>
      </c>
    </row>
    <row r="108" spans="2:24">
      <c r="B108" s="4">
        <v>44253</v>
      </c>
      <c r="C108" s="8">
        <v>3.3000000000000002E-2</v>
      </c>
      <c r="D108" s="6">
        <v>1265.0440000000001</v>
      </c>
      <c r="E108" s="6">
        <v>1372.6420000000001</v>
      </c>
      <c r="F108" s="6">
        <v>1891.731</v>
      </c>
      <c r="G108" s="6">
        <v>1799.413</v>
      </c>
      <c r="H108" s="6">
        <v>1690.183</v>
      </c>
      <c r="I108" s="6">
        <v>3455.192</v>
      </c>
      <c r="J108" s="6">
        <v>3811.15</v>
      </c>
      <c r="K108" s="6">
        <v>2726.91</v>
      </c>
      <c r="L108" s="6">
        <v>1734.04</v>
      </c>
      <c r="M108" s="13">
        <v>100</v>
      </c>
      <c r="N108" s="11">
        <f t="shared" si="12"/>
        <v>44253</v>
      </c>
      <c r="O108" s="12">
        <f t="shared" si="13"/>
        <v>4.0166666666666669E-5</v>
      </c>
      <c r="P108" s="12">
        <f t="shared" si="14"/>
        <v>-8.032788309566552E-4</v>
      </c>
      <c r="Q108" s="12">
        <f t="shared" si="15"/>
        <v>-6.6979138910350233E-4</v>
      </c>
      <c r="R108" s="12">
        <f t="shared" si="16"/>
        <v>3.9661953240144321E-4</v>
      </c>
      <c r="S108" s="12">
        <f t="shared" si="17"/>
        <v>-2.2862166673725981E-2</v>
      </c>
      <c r="T108" s="12">
        <f t="shared" si="18"/>
        <v>-9.3254001979963252E-3</v>
      </c>
      <c r="U108" s="12">
        <f t="shared" si="19"/>
        <v>-1.9555030410549623E-2</v>
      </c>
      <c r="V108" s="12">
        <f t="shared" si="20"/>
        <v>2.6091474971999817E-2</v>
      </c>
      <c r="W108" s="12">
        <f t="shared" si="21"/>
        <v>2.4503229151403794E-2</v>
      </c>
      <c r="X108" s="12">
        <f t="shared" si="22"/>
        <v>-6.1488918355749211E-2</v>
      </c>
    </row>
    <row r="109" spans="2:24">
      <c r="B109" s="4">
        <v>44286</v>
      </c>
      <c r="C109" s="8">
        <v>1.52E-2</v>
      </c>
      <c r="D109" s="6">
        <v>1265.28</v>
      </c>
      <c r="E109" s="6">
        <v>1372.6780000000001</v>
      </c>
      <c r="F109" s="6">
        <v>1890.191</v>
      </c>
      <c r="G109" s="6">
        <v>1776.644</v>
      </c>
      <c r="H109" s="6">
        <v>1680.471</v>
      </c>
      <c r="I109" s="6">
        <v>3407.268</v>
      </c>
      <c r="J109" s="6">
        <v>3972.89</v>
      </c>
      <c r="K109" s="6">
        <v>2811.7</v>
      </c>
      <c r="L109" s="6">
        <v>1707.71</v>
      </c>
      <c r="M109" s="13">
        <v>101</v>
      </c>
      <c r="N109" s="11">
        <f t="shared" si="12"/>
        <v>44286</v>
      </c>
      <c r="O109" s="12">
        <f t="shared" si="13"/>
        <v>2.7500000000000001E-5</v>
      </c>
      <c r="P109" s="12">
        <f t="shared" si="14"/>
        <v>1.8655477596030146E-4</v>
      </c>
      <c r="Q109" s="12">
        <f t="shared" si="15"/>
        <v>2.6226794750616733E-5</v>
      </c>
      <c r="R109" s="12">
        <f t="shared" si="16"/>
        <v>-8.1406923077331772E-4</v>
      </c>
      <c r="S109" s="12">
        <f t="shared" si="17"/>
        <v>-1.2653570914514911E-2</v>
      </c>
      <c r="T109" s="12">
        <f t="shared" si="18"/>
        <v>-5.7461233487734464E-3</v>
      </c>
      <c r="U109" s="12">
        <f t="shared" si="19"/>
        <v>-1.3870140935728026E-2</v>
      </c>
      <c r="V109" s="12">
        <f t="shared" si="20"/>
        <v>4.2438634008107767E-2</v>
      </c>
      <c r="W109" s="12">
        <f t="shared" si="21"/>
        <v>3.109380214235169E-2</v>
      </c>
      <c r="X109" s="12">
        <f t="shared" si="22"/>
        <v>-1.5184194136236728E-2</v>
      </c>
    </row>
    <row r="110" spans="2:24">
      <c r="B110" s="4">
        <v>44316</v>
      </c>
      <c r="C110" s="8">
        <v>2.5000000000000001E-3</v>
      </c>
      <c r="D110" s="6">
        <v>1265.8499999999999</v>
      </c>
      <c r="E110" s="6">
        <v>1373.2360000000001</v>
      </c>
      <c r="F110" s="6">
        <v>1894.1089999999999</v>
      </c>
      <c r="G110" s="6">
        <v>1791.576</v>
      </c>
      <c r="H110" s="6">
        <v>1687.73</v>
      </c>
      <c r="I110" s="6">
        <v>3447.8110000000001</v>
      </c>
      <c r="J110" s="6">
        <v>4181.17</v>
      </c>
      <c r="K110" s="6">
        <v>2938.76</v>
      </c>
      <c r="L110" s="6">
        <v>1769.13</v>
      </c>
      <c r="M110" s="13">
        <v>102</v>
      </c>
      <c r="N110" s="11">
        <f t="shared" si="12"/>
        <v>44316</v>
      </c>
      <c r="O110" s="12">
        <f t="shared" si="13"/>
        <v>1.2666666666666667E-5</v>
      </c>
      <c r="P110" s="12">
        <f t="shared" si="14"/>
        <v>4.5049317147194401E-4</v>
      </c>
      <c r="Q110" s="12">
        <f t="shared" si="15"/>
        <v>4.0650465731939533E-4</v>
      </c>
      <c r="R110" s="12">
        <f t="shared" si="16"/>
        <v>2.0728063989299272E-3</v>
      </c>
      <c r="S110" s="12">
        <f t="shared" si="17"/>
        <v>8.4046100400529955E-3</v>
      </c>
      <c r="T110" s="12">
        <f t="shared" si="18"/>
        <v>4.3196222963681752E-3</v>
      </c>
      <c r="U110" s="12">
        <f t="shared" si="19"/>
        <v>1.1898975953755331E-2</v>
      </c>
      <c r="V110" s="12">
        <f t="shared" si="20"/>
        <v>5.242531255584737E-2</v>
      </c>
      <c r="W110" s="12">
        <f t="shared" si="21"/>
        <v>4.5189742860191506E-2</v>
      </c>
      <c r="X110" s="12">
        <f t="shared" si="22"/>
        <v>3.5966294042899527E-2</v>
      </c>
    </row>
    <row r="111" spans="2:24">
      <c r="B111" s="4">
        <v>44347</v>
      </c>
      <c r="C111" s="8">
        <v>2.5000000000000001E-3</v>
      </c>
      <c r="D111" s="6">
        <v>1266.807</v>
      </c>
      <c r="E111" s="6">
        <v>1374.2950000000001</v>
      </c>
      <c r="F111" s="6">
        <v>1898.1469999999999</v>
      </c>
      <c r="G111" s="6">
        <v>1796.9090000000001</v>
      </c>
      <c r="H111" s="6">
        <v>1692.6949999999999</v>
      </c>
      <c r="I111" s="6">
        <v>3472.0169999999998</v>
      </c>
      <c r="J111" s="6">
        <v>4204.1099999999997</v>
      </c>
      <c r="K111" s="6">
        <v>2975.7</v>
      </c>
      <c r="L111" s="6">
        <v>1906.87</v>
      </c>
      <c r="M111" s="13">
        <v>103</v>
      </c>
      <c r="N111" s="11">
        <f t="shared" si="12"/>
        <v>44347</v>
      </c>
      <c r="O111" s="12">
        <f t="shared" si="13"/>
        <v>2.0833333333333334E-6</v>
      </c>
      <c r="P111" s="12">
        <f t="shared" si="14"/>
        <v>7.5601374570455349E-4</v>
      </c>
      <c r="Q111" s="12">
        <f t="shared" si="15"/>
        <v>7.7117116067437763E-4</v>
      </c>
      <c r="R111" s="12">
        <f t="shared" si="16"/>
        <v>2.1318730865014235E-3</v>
      </c>
      <c r="S111" s="12">
        <f t="shared" si="17"/>
        <v>2.9767087748440169E-3</v>
      </c>
      <c r="T111" s="12">
        <f t="shared" si="18"/>
        <v>2.9418212628797846E-3</v>
      </c>
      <c r="U111" s="12">
        <f t="shared" si="19"/>
        <v>7.0206864587414319E-3</v>
      </c>
      <c r="V111" s="12">
        <f t="shared" si="20"/>
        <v>5.4865025818131574E-3</v>
      </c>
      <c r="W111" s="12">
        <f t="shared" si="21"/>
        <v>1.2569927452394714E-2</v>
      </c>
      <c r="X111" s="12">
        <f t="shared" si="22"/>
        <v>7.7857477969397237E-2</v>
      </c>
    </row>
    <row r="112" spans="2:24">
      <c r="B112" s="4">
        <v>44377</v>
      </c>
      <c r="C112" s="8">
        <v>4.0599999999999997E-2</v>
      </c>
      <c r="D112" s="6">
        <v>1264.8499999999999</v>
      </c>
      <c r="E112" s="6">
        <v>1372.7560000000001</v>
      </c>
      <c r="F112" s="6">
        <v>1896.63</v>
      </c>
      <c r="G112" s="6">
        <v>1812.521</v>
      </c>
      <c r="H112" s="6">
        <v>1697.232</v>
      </c>
      <c r="I112" s="6">
        <v>3529.8159999999998</v>
      </c>
      <c r="J112" s="6">
        <v>4297.5</v>
      </c>
      <c r="K112" s="6">
        <v>3017.23</v>
      </c>
      <c r="L112" s="6">
        <v>1770.11</v>
      </c>
      <c r="M112" s="13">
        <v>104</v>
      </c>
      <c r="N112" s="11">
        <f t="shared" si="12"/>
        <v>44377</v>
      </c>
      <c r="O112" s="12">
        <f t="shared" si="13"/>
        <v>2.0833333333333334E-6</v>
      </c>
      <c r="P112" s="12">
        <f t="shared" si="14"/>
        <v>-1.5448288492249107E-3</v>
      </c>
      <c r="Q112" s="12">
        <f t="shared" si="15"/>
        <v>-1.1198469033213421E-3</v>
      </c>
      <c r="R112" s="12">
        <f t="shared" si="16"/>
        <v>-7.9920048341874939E-4</v>
      </c>
      <c r="S112" s="12">
        <f t="shared" si="17"/>
        <v>8.6882529944476428E-3</v>
      </c>
      <c r="T112" s="12">
        <f t="shared" si="18"/>
        <v>2.6803411128408783E-3</v>
      </c>
      <c r="U112" s="12">
        <f t="shared" si="19"/>
        <v>1.6647095909956722E-2</v>
      </c>
      <c r="V112" s="12">
        <f t="shared" si="20"/>
        <v>2.221397632316946E-2</v>
      </c>
      <c r="W112" s="12">
        <f t="shared" si="21"/>
        <v>1.3956380011425962E-2</v>
      </c>
      <c r="X112" s="12">
        <f t="shared" si="22"/>
        <v>-7.171962430579959E-2</v>
      </c>
    </row>
    <row r="113" spans="2:24">
      <c r="B113" s="4">
        <v>44407</v>
      </c>
      <c r="C113" s="8">
        <v>4.0599999999999997E-2</v>
      </c>
      <c r="D113" s="6">
        <v>1266.953</v>
      </c>
      <c r="E113" s="6">
        <v>1375.018</v>
      </c>
      <c r="F113" s="6">
        <v>1899.83</v>
      </c>
      <c r="G113" s="6">
        <v>1836.8</v>
      </c>
      <c r="H113" s="6">
        <v>1709.153</v>
      </c>
      <c r="I113" s="6">
        <v>3572.5129999999999</v>
      </c>
      <c r="J113" s="6">
        <v>4395.26</v>
      </c>
      <c r="K113" s="6">
        <v>3069.25</v>
      </c>
      <c r="L113" s="6">
        <v>1814.19</v>
      </c>
      <c r="M113" s="13">
        <v>105</v>
      </c>
      <c r="N113" s="11">
        <f t="shared" si="12"/>
        <v>44407</v>
      </c>
      <c r="O113" s="12">
        <f t="shared" si="13"/>
        <v>3.3833333333333334E-5</v>
      </c>
      <c r="P113" s="12">
        <f t="shared" si="14"/>
        <v>1.6626477447918564E-3</v>
      </c>
      <c r="Q113" s="12">
        <f t="shared" si="15"/>
        <v>1.647780086191597E-3</v>
      </c>
      <c r="R113" s="12">
        <f t="shared" si="16"/>
        <v>1.6872030917995939E-3</v>
      </c>
      <c r="S113" s="12">
        <f t="shared" si="17"/>
        <v>1.3395155145788706E-2</v>
      </c>
      <c r="T113" s="12">
        <f t="shared" si="18"/>
        <v>7.0237893228504156E-3</v>
      </c>
      <c r="U113" s="12">
        <f t="shared" si="19"/>
        <v>1.2096097926917571E-2</v>
      </c>
      <c r="V113" s="12">
        <f t="shared" si="20"/>
        <v>2.274810936591054E-2</v>
      </c>
      <c r="W113" s="12">
        <f t="shared" si="21"/>
        <v>1.7240979308836168E-2</v>
      </c>
      <c r="X113" s="12">
        <f t="shared" si="22"/>
        <v>2.4902407195033227E-2</v>
      </c>
    </row>
    <row r="114" spans="2:24">
      <c r="B114" s="4">
        <v>44439</v>
      </c>
      <c r="C114" s="8">
        <v>3.5499999999999997E-2</v>
      </c>
      <c r="D114" s="6">
        <v>1266.854</v>
      </c>
      <c r="E114" s="6">
        <v>1374.9839999999999</v>
      </c>
      <c r="F114" s="6">
        <v>1900.636</v>
      </c>
      <c r="G114" s="6">
        <v>1833.933</v>
      </c>
      <c r="H114" s="6">
        <v>1707.606</v>
      </c>
      <c r="I114" s="6">
        <v>3565.4369999999999</v>
      </c>
      <c r="J114" s="6">
        <v>4522.68</v>
      </c>
      <c r="K114" s="6">
        <v>3141.35</v>
      </c>
      <c r="L114" s="6">
        <v>1813.62</v>
      </c>
      <c r="M114" s="13">
        <v>106</v>
      </c>
      <c r="N114" s="11">
        <f t="shared" si="12"/>
        <v>44439</v>
      </c>
      <c r="O114" s="12">
        <f t="shared" si="13"/>
        <v>3.3833333333333334E-5</v>
      </c>
      <c r="P114" s="12">
        <f t="shared" si="14"/>
        <v>-7.8140230932000065E-5</v>
      </c>
      <c r="Q114" s="12">
        <f t="shared" si="15"/>
        <v>-2.4726949029107992E-5</v>
      </c>
      <c r="R114" s="12">
        <f t="shared" si="16"/>
        <v>4.2424848539091009E-4</v>
      </c>
      <c r="S114" s="12">
        <f t="shared" si="17"/>
        <v>-1.5608667247386521E-3</v>
      </c>
      <c r="T114" s="12">
        <f t="shared" si="18"/>
        <v>-9.0512669140796476E-4</v>
      </c>
      <c r="U114" s="12">
        <f t="shared" si="19"/>
        <v>-1.9806785867538812E-3</v>
      </c>
      <c r="V114" s="12">
        <f t="shared" si="20"/>
        <v>2.8990321391681118E-2</v>
      </c>
      <c r="W114" s="12">
        <f t="shared" si="21"/>
        <v>2.349108088295182E-2</v>
      </c>
      <c r="X114" s="12">
        <f t="shared" si="22"/>
        <v>-3.1418980371411553E-4</v>
      </c>
    </row>
    <row r="115" spans="2:24">
      <c r="B115" s="4">
        <v>44469</v>
      </c>
      <c r="C115" s="8">
        <v>3.3000000000000002E-2</v>
      </c>
      <c r="D115" s="6">
        <v>1265.5809999999999</v>
      </c>
      <c r="E115" s="6">
        <v>1373.933</v>
      </c>
      <c r="F115" s="6">
        <v>1900.0889999999999</v>
      </c>
      <c r="G115" s="6">
        <v>1811.8989999999999</v>
      </c>
      <c r="H115" s="6">
        <v>1697.356</v>
      </c>
      <c r="I115" s="6">
        <v>3527.7530000000002</v>
      </c>
      <c r="J115" s="6">
        <v>4307.54</v>
      </c>
      <c r="K115" s="6">
        <v>3006.6</v>
      </c>
      <c r="L115" s="6">
        <v>1756.95</v>
      </c>
      <c r="M115" s="13">
        <v>107</v>
      </c>
      <c r="N115" s="11">
        <f t="shared" si="12"/>
        <v>44469</v>
      </c>
      <c r="O115" s="12">
        <f t="shared" si="13"/>
        <v>2.9583333333333332E-5</v>
      </c>
      <c r="P115" s="12">
        <f t="shared" si="14"/>
        <v>-1.0048513877685128E-3</v>
      </c>
      <c r="Q115" s="12">
        <f t="shared" si="15"/>
        <v>-7.6437253088035284E-4</v>
      </c>
      <c r="R115" s="12">
        <f t="shared" si="16"/>
        <v>-2.8779840011450286E-4</v>
      </c>
      <c r="S115" s="12">
        <f t="shared" si="17"/>
        <v>-1.2014615583012089E-2</v>
      </c>
      <c r="T115" s="12">
        <f t="shared" si="18"/>
        <v>-6.0025556246581235E-3</v>
      </c>
      <c r="U115" s="12">
        <f t="shared" si="19"/>
        <v>-1.0569251398916846E-2</v>
      </c>
      <c r="V115" s="12">
        <f t="shared" si="20"/>
        <v>-4.7569140421166334E-2</v>
      </c>
      <c r="W115" s="12">
        <f t="shared" si="21"/>
        <v>-4.2895570375793834E-2</v>
      </c>
      <c r="X115" s="12">
        <f t="shared" si="22"/>
        <v>-3.124689846825679E-2</v>
      </c>
    </row>
    <row r="116" spans="2:24">
      <c r="B116" s="4">
        <v>44498</v>
      </c>
      <c r="C116" s="8">
        <v>4.82E-2</v>
      </c>
      <c r="D116" s="6">
        <v>1261.7339999999999</v>
      </c>
      <c r="E116" s="6">
        <v>1370.171</v>
      </c>
      <c r="F116" s="6">
        <v>1893.8820000000001</v>
      </c>
      <c r="G116" s="6">
        <v>1812.463</v>
      </c>
      <c r="H116" s="6">
        <v>1691.8920000000001</v>
      </c>
      <c r="I116" s="6">
        <v>3536.5549999999998</v>
      </c>
      <c r="J116" s="6">
        <v>4605.38</v>
      </c>
      <c r="K116" s="6">
        <v>3174.73</v>
      </c>
      <c r="L116" s="6">
        <v>1783.38</v>
      </c>
      <c r="M116" s="13">
        <v>108</v>
      </c>
      <c r="N116" s="11">
        <f t="shared" si="12"/>
        <v>44498</v>
      </c>
      <c r="O116" s="12">
        <f t="shared" si="13"/>
        <v>2.7500000000000001E-5</v>
      </c>
      <c r="P116" s="12">
        <f t="shared" si="14"/>
        <v>-3.0397106151245357E-3</v>
      </c>
      <c r="Q116" s="12">
        <f t="shared" si="15"/>
        <v>-2.7381247848330403E-3</v>
      </c>
      <c r="R116" s="12">
        <f t="shared" si="16"/>
        <v>-3.2666890866690501E-3</v>
      </c>
      <c r="S116" s="12">
        <f t="shared" si="17"/>
        <v>3.1127562849819768E-4</v>
      </c>
      <c r="T116" s="12">
        <f t="shared" si="18"/>
        <v>-3.2191243321966212E-3</v>
      </c>
      <c r="U116" s="12">
        <f t="shared" si="19"/>
        <v>2.4950726425574388E-3</v>
      </c>
      <c r="V116" s="12">
        <f t="shared" si="20"/>
        <v>6.9143873301234615E-2</v>
      </c>
      <c r="W116" s="12">
        <f t="shared" si="21"/>
        <v>5.5920308654293871E-2</v>
      </c>
      <c r="X116" s="12">
        <f t="shared" si="22"/>
        <v>1.5043114488175524E-2</v>
      </c>
    </row>
    <row r="117" spans="2:24">
      <c r="B117" s="4">
        <v>44530</v>
      </c>
      <c r="C117" s="8">
        <v>4.5600000000000002E-2</v>
      </c>
      <c r="D117" s="6">
        <v>1261.9760000000001</v>
      </c>
      <c r="E117" s="6">
        <v>1369.5350000000001</v>
      </c>
      <c r="F117" s="6">
        <v>1890.96</v>
      </c>
      <c r="G117" s="6">
        <v>1828.6030000000001</v>
      </c>
      <c r="H117" s="6">
        <v>1694.8510000000001</v>
      </c>
      <c r="I117" s="6">
        <v>3539.8020000000001</v>
      </c>
      <c r="J117" s="6">
        <v>4567</v>
      </c>
      <c r="K117" s="6">
        <v>3101.8</v>
      </c>
      <c r="L117" s="6">
        <v>1774.52</v>
      </c>
      <c r="M117" s="13">
        <v>109</v>
      </c>
      <c r="N117" s="11">
        <f t="shared" si="12"/>
        <v>44530</v>
      </c>
      <c r="O117" s="12">
        <f t="shared" si="13"/>
        <v>4.0166666666666669E-5</v>
      </c>
      <c r="P117" s="12">
        <f t="shared" si="14"/>
        <v>1.9179953936432348E-4</v>
      </c>
      <c r="Q117" s="12">
        <f t="shared" si="15"/>
        <v>-4.641756393909402E-4</v>
      </c>
      <c r="R117" s="12">
        <f t="shared" si="16"/>
        <v>-1.5428627549128882E-3</v>
      </c>
      <c r="S117" s="12">
        <f t="shared" si="17"/>
        <v>8.9050093712257361E-3</v>
      </c>
      <c r="T117" s="12">
        <f t="shared" si="18"/>
        <v>1.7489296007073829E-3</v>
      </c>
      <c r="U117" s="12">
        <f t="shared" si="19"/>
        <v>9.181251245917732E-4</v>
      </c>
      <c r="V117" s="12">
        <f t="shared" si="20"/>
        <v>-8.3337314184714906E-3</v>
      </c>
      <c r="W117" s="12">
        <f t="shared" si="21"/>
        <v>-2.2972032267310816E-2</v>
      </c>
      <c r="X117" s="12">
        <f t="shared" si="22"/>
        <v>-4.9680942928597149E-3</v>
      </c>
    </row>
    <row r="118" spans="2:24">
      <c r="B118" s="4">
        <v>44561</v>
      </c>
      <c r="C118" s="8">
        <v>3.04E-2</v>
      </c>
      <c r="D118" s="6">
        <v>1258.846</v>
      </c>
      <c r="E118" s="6">
        <v>1367.1379999999999</v>
      </c>
      <c r="F118" s="6">
        <v>1889.704</v>
      </c>
      <c r="G118" s="6">
        <v>1818.1790000000001</v>
      </c>
      <c r="H118" s="6">
        <v>1691.0609999999999</v>
      </c>
      <c r="I118" s="6">
        <v>3533.7339999999999</v>
      </c>
      <c r="J118" s="6">
        <v>4766.18</v>
      </c>
      <c r="K118" s="6">
        <v>3231.73</v>
      </c>
      <c r="L118" s="6">
        <v>1829.2</v>
      </c>
      <c r="M118" s="13">
        <v>110</v>
      </c>
      <c r="N118" s="11">
        <f t="shared" si="12"/>
        <v>44561</v>
      </c>
      <c r="O118" s="12">
        <f t="shared" si="13"/>
        <v>3.8000000000000002E-5</v>
      </c>
      <c r="P118" s="12">
        <f t="shared" si="14"/>
        <v>-2.4802373420731438E-3</v>
      </c>
      <c r="Q118" s="12">
        <f t="shared" si="15"/>
        <v>-1.7502290923563368E-3</v>
      </c>
      <c r="R118" s="12">
        <f t="shared" si="16"/>
        <v>-6.6421288657614319E-4</v>
      </c>
      <c r="S118" s="12">
        <f t="shared" si="17"/>
        <v>-5.7005265768458324E-3</v>
      </c>
      <c r="T118" s="12">
        <f t="shared" si="18"/>
        <v>-2.2361847737648599E-3</v>
      </c>
      <c r="U118" s="12">
        <f t="shared" si="19"/>
        <v>-1.7142201738967744E-3</v>
      </c>
      <c r="V118" s="12">
        <f t="shared" si="20"/>
        <v>4.3612874972629889E-2</v>
      </c>
      <c r="W118" s="12">
        <f t="shared" si="21"/>
        <v>4.188858082403768E-2</v>
      </c>
      <c r="X118" s="12">
        <f t="shared" si="22"/>
        <v>3.0813966593783215E-2</v>
      </c>
    </row>
    <row r="119" spans="2:24">
      <c r="B119" s="4">
        <v>44592</v>
      </c>
      <c r="C119" s="8">
        <v>0.18</v>
      </c>
      <c r="D119" s="6">
        <v>1250.604</v>
      </c>
      <c r="E119" s="6">
        <v>1357.963</v>
      </c>
      <c r="F119" s="6">
        <v>1875.539</v>
      </c>
      <c r="G119" s="6">
        <v>1783.88</v>
      </c>
      <c r="H119" s="6">
        <v>1669.9190000000001</v>
      </c>
      <c r="I119" s="6">
        <v>3423.3130000000001</v>
      </c>
      <c r="J119" s="6">
        <v>4515.55</v>
      </c>
      <c r="K119" s="6">
        <v>3059.05</v>
      </c>
      <c r="L119" s="6">
        <v>1797.17</v>
      </c>
      <c r="M119" s="13">
        <v>111</v>
      </c>
      <c r="N119" s="11">
        <f t="shared" si="12"/>
        <v>44592</v>
      </c>
      <c r="O119" s="12">
        <f t="shared" si="13"/>
        <v>2.5333333333333334E-5</v>
      </c>
      <c r="P119" s="12">
        <f t="shared" si="14"/>
        <v>-6.5472663058070424E-3</v>
      </c>
      <c r="Q119" s="12">
        <f t="shared" si="15"/>
        <v>-6.7111001230306666E-3</v>
      </c>
      <c r="R119" s="12">
        <f t="shared" si="16"/>
        <v>-7.4958829530974436E-3</v>
      </c>
      <c r="S119" s="12">
        <f t="shared" si="17"/>
        <v>-1.8864479239942833E-2</v>
      </c>
      <c r="T119" s="12">
        <f t="shared" si="18"/>
        <v>-1.2502210150905135E-2</v>
      </c>
      <c r="U119" s="12">
        <f t="shared" si="19"/>
        <v>-3.124768304575265E-2</v>
      </c>
      <c r="V119" s="12">
        <f t="shared" si="20"/>
        <v>-5.2585089106999772E-2</v>
      </c>
      <c r="W119" s="12">
        <f t="shared" si="21"/>
        <v>-5.343268156683878E-2</v>
      </c>
      <c r="X119" s="12">
        <f t="shared" si="22"/>
        <v>-1.7510387054450072E-2</v>
      </c>
    </row>
    <row r="120" spans="2:24">
      <c r="B120" s="4">
        <v>44620</v>
      </c>
      <c r="C120" s="8">
        <v>0.29170000000000001</v>
      </c>
      <c r="D120" s="6">
        <v>1245.923</v>
      </c>
      <c r="E120" s="6">
        <v>1352.8530000000001</v>
      </c>
      <c r="F120" s="6">
        <v>1861.087</v>
      </c>
      <c r="G120" s="6">
        <v>1770.336</v>
      </c>
      <c r="H120" s="6">
        <v>1658.8040000000001</v>
      </c>
      <c r="I120" s="6">
        <v>3348.654</v>
      </c>
      <c r="J120" s="6">
        <v>4373.9399999999996</v>
      </c>
      <c r="K120" s="6">
        <v>2977.95</v>
      </c>
      <c r="L120" s="6">
        <v>1908.99</v>
      </c>
      <c r="M120" s="13">
        <v>112</v>
      </c>
      <c r="N120" s="11">
        <f t="shared" si="12"/>
        <v>44620</v>
      </c>
      <c r="O120" s="12">
        <f t="shared" si="13"/>
        <v>1.4999999999999999E-4</v>
      </c>
      <c r="P120" s="12">
        <f t="shared" si="14"/>
        <v>-3.742991386562089E-3</v>
      </c>
      <c r="Q120" s="12">
        <f t="shared" si="15"/>
        <v>-3.7629891241512947E-3</v>
      </c>
      <c r="R120" s="12">
        <f t="shared" si="16"/>
        <v>-7.7055182536860389E-3</v>
      </c>
      <c r="S120" s="12">
        <f t="shared" si="17"/>
        <v>-7.5924389532928682E-3</v>
      </c>
      <c r="T120" s="12">
        <f t="shared" si="18"/>
        <v>-6.6560114592384423E-3</v>
      </c>
      <c r="U120" s="12">
        <f t="shared" si="19"/>
        <v>-2.180899029682648E-2</v>
      </c>
      <c r="V120" s="12">
        <f t="shared" si="20"/>
        <v>-3.1360520866782648E-2</v>
      </c>
      <c r="W120" s="12">
        <f t="shared" si="21"/>
        <v>-2.6511498667887157E-2</v>
      </c>
      <c r="X120" s="12">
        <f t="shared" si="22"/>
        <v>6.2220045961149939E-2</v>
      </c>
    </row>
    <row r="121" spans="2:24">
      <c r="B121" s="4">
        <v>44651</v>
      </c>
      <c r="C121" s="8">
        <v>0.48220000000000002</v>
      </c>
      <c r="D121" s="6">
        <v>1229.3340000000001</v>
      </c>
      <c r="E121" s="6">
        <v>1335.925</v>
      </c>
      <c r="F121" s="6">
        <v>1830.069</v>
      </c>
      <c r="G121" s="6">
        <v>1717.1289999999999</v>
      </c>
      <c r="H121" s="6">
        <v>1619.1759999999999</v>
      </c>
      <c r="I121" s="6">
        <v>3260.28</v>
      </c>
      <c r="J121" s="6">
        <v>4530.41</v>
      </c>
      <c r="K121" s="6">
        <v>3053.07</v>
      </c>
      <c r="L121" s="6">
        <v>1937.44</v>
      </c>
      <c r="M121" s="13">
        <v>113</v>
      </c>
      <c r="N121" s="11">
        <f t="shared" si="12"/>
        <v>44651</v>
      </c>
      <c r="O121" s="12">
        <f t="shared" si="13"/>
        <v>2.4308333333333335E-4</v>
      </c>
      <c r="P121" s="12">
        <f t="shared" si="14"/>
        <v>-1.331462698738195E-2</v>
      </c>
      <c r="Q121" s="12">
        <f t="shared" si="15"/>
        <v>-1.2512815509149955E-2</v>
      </c>
      <c r="R121" s="12">
        <f t="shared" si="16"/>
        <v>-1.6666603979287431E-2</v>
      </c>
      <c r="S121" s="12">
        <f t="shared" si="17"/>
        <v>-3.0054746669558874E-2</v>
      </c>
      <c r="T121" s="12">
        <f t="shared" si="18"/>
        <v>-2.3889501110438749E-2</v>
      </c>
      <c r="U121" s="12">
        <f t="shared" si="19"/>
        <v>-2.6390902135604244E-2</v>
      </c>
      <c r="V121" s="12">
        <f t="shared" si="20"/>
        <v>3.5773238773280092E-2</v>
      </c>
      <c r="W121" s="12">
        <f t="shared" si="21"/>
        <v>2.5225406739535661E-2</v>
      </c>
      <c r="X121" s="12">
        <f t="shared" si="22"/>
        <v>1.4903168691297486E-2</v>
      </c>
    </row>
    <row r="122" spans="2:24">
      <c r="B122" s="4">
        <v>44680</v>
      </c>
      <c r="C122" s="8">
        <v>0.82289999999999996</v>
      </c>
      <c r="D122" s="6">
        <v>1223.4939999999999</v>
      </c>
      <c r="E122" s="6">
        <v>1329.1489999999999</v>
      </c>
      <c r="F122" s="6">
        <v>1816.7280000000001</v>
      </c>
      <c r="G122" s="6">
        <v>1662.0409999999999</v>
      </c>
      <c r="H122" s="6">
        <v>1591.914</v>
      </c>
      <c r="I122" s="6">
        <v>3098.1909999999998</v>
      </c>
      <c r="J122" s="6">
        <v>4131.93</v>
      </c>
      <c r="K122" s="6">
        <v>2795.62</v>
      </c>
      <c r="L122" s="6">
        <v>1896.93</v>
      </c>
      <c r="M122" s="13">
        <v>114</v>
      </c>
      <c r="N122" s="11">
        <f t="shared" si="12"/>
        <v>44680</v>
      </c>
      <c r="O122" s="12">
        <f t="shared" si="13"/>
        <v>4.0183333333333336E-4</v>
      </c>
      <c r="P122" s="12">
        <f t="shared" si="14"/>
        <v>-4.7505397231347724E-3</v>
      </c>
      <c r="Q122" s="12">
        <f t="shared" si="15"/>
        <v>-5.0721410258810495E-3</v>
      </c>
      <c r="R122" s="12">
        <f t="shared" si="16"/>
        <v>-7.2898890697563612E-3</v>
      </c>
      <c r="S122" s="12">
        <f t="shared" si="17"/>
        <v>-3.2081456896948302E-2</v>
      </c>
      <c r="T122" s="12">
        <f t="shared" si="18"/>
        <v>-1.6836959045835598E-2</v>
      </c>
      <c r="U122" s="12">
        <f t="shared" si="19"/>
        <v>-4.9716282037125747E-2</v>
      </c>
      <c r="V122" s="12">
        <f t="shared" si="20"/>
        <v>-8.7956719149039353E-2</v>
      </c>
      <c r="W122" s="12">
        <f t="shared" si="21"/>
        <v>-8.4324958156871688E-2</v>
      </c>
      <c r="X122" s="12">
        <f t="shared" si="22"/>
        <v>-2.090903460236182E-2</v>
      </c>
    </row>
    <row r="123" spans="2:24">
      <c r="B123" s="4">
        <v>44712</v>
      </c>
      <c r="C123" s="8">
        <v>1.0391999999999999</v>
      </c>
      <c r="D123" s="6">
        <v>1230.26</v>
      </c>
      <c r="E123" s="6">
        <v>1335.537</v>
      </c>
      <c r="F123" s="6">
        <v>1827.2159999999999</v>
      </c>
      <c r="G123" s="6">
        <v>1663.075</v>
      </c>
      <c r="H123" s="6">
        <v>1597.6</v>
      </c>
      <c r="I123" s="6">
        <v>3114.7739999999999</v>
      </c>
      <c r="J123" s="6">
        <v>4132.1499999999996</v>
      </c>
      <c r="K123" s="6">
        <v>2791.01</v>
      </c>
      <c r="L123" s="6">
        <v>1837.35</v>
      </c>
      <c r="M123" s="13">
        <v>115</v>
      </c>
      <c r="N123" s="11">
        <f t="shared" si="12"/>
        <v>44712</v>
      </c>
      <c r="O123" s="12">
        <f t="shared" si="13"/>
        <v>6.8574999999999994E-4</v>
      </c>
      <c r="P123" s="12">
        <f t="shared" si="14"/>
        <v>5.530063898964821E-3</v>
      </c>
      <c r="Q123" s="12">
        <f t="shared" si="15"/>
        <v>4.8060826889988473E-3</v>
      </c>
      <c r="R123" s="12">
        <f t="shared" si="16"/>
        <v>5.7730161036764205E-3</v>
      </c>
      <c r="S123" s="12">
        <f t="shared" si="17"/>
        <v>6.2212665030525471E-4</v>
      </c>
      <c r="T123" s="12">
        <f t="shared" si="18"/>
        <v>3.571800989249363E-3</v>
      </c>
      <c r="U123" s="12">
        <f t="shared" si="19"/>
        <v>5.3524782687703887E-3</v>
      </c>
      <c r="V123" s="12">
        <f t="shared" si="20"/>
        <v>5.3243883608722342E-5</v>
      </c>
      <c r="W123" s="12">
        <f t="shared" si="21"/>
        <v>-1.6490080912282545E-3</v>
      </c>
      <c r="X123" s="12">
        <f t="shared" si="22"/>
        <v>-3.1408644493998272E-2</v>
      </c>
    </row>
    <row r="124" spans="2:24">
      <c r="B124" s="4">
        <v>44742</v>
      </c>
      <c r="C124" s="8">
        <v>1.6262000000000001</v>
      </c>
      <c r="D124" s="6">
        <v>1223.146</v>
      </c>
      <c r="E124" s="6">
        <v>1328.1489999999999</v>
      </c>
      <c r="F124" s="6">
        <v>1811.57</v>
      </c>
      <c r="G124" s="6">
        <v>1651.0350000000001</v>
      </c>
      <c r="H124" s="6">
        <v>1587.047</v>
      </c>
      <c r="I124" s="6">
        <v>3041.5680000000002</v>
      </c>
      <c r="J124" s="6">
        <v>3785.38</v>
      </c>
      <c r="K124" s="6">
        <v>2546.19</v>
      </c>
      <c r="L124" s="6">
        <v>1807.27</v>
      </c>
      <c r="M124" s="13">
        <v>116</v>
      </c>
      <c r="N124" s="11">
        <f t="shared" si="12"/>
        <v>44742</v>
      </c>
      <c r="O124" s="12">
        <f t="shared" si="13"/>
        <v>8.6599999999999991E-4</v>
      </c>
      <c r="P124" s="12">
        <f t="shared" si="14"/>
        <v>-5.7825175166225096E-3</v>
      </c>
      <c r="Q124" s="12">
        <f t="shared" si="15"/>
        <v>-5.5318572229748897E-3</v>
      </c>
      <c r="R124" s="12">
        <f t="shared" si="16"/>
        <v>-8.5627533909510278E-3</v>
      </c>
      <c r="S124" s="12">
        <f t="shared" si="17"/>
        <v>-7.2396013408896343E-3</v>
      </c>
      <c r="T124" s="12">
        <f t="shared" si="18"/>
        <v>-6.6055332999498395E-3</v>
      </c>
      <c r="U124" s="12">
        <f t="shared" si="19"/>
        <v>-2.3502828776662321E-2</v>
      </c>
      <c r="V124" s="12">
        <f t="shared" si="20"/>
        <v>-8.3919993223866451E-2</v>
      </c>
      <c r="W124" s="12">
        <f t="shared" si="21"/>
        <v>-8.7717349633286923E-2</v>
      </c>
      <c r="X124" s="12">
        <f t="shared" si="22"/>
        <v>-1.6371404468391915E-2</v>
      </c>
    </row>
    <row r="125" spans="2:24">
      <c r="B125" s="4">
        <v>44771</v>
      </c>
      <c r="C125" s="8">
        <v>2.3168000000000002</v>
      </c>
      <c r="D125" s="6">
        <v>1227.2470000000001</v>
      </c>
      <c r="E125" s="6">
        <v>1331.6489999999999</v>
      </c>
      <c r="F125" s="6">
        <v>1825.095</v>
      </c>
      <c r="G125" s="6">
        <v>1678.42</v>
      </c>
      <c r="H125" s="6">
        <v>1603.7460000000001</v>
      </c>
      <c r="I125" s="6">
        <v>3131.2570000000001</v>
      </c>
      <c r="J125" s="6">
        <v>4130.29</v>
      </c>
      <c r="K125" s="6">
        <v>2746.37</v>
      </c>
      <c r="L125" s="6">
        <v>1765.94</v>
      </c>
      <c r="M125" s="13">
        <v>117</v>
      </c>
      <c r="N125" s="11">
        <f t="shared" si="12"/>
        <v>44771</v>
      </c>
      <c r="O125" s="12">
        <f t="shared" si="13"/>
        <v>1.3551666666666668E-3</v>
      </c>
      <c r="P125" s="12">
        <f t="shared" si="14"/>
        <v>3.3528295068618874E-3</v>
      </c>
      <c r="Q125" s="12">
        <f t="shared" si="15"/>
        <v>2.6352464971926004E-3</v>
      </c>
      <c r="R125" s="12">
        <f t="shared" si="16"/>
        <v>7.4658997444205788E-3</v>
      </c>
      <c r="S125" s="12">
        <f t="shared" si="17"/>
        <v>1.65865653968571E-2</v>
      </c>
      <c r="T125" s="12">
        <f t="shared" si="18"/>
        <v>1.0522057632823767E-2</v>
      </c>
      <c r="U125" s="12">
        <f t="shared" si="19"/>
        <v>2.9487751054719125E-2</v>
      </c>
      <c r="V125" s="12">
        <f t="shared" si="20"/>
        <v>9.1116347632205885E-2</v>
      </c>
      <c r="W125" s="12">
        <f t="shared" si="21"/>
        <v>7.8619427458280766E-2</v>
      </c>
      <c r="X125" s="12">
        <f t="shared" si="22"/>
        <v>-2.2868746783823113E-2</v>
      </c>
    </row>
    <row r="126" spans="2:24">
      <c r="B126" s="4">
        <v>44804</v>
      </c>
      <c r="C126" s="8">
        <v>2.9003000000000001</v>
      </c>
      <c r="D126" s="6">
        <v>1218.4059999999999</v>
      </c>
      <c r="E126" s="6">
        <v>1321.0440000000001</v>
      </c>
      <c r="F126" s="6">
        <v>1814.6</v>
      </c>
      <c r="G126" s="6">
        <v>1634.4870000000001</v>
      </c>
      <c r="H126" s="6">
        <v>1575.691</v>
      </c>
      <c r="I126" s="6">
        <v>3047.9290000000001</v>
      </c>
      <c r="J126" s="6">
        <v>3955</v>
      </c>
      <c r="K126" s="6">
        <v>2627.32</v>
      </c>
      <c r="L126" s="6">
        <v>1711.04</v>
      </c>
      <c r="M126" s="13">
        <v>118</v>
      </c>
      <c r="N126" s="11">
        <f t="shared" si="12"/>
        <v>44804</v>
      </c>
      <c r="O126" s="12">
        <f t="shared" si="13"/>
        <v>1.9306666666666669E-3</v>
      </c>
      <c r="P126" s="12">
        <f t="shared" si="14"/>
        <v>-7.2039287934703156E-3</v>
      </c>
      <c r="Q126" s="12">
        <f t="shared" si="15"/>
        <v>-7.9638102833402558E-3</v>
      </c>
      <c r="R126" s="12">
        <f t="shared" si="16"/>
        <v>-5.7503855963663142E-3</v>
      </c>
      <c r="S126" s="12">
        <f t="shared" si="17"/>
        <v>-2.6175212402140158E-2</v>
      </c>
      <c r="T126" s="12">
        <f t="shared" si="18"/>
        <v>-1.7493418533857663E-2</v>
      </c>
      <c r="U126" s="12">
        <f t="shared" si="19"/>
        <v>-2.6611677035771941E-2</v>
      </c>
      <c r="V126" s="12">
        <f t="shared" si="20"/>
        <v>-4.2440119216810457E-2</v>
      </c>
      <c r="W126" s="12">
        <f t="shared" si="21"/>
        <v>-4.3348128620688264E-2</v>
      </c>
      <c r="X126" s="12">
        <f t="shared" si="22"/>
        <v>-3.1088258944245051E-2</v>
      </c>
    </row>
    <row r="127" spans="2:24">
      <c r="B127" s="4">
        <v>44834</v>
      </c>
      <c r="C127" s="8">
        <v>3.2465999999999999</v>
      </c>
      <c r="D127" s="6">
        <v>1204.0509999999999</v>
      </c>
      <c r="E127" s="6">
        <v>1306.48</v>
      </c>
      <c r="F127" s="6">
        <v>1788.231</v>
      </c>
      <c r="G127" s="6">
        <v>1573.1759999999999</v>
      </c>
      <c r="H127" s="6">
        <v>1538.3230000000001</v>
      </c>
      <c r="I127" s="6">
        <v>2886.143</v>
      </c>
      <c r="J127" s="6">
        <v>3585.62</v>
      </c>
      <c r="K127" s="6">
        <v>2378.65</v>
      </c>
      <c r="L127" s="6">
        <v>1660.61</v>
      </c>
      <c r="M127" s="13">
        <v>119</v>
      </c>
      <c r="N127" s="11">
        <f t="shared" si="12"/>
        <v>44834</v>
      </c>
      <c r="O127" s="12">
        <f t="shared" si="13"/>
        <v>2.4169166666666666E-3</v>
      </c>
      <c r="P127" s="12">
        <f t="shared" si="14"/>
        <v>-1.178178702337318E-2</v>
      </c>
      <c r="Q127" s="12">
        <f t="shared" si="15"/>
        <v>-1.1024613866002952E-2</v>
      </c>
      <c r="R127" s="12">
        <f t="shared" si="16"/>
        <v>-1.4531577207097968E-2</v>
      </c>
      <c r="S127" s="12">
        <f t="shared" si="17"/>
        <v>-3.7510852028801778E-2</v>
      </c>
      <c r="T127" s="12">
        <f t="shared" si="18"/>
        <v>-2.3715309664140927E-2</v>
      </c>
      <c r="U127" s="12">
        <f t="shared" si="19"/>
        <v>-5.3080632783768955E-2</v>
      </c>
      <c r="V127" s="12">
        <f t="shared" si="20"/>
        <v>-9.3395701643489315E-2</v>
      </c>
      <c r="W127" s="12">
        <f t="shared" si="21"/>
        <v>-9.4647777963856705E-2</v>
      </c>
      <c r="X127" s="12">
        <f t="shared" si="22"/>
        <v>-2.9473302786609312E-2</v>
      </c>
    </row>
    <row r="128" spans="2:24">
      <c r="B128" s="4">
        <v>44865</v>
      </c>
      <c r="C128" s="8">
        <v>4.0559000000000003</v>
      </c>
      <c r="D128" s="6">
        <v>1202.8620000000001</v>
      </c>
      <c r="E128" s="6">
        <v>1304.3599999999999</v>
      </c>
      <c r="F128" s="6">
        <v>1784.1679999999999</v>
      </c>
      <c r="G128" s="6">
        <v>1549.2329999999999</v>
      </c>
      <c r="H128" s="6">
        <v>1527.0550000000001</v>
      </c>
      <c r="I128" s="6">
        <v>2853.9650000000001</v>
      </c>
      <c r="J128" s="6">
        <v>3871.98</v>
      </c>
      <c r="K128" s="6">
        <v>2547.7199999999998</v>
      </c>
      <c r="L128" s="6">
        <v>1633.56</v>
      </c>
      <c r="M128" s="13">
        <v>120</v>
      </c>
      <c r="N128" s="11">
        <f t="shared" si="12"/>
        <v>44865</v>
      </c>
      <c r="O128" s="12">
        <f t="shared" si="13"/>
        <v>2.7055E-3</v>
      </c>
      <c r="P128" s="12">
        <f t="shared" si="14"/>
        <v>-9.8749969893285883E-4</v>
      </c>
      <c r="Q128" s="12">
        <f t="shared" si="15"/>
        <v>-1.6226807911334795E-3</v>
      </c>
      <c r="R128" s="12">
        <f t="shared" si="16"/>
        <v>-2.2720778243974227E-3</v>
      </c>
      <c r="S128" s="12">
        <f t="shared" si="17"/>
        <v>-1.5219530427619032E-2</v>
      </c>
      <c r="T128" s="12">
        <f t="shared" si="18"/>
        <v>-7.3248596036072922E-3</v>
      </c>
      <c r="U128" s="12">
        <f t="shared" si="19"/>
        <v>-1.1149135715035507E-2</v>
      </c>
      <c r="V128" s="12">
        <f t="shared" si="20"/>
        <v>7.9863454576893256E-2</v>
      </c>
      <c r="W128" s="12">
        <f t="shared" si="21"/>
        <v>7.1078132554179829E-2</v>
      </c>
      <c r="X128" s="12">
        <f t="shared" si="22"/>
        <v>-1.6289194934391515E-2</v>
      </c>
    </row>
    <row r="129" spans="2:24">
      <c r="B129" s="4">
        <v>44895</v>
      </c>
      <c r="C129" s="8">
        <v>4.3196000000000003</v>
      </c>
      <c r="D129" s="6">
        <v>1210.425</v>
      </c>
      <c r="E129" s="6">
        <v>1312.5129999999999</v>
      </c>
      <c r="F129" s="6">
        <v>1807.683</v>
      </c>
      <c r="G129" s="6">
        <v>1592.807</v>
      </c>
      <c r="H129" s="6">
        <v>1550.2660000000001</v>
      </c>
      <c r="I129" s="6">
        <v>2994.31</v>
      </c>
      <c r="J129" s="6">
        <v>4080.11</v>
      </c>
      <c r="K129" s="6">
        <v>2720.89</v>
      </c>
      <c r="L129" s="6">
        <v>1768.52</v>
      </c>
      <c r="M129" s="13">
        <v>121</v>
      </c>
      <c r="N129" s="11">
        <f t="shared" si="12"/>
        <v>44895</v>
      </c>
      <c r="O129" s="12">
        <f t="shared" si="13"/>
        <v>3.3799166666666669E-3</v>
      </c>
      <c r="P129" s="12">
        <f t="shared" si="14"/>
        <v>6.2875043022390109E-3</v>
      </c>
      <c r="Q129" s="12">
        <f t="shared" si="15"/>
        <v>6.2505749946333289E-3</v>
      </c>
      <c r="R129" s="12">
        <f t="shared" si="16"/>
        <v>1.3179812663381529E-2</v>
      </c>
      <c r="S129" s="12">
        <f t="shared" si="17"/>
        <v>2.8126175985148771E-2</v>
      </c>
      <c r="T129" s="12">
        <f t="shared" si="18"/>
        <v>1.5199845454158423E-2</v>
      </c>
      <c r="U129" s="12">
        <f t="shared" si="19"/>
        <v>4.9175445389133987E-2</v>
      </c>
      <c r="V129" s="12">
        <f t="shared" si="20"/>
        <v>5.3752860293699856E-2</v>
      </c>
      <c r="W129" s="12">
        <f t="shared" si="21"/>
        <v>6.7970577614494543E-2</v>
      </c>
      <c r="X129" s="12">
        <f t="shared" si="22"/>
        <v>8.2617106197507395E-2</v>
      </c>
    </row>
    <row r="130" spans="2:24">
      <c r="B130" s="4">
        <v>44925</v>
      </c>
      <c r="C130" s="8">
        <v>4.3429000000000002</v>
      </c>
      <c r="D130" s="6">
        <v>1212.9010000000001</v>
      </c>
      <c r="E130" s="6">
        <v>1315.8630000000001</v>
      </c>
      <c r="F130" s="6">
        <v>1813.1759999999999</v>
      </c>
      <c r="G130" s="6">
        <v>1584.4570000000001</v>
      </c>
      <c r="H130" s="6">
        <v>1552.4760000000001</v>
      </c>
      <c r="I130" s="6">
        <v>2987.9670000000001</v>
      </c>
      <c r="J130" s="6">
        <v>3839.5</v>
      </c>
      <c r="K130" s="6">
        <v>2602.69</v>
      </c>
      <c r="L130" s="6">
        <v>1824.02</v>
      </c>
      <c r="M130" s="13">
        <v>122</v>
      </c>
      <c r="N130" s="11">
        <f t="shared" si="12"/>
        <v>44925</v>
      </c>
      <c r="O130" s="12">
        <f t="shared" si="13"/>
        <v>3.5996666666666668E-3</v>
      </c>
      <c r="P130" s="12">
        <f t="shared" si="14"/>
        <v>2.0455625090360918E-3</v>
      </c>
      <c r="Q130" s="12">
        <f t="shared" si="15"/>
        <v>2.5523556719058149E-3</v>
      </c>
      <c r="R130" s="12">
        <f t="shared" si="16"/>
        <v>3.0386964971180763E-3</v>
      </c>
      <c r="S130" s="12">
        <f t="shared" si="17"/>
        <v>-5.2423174935820605E-3</v>
      </c>
      <c r="T130" s="12">
        <f t="shared" si="18"/>
        <v>1.4255618068126363E-3</v>
      </c>
      <c r="U130" s="12">
        <f t="shared" si="19"/>
        <v>-2.1183511393275678E-3</v>
      </c>
      <c r="V130" s="12">
        <f t="shared" si="20"/>
        <v>-5.8971449299161094E-2</v>
      </c>
      <c r="W130" s="12">
        <f t="shared" si="21"/>
        <v>-4.3441667983637688E-2</v>
      </c>
      <c r="X130" s="12">
        <f t="shared" si="22"/>
        <v>3.1382172664148555E-2</v>
      </c>
    </row>
    <row r="131" spans="2:24">
      <c r="B131" s="4">
        <v>44957</v>
      </c>
      <c r="C131" s="8">
        <v>4.6414999999999997</v>
      </c>
      <c r="D131" s="6">
        <v>1221.213</v>
      </c>
      <c r="E131" s="6">
        <v>1325.73</v>
      </c>
      <c r="F131" s="6">
        <v>1832.0920000000001</v>
      </c>
      <c r="G131" s="6">
        <v>1625.5609999999999</v>
      </c>
      <c r="H131" s="6">
        <v>1575.1949999999999</v>
      </c>
      <c r="I131" s="6">
        <v>3104.1729999999998</v>
      </c>
      <c r="J131" s="6">
        <v>4076.6</v>
      </c>
      <c r="K131" s="6">
        <v>2785</v>
      </c>
      <c r="L131" s="6">
        <v>1928.36</v>
      </c>
      <c r="M131" s="13">
        <v>123</v>
      </c>
      <c r="N131" s="11">
        <f t="shared" si="12"/>
        <v>44957</v>
      </c>
      <c r="O131" s="12">
        <f t="shared" si="13"/>
        <v>3.6190833333333335E-3</v>
      </c>
      <c r="P131" s="12">
        <f t="shared" si="14"/>
        <v>6.8529912993722242E-3</v>
      </c>
      <c r="Q131" s="12">
        <f t="shared" si="15"/>
        <v>7.4985009837649219E-3</v>
      </c>
      <c r="R131" s="12">
        <f t="shared" si="16"/>
        <v>1.0432522821833157E-2</v>
      </c>
      <c r="S131" s="12">
        <f t="shared" si="17"/>
        <v>2.5942010417448813E-2</v>
      </c>
      <c r="T131" s="12">
        <f t="shared" si="18"/>
        <v>1.4634042651866963E-2</v>
      </c>
      <c r="U131" s="12">
        <f t="shared" si="19"/>
        <v>3.889132644369897E-2</v>
      </c>
      <c r="V131" s="12">
        <f t="shared" si="20"/>
        <v>6.1752832400052027E-2</v>
      </c>
      <c r="W131" s="12">
        <f t="shared" si="21"/>
        <v>7.004675931440163E-2</v>
      </c>
      <c r="X131" s="12">
        <f t="shared" si="22"/>
        <v>5.720332013903362E-2</v>
      </c>
    </row>
    <row r="132" spans="2:24">
      <c r="B132" s="4">
        <v>44985</v>
      </c>
      <c r="C132" s="8">
        <v>4.7686999999999999</v>
      </c>
      <c r="D132" s="6">
        <v>1212.395</v>
      </c>
      <c r="E132" s="6">
        <v>1315.232</v>
      </c>
      <c r="F132" s="6">
        <v>1820.5170000000001</v>
      </c>
      <c r="G132" s="6">
        <v>1586.404</v>
      </c>
      <c r="H132" s="6">
        <v>1551.3389999999999</v>
      </c>
      <c r="I132" s="6">
        <v>3013.752</v>
      </c>
      <c r="J132" s="6">
        <v>3970.15</v>
      </c>
      <c r="K132" s="6">
        <v>2714.57</v>
      </c>
      <c r="L132" s="6">
        <v>1826.92</v>
      </c>
      <c r="M132" s="13">
        <v>124</v>
      </c>
      <c r="N132" s="11">
        <f t="shared" si="12"/>
        <v>44985</v>
      </c>
      <c r="O132" s="12">
        <f t="shared" si="13"/>
        <v>3.8679166666666666E-3</v>
      </c>
      <c r="P132" s="12">
        <f t="shared" si="14"/>
        <v>-7.2206895930521098E-3</v>
      </c>
      <c r="Q132" s="12">
        <f t="shared" si="15"/>
        <v>-7.9186561366191288E-3</v>
      </c>
      <c r="R132" s="12">
        <f t="shared" si="16"/>
        <v>-6.3179141658825655E-3</v>
      </c>
      <c r="S132" s="12">
        <f t="shared" si="17"/>
        <v>-2.4088299362497012E-2</v>
      </c>
      <c r="T132" s="12">
        <f t="shared" si="18"/>
        <v>-1.5144791597230811E-2</v>
      </c>
      <c r="U132" s="12">
        <f t="shared" si="19"/>
        <v>-2.9128853320997239E-2</v>
      </c>
      <c r="V132" s="12">
        <f t="shared" si="20"/>
        <v>-2.6112446646715304E-2</v>
      </c>
      <c r="W132" s="12">
        <f t="shared" si="21"/>
        <v>-2.5289048473967624E-2</v>
      </c>
      <c r="X132" s="12">
        <f t="shared" si="22"/>
        <v>-5.2604285506855475E-2</v>
      </c>
    </row>
    <row r="133" spans="2:24">
      <c r="B133" s="4">
        <v>45016</v>
      </c>
      <c r="C133" s="8">
        <v>4.6929999999999996</v>
      </c>
      <c r="D133" s="6">
        <v>1231.7360000000001</v>
      </c>
      <c r="E133" s="6">
        <v>1336.6510000000001</v>
      </c>
      <c r="F133" s="6">
        <v>1836.508</v>
      </c>
      <c r="G133" s="6">
        <v>1633.325</v>
      </c>
      <c r="H133" s="6">
        <v>1584.106</v>
      </c>
      <c r="I133" s="6">
        <v>3090.9879999999998</v>
      </c>
      <c r="J133" s="6">
        <v>4109.3100000000004</v>
      </c>
      <c r="K133" s="6">
        <v>2791.44</v>
      </c>
      <c r="L133" s="6">
        <v>1969.28</v>
      </c>
      <c r="M133" s="13">
        <v>125</v>
      </c>
      <c r="N133" s="11">
        <f t="shared" si="12"/>
        <v>45016</v>
      </c>
      <c r="O133" s="12">
        <f t="shared" si="13"/>
        <v>3.9739166666666664E-3</v>
      </c>
      <c r="P133" s="12">
        <f t="shared" si="14"/>
        <v>1.5952721678990756E-2</v>
      </c>
      <c r="Q133" s="12">
        <f t="shared" si="15"/>
        <v>1.6285339772754925E-2</v>
      </c>
      <c r="R133" s="12">
        <f t="shared" si="16"/>
        <v>8.7837685668412657E-3</v>
      </c>
      <c r="S133" s="12">
        <f t="shared" si="17"/>
        <v>2.9576955176613406E-2</v>
      </c>
      <c r="T133" s="12">
        <f t="shared" si="18"/>
        <v>2.1121753530337406E-2</v>
      </c>
      <c r="U133" s="12">
        <f t="shared" si="19"/>
        <v>2.5627855244890752E-2</v>
      </c>
      <c r="V133" s="12">
        <f t="shared" si="20"/>
        <v>3.5051572358727023E-2</v>
      </c>
      <c r="W133" s="12">
        <f t="shared" si="21"/>
        <v>2.8317560423934518E-2</v>
      </c>
      <c r="X133" s="12">
        <f t="shared" si="22"/>
        <v>7.7923499660631057E-2</v>
      </c>
    </row>
    <row r="134" spans="2:24">
      <c r="B134" s="4">
        <v>45044</v>
      </c>
      <c r="C134" s="8">
        <v>5.0301999999999998</v>
      </c>
      <c r="D134" s="6">
        <v>1234.9269999999999</v>
      </c>
      <c r="E134" s="6">
        <v>1338.9090000000001</v>
      </c>
      <c r="F134" s="6">
        <v>1847.4880000000001</v>
      </c>
      <c r="G134" s="6">
        <v>1642.258</v>
      </c>
      <c r="H134" s="6">
        <v>1590.328</v>
      </c>
      <c r="I134" s="6">
        <v>3117.1959999999999</v>
      </c>
      <c r="J134" s="6">
        <v>4169.4799999999996</v>
      </c>
      <c r="K134" s="6">
        <v>2835.93</v>
      </c>
      <c r="L134" s="6">
        <v>1990</v>
      </c>
      <c r="M134" s="13">
        <v>126</v>
      </c>
      <c r="N134" s="11">
        <f t="shared" si="12"/>
        <v>45044</v>
      </c>
      <c r="O134" s="12">
        <f t="shared" si="13"/>
        <v>3.910833333333333E-3</v>
      </c>
      <c r="P134" s="12">
        <f t="shared" si="14"/>
        <v>2.5906525424277405E-3</v>
      </c>
      <c r="Q134" s="12">
        <f t="shared" si="15"/>
        <v>1.6892966077157734E-3</v>
      </c>
      <c r="R134" s="12">
        <f t="shared" si="16"/>
        <v>5.9787379091187365E-3</v>
      </c>
      <c r="S134" s="12">
        <f t="shared" si="17"/>
        <v>5.4692115776100447E-3</v>
      </c>
      <c r="T134" s="12">
        <f t="shared" si="18"/>
        <v>3.9277674600057821E-3</v>
      </c>
      <c r="U134" s="12">
        <f t="shared" si="19"/>
        <v>8.4788423636714683E-3</v>
      </c>
      <c r="V134" s="12">
        <f t="shared" si="20"/>
        <v>1.464236088297044E-2</v>
      </c>
      <c r="W134" s="12">
        <f t="shared" si="21"/>
        <v>1.5938010489209731E-2</v>
      </c>
      <c r="X134" s="12">
        <f t="shared" si="22"/>
        <v>1.0521611959700916E-2</v>
      </c>
    </row>
    <row r="135" spans="2:24">
      <c r="B135" s="4">
        <v>45077</v>
      </c>
      <c r="C135" s="8">
        <v>5.3883999999999999</v>
      </c>
      <c r="D135" s="6">
        <v>1230.6690000000001</v>
      </c>
      <c r="E135" s="6">
        <v>1334.5940000000001</v>
      </c>
      <c r="F135" s="6">
        <v>1844.211</v>
      </c>
      <c r="G135" s="6">
        <v>1622.09</v>
      </c>
      <c r="H135" s="6">
        <v>1582.107</v>
      </c>
      <c r="I135" s="6">
        <v>3075.7919999999999</v>
      </c>
      <c r="J135" s="6">
        <v>4179.83</v>
      </c>
      <c r="K135" s="6">
        <v>2800.56</v>
      </c>
      <c r="L135" s="6">
        <v>1962.73</v>
      </c>
      <c r="M135" s="13">
        <v>127</v>
      </c>
      <c r="N135" s="11">
        <f t="shared" si="12"/>
        <v>45077</v>
      </c>
      <c r="O135" s="12">
        <f t="shared" si="13"/>
        <v>4.191833333333333E-3</v>
      </c>
      <c r="P135" s="12">
        <f t="shared" si="14"/>
        <v>-3.4479770869045856E-3</v>
      </c>
      <c r="Q135" s="12">
        <f t="shared" si="15"/>
        <v>-3.2227731683034389E-3</v>
      </c>
      <c r="R135" s="12">
        <f t="shared" si="16"/>
        <v>-1.7737598295631818E-3</v>
      </c>
      <c r="S135" s="12">
        <f t="shared" si="17"/>
        <v>-1.2280652613657628E-2</v>
      </c>
      <c r="T135" s="12">
        <f t="shared" si="18"/>
        <v>-5.1693738650140375E-3</v>
      </c>
      <c r="U135" s="12">
        <f t="shared" si="19"/>
        <v>-1.3282449996727785E-2</v>
      </c>
      <c r="V135" s="12">
        <f t="shared" si="20"/>
        <v>2.4823239348792381E-3</v>
      </c>
      <c r="W135" s="12">
        <f t="shared" si="21"/>
        <v>-1.247209909976621E-2</v>
      </c>
      <c r="X135" s="12">
        <f t="shared" si="22"/>
        <v>-1.370351758793964E-2</v>
      </c>
    </row>
    <row r="136" spans="2:24">
      <c r="B136" s="4">
        <v>45107</v>
      </c>
      <c r="C136" s="8">
        <v>5.2835999999999999</v>
      </c>
      <c r="D136" s="6">
        <v>1224.7070000000001</v>
      </c>
      <c r="E136" s="6">
        <v>1332.855</v>
      </c>
      <c r="F136" s="6">
        <v>1841.6869999999999</v>
      </c>
      <c r="G136" s="6">
        <v>1610.326</v>
      </c>
      <c r="H136" s="6">
        <v>1577.367</v>
      </c>
      <c r="I136" s="6">
        <v>3084.5419999999999</v>
      </c>
      <c r="J136" s="6">
        <v>4450.38</v>
      </c>
      <c r="K136" s="6">
        <v>2966.72</v>
      </c>
      <c r="L136" s="6">
        <v>1919.35</v>
      </c>
      <c r="M136" s="13">
        <v>128</v>
      </c>
      <c r="N136" s="11">
        <f t="shared" si="12"/>
        <v>45107</v>
      </c>
      <c r="O136" s="12">
        <f t="shared" si="13"/>
        <v>4.4903333333333332E-3</v>
      </c>
      <c r="P136" s="12">
        <f t="shared" si="14"/>
        <v>-4.8445195255588658E-3</v>
      </c>
      <c r="Q136" s="12">
        <f t="shared" si="15"/>
        <v>-1.3030179964843569E-3</v>
      </c>
      <c r="R136" s="12">
        <f t="shared" si="16"/>
        <v>-1.368606954410323E-3</v>
      </c>
      <c r="S136" s="12">
        <f t="shared" si="17"/>
        <v>-7.2523719399045783E-3</v>
      </c>
      <c r="T136" s="12">
        <f t="shared" si="18"/>
        <v>-2.996004695004828E-3</v>
      </c>
      <c r="U136" s="12">
        <f t="shared" si="19"/>
        <v>2.8447957469166507E-3</v>
      </c>
      <c r="V136" s="12">
        <f t="shared" si="20"/>
        <v>6.4727512841431301E-2</v>
      </c>
      <c r="W136" s="12">
        <f t="shared" si="21"/>
        <v>5.9330990944668205E-2</v>
      </c>
      <c r="X136" s="12">
        <f t="shared" si="22"/>
        <v>-2.2101868316069972E-2</v>
      </c>
    </row>
    <row r="137" spans="2:24">
      <c r="B137" s="4">
        <v>45138</v>
      </c>
      <c r="C137" s="8">
        <v>5.4001000000000001</v>
      </c>
      <c r="D137" s="6">
        <v>1229.067</v>
      </c>
      <c r="E137" s="6">
        <v>1337.424</v>
      </c>
      <c r="F137" s="6">
        <v>1854.1559999999999</v>
      </c>
      <c r="G137" s="6">
        <v>1603.9459999999999</v>
      </c>
      <c r="H137" s="6">
        <v>1577.788</v>
      </c>
      <c r="I137" s="6">
        <v>3097.9119999999998</v>
      </c>
      <c r="J137" s="6">
        <v>4588.96</v>
      </c>
      <c r="K137" s="6">
        <v>3064.3</v>
      </c>
      <c r="L137" s="6">
        <v>1965.09</v>
      </c>
      <c r="M137" s="13">
        <v>129</v>
      </c>
      <c r="N137" s="11">
        <f t="shared" si="12"/>
        <v>45138</v>
      </c>
      <c r="O137" s="12">
        <f t="shared" si="13"/>
        <v>4.4029999999999998E-3</v>
      </c>
      <c r="P137" s="12">
        <f t="shared" si="14"/>
        <v>3.5600351757603121E-3</v>
      </c>
      <c r="Q137" s="12">
        <f t="shared" si="15"/>
        <v>3.4279797877487805E-3</v>
      </c>
      <c r="R137" s="12">
        <f t="shared" si="16"/>
        <v>6.7704229871852206E-3</v>
      </c>
      <c r="S137" s="12">
        <f t="shared" si="17"/>
        <v>-3.9619306898106554E-3</v>
      </c>
      <c r="T137" s="12">
        <f t="shared" si="18"/>
        <v>2.6690047401789485E-4</v>
      </c>
      <c r="U137" s="12">
        <f t="shared" si="19"/>
        <v>4.3345170855186854E-3</v>
      </c>
      <c r="V137" s="12">
        <f t="shared" si="20"/>
        <v>3.1138913980379268E-2</v>
      </c>
      <c r="W137" s="12">
        <f t="shared" si="21"/>
        <v>3.2891543522813205E-2</v>
      </c>
      <c r="X137" s="12">
        <f t="shared" si="22"/>
        <v>2.3830984447859915E-2</v>
      </c>
    </row>
    <row r="138" spans="2:24">
      <c r="B138" s="4">
        <v>45169</v>
      </c>
      <c r="C138" s="8">
        <v>5.4353999999999996</v>
      </c>
      <c r="D138" s="6">
        <v>1233.894</v>
      </c>
      <c r="E138" s="6">
        <v>1342.7180000000001</v>
      </c>
      <c r="F138" s="6">
        <v>1859.771</v>
      </c>
      <c r="G138" s="6">
        <v>1594.6089999999999</v>
      </c>
      <c r="H138" s="6">
        <v>1580.442</v>
      </c>
      <c r="I138" s="6">
        <v>3076.7559999999999</v>
      </c>
      <c r="J138" s="6">
        <v>4507.66</v>
      </c>
      <c r="K138" s="6">
        <v>2986.02</v>
      </c>
      <c r="L138" s="6">
        <v>1940.19</v>
      </c>
      <c r="M138" s="13">
        <v>130</v>
      </c>
      <c r="N138" s="11">
        <f t="shared" ref="N138:N139" si="23">B138</f>
        <v>45169</v>
      </c>
      <c r="O138" s="12">
        <f t="shared" ref="O138:O139" si="24">C137/1200</f>
        <v>4.5000833333333334E-3</v>
      </c>
      <c r="P138" s="12">
        <f t="shared" ref="P138:P139" si="25">D138/D137-1</f>
        <v>3.9273692971986129E-3</v>
      </c>
      <c r="Q138" s="12">
        <f t="shared" ref="Q138:Q139" si="26">E138/E137-1</f>
        <v>3.9583557645146428E-3</v>
      </c>
      <c r="R138" s="12">
        <f t="shared" ref="R138:R139" si="27">F138/F137-1</f>
        <v>3.0283320281572212E-3</v>
      </c>
      <c r="S138" s="12">
        <f t="shared" ref="S138:S139" si="28">G138/G137-1</f>
        <v>-5.8212682970623097E-3</v>
      </c>
      <c r="T138" s="12">
        <f t="shared" ref="T138:T139" si="29">H138/H137-1</f>
        <v>1.6821017779320435E-3</v>
      </c>
      <c r="U138" s="12">
        <f t="shared" ref="U138:U139" si="30">I138/I137-1</f>
        <v>-6.8291158690111375E-3</v>
      </c>
      <c r="V138" s="12">
        <f t="shared" ref="V138:V139" si="31">J138/J137-1</f>
        <v>-1.771643248143373E-2</v>
      </c>
      <c r="W138" s="12">
        <f t="shared" ref="W138:W139" si="32">K138/K137-1</f>
        <v>-2.5545801651274402E-2</v>
      </c>
      <c r="X138" s="12">
        <f t="shared" ref="X138:X139" si="33">L138/L137-1</f>
        <v>-1.2671175366013698E-2</v>
      </c>
    </row>
    <row r="139" spans="2:24">
      <c r="B139" s="4">
        <v>45198</v>
      </c>
      <c r="C139" s="8">
        <v>5.4459</v>
      </c>
      <c r="D139" s="6">
        <v>1233.7860000000001</v>
      </c>
      <c r="E139" s="6">
        <v>1343.711</v>
      </c>
      <c r="F139" s="6">
        <v>1858.5160000000001</v>
      </c>
      <c r="G139" s="6">
        <v>1556.634</v>
      </c>
      <c r="H139" s="6">
        <v>1567.982</v>
      </c>
      <c r="I139" s="6">
        <v>3001.3850000000002</v>
      </c>
      <c r="J139" s="6">
        <v>4288.05</v>
      </c>
      <c r="K139" s="6">
        <v>2853.24</v>
      </c>
      <c r="L139" s="6">
        <v>1848.63</v>
      </c>
      <c r="M139" s="13">
        <v>131</v>
      </c>
      <c r="N139" s="11">
        <f t="shared" si="23"/>
        <v>45198</v>
      </c>
      <c r="O139" s="12">
        <f t="shared" si="24"/>
        <v>4.5294999999999997E-3</v>
      </c>
      <c r="P139" s="12">
        <f t="shared" si="25"/>
        <v>-8.7527777912765892E-5</v>
      </c>
      <c r="Q139" s="12">
        <f t="shared" si="26"/>
        <v>7.3954471452686299E-4</v>
      </c>
      <c r="R139" s="12">
        <f t="shared" si="27"/>
        <v>-6.7481426476689865E-4</v>
      </c>
      <c r="S139" s="12">
        <f t="shared" si="28"/>
        <v>-2.3814615369661118E-2</v>
      </c>
      <c r="T139" s="12">
        <f t="shared" si="29"/>
        <v>-7.8838704615544763E-3</v>
      </c>
      <c r="U139" s="12">
        <f t="shared" si="30"/>
        <v>-2.4496905181951245E-2</v>
      </c>
      <c r="V139" s="12">
        <f t="shared" si="31"/>
        <v>-4.871929116215501E-2</v>
      </c>
      <c r="W139" s="12">
        <f t="shared" si="32"/>
        <v>-4.4467217232302625E-2</v>
      </c>
      <c r="X139" s="12">
        <f t="shared" si="33"/>
        <v>-4.7191254464768906E-2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CD0EE5-5C9C-474D-8D94-FDF58997B8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DISCLAIMER</vt:lpstr>
      <vt:lpstr>Simple Bootstrap</vt:lpstr>
      <vt:lpstr>Hist Data</vt:lpstr>
      <vt:lpstr>assetnames</vt:lpstr>
      <vt:lpstr>exprets</vt:lpstr>
      <vt:lpstr>histdata</vt:lpstr>
      <vt:lpstr>histdates</vt:lpstr>
      <vt:lpstr>histrets</vt:lpstr>
      <vt:lpstr>numobs</vt:lpstr>
      <vt:lpstr>simix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Roberts Grava</cp:lastModifiedBy>
  <dcterms:created xsi:type="dcterms:W3CDTF">2011-02-04T18:00:44Z</dcterms:created>
  <dcterms:modified xsi:type="dcterms:W3CDTF">2023-10-03T07:37:47Z</dcterms:modified>
</cp:coreProperties>
</file>